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filterPrivacy="1" defaultThemeVersion="124226"/>
  <xr:revisionPtr revIDLastSave="0" documentId="8_{3D201DC8-5DC5-40DC-A80A-E1A23E957A7A}" xr6:coauthVersionLast="47" xr6:coauthVersionMax="47" xr10:uidLastSave="{00000000-0000-0000-0000-000000000000}"/>
  <bookViews>
    <workbookView xWindow="-110" yWindow="-110" windowWidth="25820" windowHeight="15500" tabRatio="891" firstSheet="3" activeTab="9" xr2:uid="{00000000-000D-0000-FFFF-FFFF00000000}"/>
  </bookViews>
  <sheets>
    <sheet name="Change History" sheetId="96" r:id="rId1"/>
    <sheet name="PN, FBPN Table" sheetId="156" r:id="rId2"/>
    <sheet name="MGX_S" sheetId="145" r:id="rId3"/>
    <sheet name="MGX_M" sheetId="152" r:id="rId4"/>
    <sheet name="MGX_W" sheetId="153" r:id="rId5"/>
    <sheet name="MGX_S_NA" sheetId="166" r:id="rId6"/>
    <sheet name="MGX_M_NA" sheetId="167" r:id="rId7"/>
    <sheet name="MGX_W_NA" sheetId="168" r:id="rId8"/>
    <sheet name="MGX_S_NG" sheetId="175" r:id="rId9"/>
    <sheet name="Sun_S" sheetId="147" r:id="rId10"/>
    <sheet name="Sun_M" sheetId="154" r:id="rId11"/>
    <sheet name="Sun_W" sheetId="155" r:id="rId12"/>
    <sheet name="Sun_S_NA" sheetId="172" r:id="rId13"/>
    <sheet name="Sun_M_NA" sheetId="173" r:id="rId14"/>
    <sheet name="Sun_W_NA" sheetId="174" r:id="rId15"/>
    <sheet name="L Thermal Matrix" sheetId="151" r:id="rId16"/>
    <sheet name="TIM Packs" sheetId="150" r:id="rId17"/>
    <sheet name="FRU" sheetId="148" r:id="rId18"/>
    <sheet name="Meta GB200" sheetId="143" state="hidden" r:id="rId19"/>
  </sheets>
  <definedNames>
    <definedName name="_xlnm._FilterDatabase" localSheetId="17" hidden="1">FRU!$A$5:$P$5</definedName>
    <definedName name="_xlnm._FilterDatabase" localSheetId="15" hidden="1">'L Thermal Matrix'!$A$5:$P$5</definedName>
    <definedName name="_xlnm._FilterDatabase" localSheetId="3" hidden="1">MGX_M!$A$5:$P$5</definedName>
    <definedName name="_xlnm._FilterDatabase" localSheetId="6" hidden="1">MGX_M_NA!$A$5:$P$5</definedName>
    <definedName name="_xlnm._FilterDatabase" localSheetId="2" hidden="1">MGX_S!$A$5:$P$82</definedName>
    <definedName name="_xlnm._FilterDatabase" localSheetId="5" hidden="1">MGX_S_NA!$A$5:$P$5</definedName>
    <definedName name="_xlnm._FilterDatabase" localSheetId="8" hidden="1">MGX_S_NG!$A$5:$P$5</definedName>
    <definedName name="_xlnm._FilterDatabase" localSheetId="4" hidden="1">MGX_W!$A$5:$P$5</definedName>
    <definedName name="_xlnm._FilterDatabase" localSheetId="7" hidden="1">MGX_W_NA!$A$5:$P$5</definedName>
    <definedName name="_xlnm._FilterDatabase" localSheetId="10" hidden="1">Sun_M!$A$5:$P$5</definedName>
    <definedName name="_xlnm._FilterDatabase" localSheetId="13" hidden="1">Sun_M_NA!$A$5:$P$5</definedName>
    <definedName name="_xlnm._FilterDatabase" localSheetId="9" hidden="1">Sun_S!$A$5:$P$5</definedName>
    <definedName name="_xlnm._FilterDatabase" localSheetId="12" hidden="1">Sun_S_NA!$A$5:$P$5</definedName>
    <definedName name="_xlnm._FilterDatabase" localSheetId="11" hidden="1">Sun_W!$A$5:$P$5</definedName>
    <definedName name="_xlnm._FilterDatabase" localSheetId="14" hidden="1">Sun_W_NA!$A$5:$P$5</definedName>
    <definedName name="_xlnm._FilterDatabase" localSheetId="16" hidden="1">'TIM Packs'!$A$5:$P$5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3" i="154" l="1"/>
  <c r="A53" i="155"/>
  <c r="A53" i="172"/>
  <c r="A53" i="173"/>
  <c r="A53" i="174"/>
  <c r="A53" i="147"/>
  <c r="A51" i="152"/>
  <c r="A51" i="153"/>
  <c r="A51" i="166"/>
  <c r="A51" i="167"/>
  <c r="A51" i="168"/>
  <c r="A51" i="175"/>
  <c r="A51" i="145"/>
  <c r="A57" i="175" l="1"/>
  <c r="I57" i="175"/>
  <c r="A56" i="152"/>
  <c r="A57" i="152"/>
  <c r="A58" i="152"/>
  <c r="A56" i="153"/>
  <c r="A57" i="153"/>
  <c r="A58" i="153"/>
  <c r="A56" i="166"/>
  <c r="A57" i="166"/>
  <c r="A58" i="166"/>
  <c r="A56" i="167"/>
  <c r="A57" i="167"/>
  <c r="A58" i="167"/>
  <c r="A56" i="168"/>
  <c r="A57" i="168"/>
  <c r="A58" i="168"/>
  <c r="A56" i="145"/>
  <c r="A57" i="145"/>
  <c r="A58" i="145"/>
  <c r="A59" i="154"/>
  <c r="A59" i="155"/>
  <c r="A59" i="172"/>
  <c r="A59" i="173"/>
  <c r="A59" i="174"/>
  <c r="A59" i="147"/>
  <c r="I59" i="154"/>
  <c r="I59" i="155"/>
  <c r="I59" i="172"/>
  <c r="I59" i="173"/>
  <c r="I59" i="174"/>
  <c r="I59" i="147"/>
  <c r="I57" i="152"/>
  <c r="I57" i="153"/>
  <c r="I57" i="166"/>
  <c r="I57" i="167"/>
  <c r="I57" i="168"/>
  <c r="I57" i="145"/>
  <c r="A52" i="154"/>
  <c r="A51" i="154"/>
  <c r="A52" i="155"/>
  <c r="A51" i="155"/>
  <c r="A52" i="172"/>
  <c r="A51" i="172"/>
  <c r="A52" i="173"/>
  <c r="A51" i="173"/>
  <c r="A52" i="174"/>
  <c r="A51" i="174"/>
  <c r="A52" i="147"/>
  <c r="A51" i="147"/>
  <c r="A53" i="175"/>
  <c r="A52" i="175"/>
  <c r="A50" i="167"/>
  <c r="A49" i="167"/>
  <c r="A50" i="168"/>
  <c r="A49" i="168"/>
  <c r="A50" i="166"/>
  <c r="A49" i="166"/>
  <c r="A50" i="153"/>
  <c r="A49" i="153"/>
  <c r="A50" i="152"/>
  <c r="A49" i="152"/>
  <c r="A48" i="145"/>
  <c r="A49" i="145"/>
  <c r="A50" i="145"/>
  <c r="A52" i="145"/>
  <c r="A53" i="145"/>
  <c r="A54" i="145"/>
  <c r="A55" i="145"/>
  <c r="A59" i="145"/>
  <c r="A60" i="145"/>
  <c r="A61" i="145"/>
  <c r="A62" i="145"/>
  <c r="A63" i="145"/>
  <c r="A64" i="145"/>
  <c r="A65" i="145"/>
  <c r="A66" i="145"/>
  <c r="A67" i="145"/>
  <c r="A68" i="145"/>
  <c r="A69" i="145"/>
  <c r="A70" i="145"/>
  <c r="A71" i="145"/>
  <c r="A72" i="145"/>
  <c r="A73" i="145"/>
  <c r="A74" i="145"/>
  <c r="A75" i="145"/>
  <c r="A76" i="145"/>
  <c r="A77" i="145"/>
  <c r="A78" i="145"/>
  <c r="A79" i="145"/>
  <c r="A80" i="145"/>
  <c r="A81" i="145"/>
  <c r="A82" i="145"/>
  <c r="C73" i="151"/>
  <c r="I76" i="151"/>
  <c r="G74" i="151"/>
  <c r="C74" i="151"/>
  <c r="I36" i="151"/>
  <c r="G34" i="151"/>
  <c r="C34" i="151"/>
  <c r="C33" i="151"/>
  <c r="C22" i="150" l="1"/>
  <c r="G23" i="150"/>
  <c r="C23" i="150"/>
  <c r="C43" i="151"/>
  <c r="I66" i="151"/>
  <c r="G64" i="151"/>
  <c r="C64" i="151"/>
  <c r="C63" i="151"/>
  <c r="I56" i="151"/>
  <c r="C54" i="151"/>
  <c r="C53" i="151"/>
  <c r="I46" i="151"/>
  <c r="G44" i="151"/>
  <c r="C44" i="151"/>
  <c r="A82" i="175"/>
  <c r="A81" i="175"/>
  <c r="A80" i="175"/>
  <c r="A78" i="175"/>
  <c r="A77" i="175"/>
  <c r="A76" i="175"/>
  <c r="A75" i="175"/>
  <c r="A74" i="175"/>
  <c r="A73" i="175"/>
  <c r="A72" i="175"/>
  <c r="A71" i="175"/>
  <c r="A70" i="175"/>
  <c r="A69" i="175"/>
  <c r="A68" i="175"/>
  <c r="A67" i="175"/>
  <c r="A66" i="175"/>
  <c r="A65" i="175"/>
  <c r="A64" i="175"/>
  <c r="A63" i="175"/>
  <c r="A62" i="175"/>
  <c r="A61" i="175"/>
  <c r="A60" i="175"/>
  <c r="A59" i="175"/>
  <c r="A58" i="175"/>
  <c r="A56" i="175"/>
  <c r="A55" i="175"/>
  <c r="A54" i="175"/>
  <c r="A50" i="175"/>
  <c r="A49" i="175"/>
  <c r="A48" i="175"/>
  <c r="A47" i="175"/>
  <c r="A46" i="175"/>
  <c r="A45" i="175"/>
  <c r="A44" i="175"/>
  <c r="A43" i="175"/>
  <c r="A42" i="175"/>
  <c r="A41" i="175"/>
  <c r="A40" i="175"/>
  <c r="A39" i="175"/>
  <c r="A38" i="175"/>
  <c r="A37" i="175"/>
  <c r="A36" i="175"/>
  <c r="A35" i="175"/>
  <c r="A34" i="175"/>
  <c r="A33" i="175"/>
  <c r="A32" i="175"/>
  <c r="A31" i="175"/>
  <c r="A30" i="175"/>
  <c r="A29" i="175"/>
  <c r="A28" i="175"/>
  <c r="A27" i="175"/>
  <c r="A26" i="175"/>
  <c r="A25" i="175"/>
  <c r="A24" i="175"/>
  <c r="A23" i="175"/>
  <c r="A22" i="175"/>
  <c r="A21" i="175"/>
  <c r="I20" i="175"/>
  <c r="A20" i="175"/>
  <c r="A19" i="175"/>
  <c r="I18" i="175"/>
  <c r="A18" i="175"/>
  <c r="A17" i="175"/>
  <c r="A16" i="175"/>
  <c r="A15" i="175"/>
  <c r="A14" i="175"/>
  <c r="A13" i="175"/>
  <c r="A12" i="175"/>
  <c r="A11" i="175"/>
  <c r="A10" i="175"/>
  <c r="A9" i="175"/>
  <c r="A8" i="175"/>
  <c r="A7" i="175"/>
  <c r="I6" i="175"/>
  <c r="A6" i="175"/>
  <c r="G4" i="175"/>
  <c r="C4" i="175"/>
  <c r="C3" i="175"/>
  <c r="A50" i="154"/>
  <c r="A50" i="155"/>
  <c r="A50" i="172"/>
  <c r="A50" i="173"/>
  <c r="A50" i="174"/>
  <c r="A50" i="147"/>
  <c r="C3" i="168"/>
  <c r="I6" i="168"/>
  <c r="C3" i="167"/>
  <c r="I6" i="167"/>
  <c r="A84" i="174"/>
  <c r="A83" i="174"/>
  <c r="A82" i="174"/>
  <c r="A80" i="174"/>
  <c r="A79" i="174"/>
  <c r="A78" i="174"/>
  <c r="A77" i="174"/>
  <c r="A76" i="174"/>
  <c r="A75" i="174"/>
  <c r="A74" i="174"/>
  <c r="A73" i="174"/>
  <c r="A72" i="174"/>
  <c r="A71" i="174"/>
  <c r="A70" i="174"/>
  <c r="A69" i="174"/>
  <c r="A68" i="174"/>
  <c r="A67" i="174"/>
  <c r="A66" i="174"/>
  <c r="A65" i="174"/>
  <c r="A64" i="174"/>
  <c r="A63" i="174"/>
  <c r="A62" i="174"/>
  <c r="A61" i="174"/>
  <c r="A60" i="174"/>
  <c r="A58" i="174"/>
  <c r="A57" i="174"/>
  <c r="A56" i="174"/>
  <c r="A55" i="174"/>
  <c r="A54" i="174"/>
  <c r="A49" i="174"/>
  <c r="A48" i="174"/>
  <c r="A47" i="174"/>
  <c r="A46" i="174"/>
  <c r="A45" i="174"/>
  <c r="A44" i="174"/>
  <c r="A43" i="174"/>
  <c r="A42" i="174"/>
  <c r="A41" i="174"/>
  <c r="A40" i="174"/>
  <c r="A39" i="174"/>
  <c r="A38" i="174"/>
  <c r="A37" i="174"/>
  <c r="A36" i="174"/>
  <c r="A35" i="174"/>
  <c r="A34" i="174"/>
  <c r="A33" i="174"/>
  <c r="A32" i="174"/>
  <c r="A31" i="174"/>
  <c r="A30" i="174"/>
  <c r="A29" i="174"/>
  <c r="A28" i="174"/>
  <c r="A27" i="174"/>
  <c r="A26" i="174"/>
  <c r="A25" i="174"/>
  <c r="A24" i="174"/>
  <c r="A23" i="174"/>
  <c r="A22" i="174"/>
  <c r="A21" i="174"/>
  <c r="A20" i="174"/>
  <c r="A19" i="174"/>
  <c r="I18" i="174"/>
  <c r="A18" i="174"/>
  <c r="A17" i="174"/>
  <c r="A16" i="174"/>
  <c r="A15" i="174"/>
  <c r="A14" i="174"/>
  <c r="A13" i="174"/>
  <c r="A12" i="174"/>
  <c r="A11" i="174"/>
  <c r="A10" i="174"/>
  <c r="A9" i="174"/>
  <c r="A8" i="174"/>
  <c r="A7" i="174"/>
  <c r="I6" i="174"/>
  <c r="A6" i="174"/>
  <c r="G4" i="174"/>
  <c r="C4" i="174"/>
  <c r="C3" i="174"/>
  <c r="A84" i="173"/>
  <c r="A83" i="173"/>
  <c r="A82" i="173"/>
  <c r="A80" i="173"/>
  <c r="A79" i="173"/>
  <c r="A78" i="173"/>
  <c r="A77" i="173"/>
  <c r="A76" i="173"/>
  <c r="A75" i="173"/>
  <c r="A74" i="173"/>
  <c r="A73" i="173"/>
  <c r="A72" i="173"/>
  <c r="A71" i="173"/>
  <c r="A70" i="173"/>
  <c r="A69" i="173"/>
  <c r="A68" i="173"/>
  <c r="A67" i="173"/>
  <c r="A66" i="173"/>
  <c r="A65" i="173"/>
  <c r="A64" i="173"/>
  <c r="A63" i="173"/>
  <c r="A62" i="173"/>
  <c r="A61" i="173"/>
  <c r="A60" i="173"/>
  <c r="A58" i="173"/>
  <c r="A57" i="173"/>
  <c r="A56" i="173"/>
  <c r="A55" i="173"/>
  <c r="A54" i="173"/>
  <c r="A49" i="173"/>
  <c r="A48" i="173"/>
  <c r="A47" i="173"/>
  <c r="A46" i="173"/>
  <c r="A45" i="173"/>
  <c r="A44" i="173"/>
  <c r="A43" i="173"/>
  <c r="A42" i="173"/>
  <c r="A41" i="173"/>
  <c r="A40" i="173"/>
  <c r="A39" i="173"/>
  <c r="A38" i="173"/>
  <c r="A37" i="173"/>
  <c r="A36" i="173"/>
  <c r="A35" i="173"/>
  <c r="A34" i="173"/>
  <c r="A33" i="173"/>
  <c r="A32" i="173"/>
  <c r="A31" i="173"/>
  <c r="A30" i="173"/>
  <c r="A29" i="173"/>
  <c r="A28" i="173"/>
  <c r="A27" i="173"/>
  <c r="A26" i="173"/>
  <c r="A25" i="173"/>
  <c r="A24" i="173"/>
  <c r="A23" i="173"/>
  <c r="A22" i="173"/>
  <c r="A21" i="173"/>
  <c r="A20" i="173"/>
  <c r="A19" i="173"/>
  <c r="I18" i="173"/>
  <c r="A18" i="173"/>
  <c r="A17" i="173"/>
  <c r="A16" i="173"/>
  <c r="A15" i="173"/>
  <c r="A14" i="173"/>
  <c r="A13" i="173"/>
  <c r="A12" i="173"/>
  <c r="A11" i="173"/>
  <c r="A10" i="173"/>
  <c r="A9" i="173"/>
  <c r="A8" i="173"/>
  <c r="A7" i="173"/>
  <c r="I6" i="173"/>
  <c r="A6" i="173"/>
  <c r="G4" i="173"/>
  <c r="C4" i="173"/>
  <c r="C3" i="173"/>
  <c r="A84" i="172"/>
  <c r="A83" i="172"/>
  <c r="A82" i="172"/>
  <c r="A80" i="172"/>
  <c r="A79" i="172"/>
  <c r="A78" i="172"/>
  <c r="A77" i="172"/>
  <c r="A76" i="172"/>
  <c r="A75" i="172"/>
  <c r="A74" i="172"/>
  <c r="A73" i="172"/>
  <c r="A72" i="172"/>
  <c r="A71" i="172"/>
  <c r="A70" i="172"/>
  <c r="A69" i="172"/>
  <c r="A68" i="172"/>
  <c r="A67" i="172"/>
  <c r="A66" i="172"/>
  <c r="A65" i="172"/>
  <c r="A64" i="172"/>
  <c r="A63" i="172"/>
  <c r="A62" i="172"/>
  <c r="A61" i="172"/>
  <c r="A60" i="172"/>
  <c r="A58" i="172"/>
  <c r="A57" i="172"/>
  <c r="A56" i="172"/>
  <c r="A55" i="172"/>
  <c r="A54" i="172"/>
  <c r="A49" i="172"/>
  <c r="A48" i="172"/>
  <c r="A47" i="172"/>
  <c r="A46" i="172"/>
  <c r="A45" i="172"/>
  <c r="A44" i="172"/>
  <c r="A43" i="172"/>
  <c r="A42" i="172"/>
  <c r="A41" i="172"/>
  <c r="A40" i="172"/>
  <c r="A39" i="172"/>
  <c r="A38" i="172"/>
  <c r="A37" i="172"/>
  <c r="A36" i="172"/>
  <c r="A35" i="172"/>
  <c r="A34" i="172"/>
  <c r="A33" i="172"/>
  <c r="A32" i="172"/>
  <c r="A31" i="172"/>
  <c r="A30" i="172"/>
  <c r="A29" i="172"/>
  <c r="A28" i="172"/>
  <c r="A27" i="172"/>
  <c r="A26" i="172"/>
  <c r="A25" i="172"/>
  <c r="A24" i="172"/>
  <c r="A23" i="172"/>
  <c r="A22" i="172"/>
  <c r="A21" i="172"/>
  <c r="A20" i="172"/>
  <c r="A19" i="172"/>
  <c r="I18" i="172"/>
  <c r="A18" i="172"/>
  <c r="A17" i="172"/>
  <c r="A16" i="172"/>
  <c r="A15" i="172"/>
  <c r="A14" i="172"/>
  <c r="A13" i="172"/>
  <c r="A12" i="172"/>
  <c r="A11" i="172"/>
  <c r="A10" i="172"/>
  <c r="A9" i="172"/>
  <c r="A8" i="172"/>
  <c r="A7" i="172"/>
  <c r="I6" i="172"/>
  <c r="A6" i="172"/>
  <c r="G4" i="172"/>
  <c r="C4" i="172"/>
  <c r="C3" i="172"/>
  <c r="C3" i="155"/>
  <c r="I6" i="155"/>
  <c r="C3" i="154"/>
  <c r="I6" i="154"/>
  <c r="C3" i="147"/>
  <c r="I6" i="147"/>
  <c r="A82" i="168"/>
  <c r="A81" i="168"/>
  <c r="A80" i="168"/>
  <c r="A78" i="168"/>
  <c r="A77" i="168"/>
  <c r="A76" i="168"/>
  <c r="A75" i="168"/>
  <c r="A74" i="168"/>
  <c r="A73" i="168"/>
  <c r="A72" i="168"/>
  <c r="A71" i="168"/>
  <c r="A70" i="168"/>
  <c r="A69" i="168"/>
  <c r="A68" i="168"/>
  <c r="A67" i="168"/>
  <c r="A66" i="168"/>
  <c r="A65" i="168"/>
  <c r="A64" i="168"/>
  <c r="A63" i="168"/>
  <c r="A62" i="168"/>
  <c r="A61" i="168"/>
  <c r="A60" i="168"/>
  <c r="A59" i="168"/>
  <c r="A55" i="168"/>
  <c r="A54" i="168"/>
  <c r="A53" i="168"/>
  <c r="A52" i="168"/>
  <c r="A48" i="168"/>
  <c r="A47" i="168"/>
  <c r="A46" i="168"/>
  <c r="A45" i="168"/>
  <c r="A44" i="168"/>
  <c r="A43" i="168"/>
  <c r="A42" i="168"/>
  <c r="A41" i="168"/>
  <c r="A40" i="168"/>
  <c r="A39" i="168"/>
  <c r="A38" i="168"/>
  <c r="A37" i="168"/>
  <c r="A36" i="168"/>
  <c r="A35" i="168"/>
  <c r="A34" i="168"/>
  <c r="A33" i="168"/>
  <c r="A32" i="168"/>
  <c r="A31" i="168"/>
  <c r="A30" i="168"/>
  <c r="A29" i="168"/>
  <c r="A28" i="168"/>
  <c r="A27" i="168"/>
  <c r="A26" i="168"/>
  <c r="A25" i="168"/>
  <c r="A24" i="168"/>
  <c r="A23" i="168"/>
  <c r="A22" i="168"/>
  <c r="A21" i="168"/>
  <c r="I20" i="168"/>
  <c r="A20" i="168"/>
  <c r="A19" i="168"/>
  <c r="I18" i="168"/>
  <c r="A18" i="168"/>
  <c r="A17" i="168"/>
  <c r="A16" i="168"/>
  <c r="A15" i="168"/>
  <c r="A14" i="168"/>
  <c r="A13" i="168"/>
  <c r="A12" i="168"/>
  <c r="A11" i="168"/>
  <c r="A10" i="168"/>
  <c r="A9" i="168"/>
  <c r="A8" i="168"/>
  <c r="A7" i="168"/>
  <c r="A6" i="168"/>
  <c r="G4" i="168"/>
  <c r="C4" i="168"/>
  <c r="A82" i="167"/>
  <c r="A81" i="167"/>
  <c r="A80" i="167"/>
  <c r="A78" i="167"/>
  <c r="A77" i="167"/>
  <c r="A76" i="167"/>
  <c r="A75" i="167"/>
  <c r="A74" i="167"/>
  <c r="A73" i="167"/>
  <c r="A72" i="167"/>
  <c r="A71" i="167"/>
  <c r="A70" i="167"/>
  <c r="A69" i="167"/>
  <c r="A68" i="167"/>
  <c r="A67" i="167"/>
  <c r="A66" i="167"/>
  <c r="A65" i="167"/>
  <c r="A64" i="167"/>
  <c r="A63" i="167"/>
  <c r="A62" i="167"/>
  <c r="A61" i="167"/>
  <c r="A60" i="167"/>
  <c r="A59" i="167"/>
  <c r="A55" i="167"/>
  <c r="A54" i="167"/>
  <c r="A53" i="167"/>
  <c r="A52" i="167"/>
  <c r="A48" i="167"/>
  <c r="A47" i="167"/>
  <c r="A46" i="167"/>
  <c r="A45" i="167"/>
  <c r="A44" i="167"/>
  <c r="A43" i="167"/>
  <c r="A42" i="167"/>
  <c r="A41" i="167"/>
  <c r="A40" i="167"/>
  <c r="A39" i="167"/>
  <c r="A38" i="167"/>
  <c r="A37" i="167"/>
  <c r="A36" i="167"/>
  <c r="A35" i="167"/>
  <c r="A34" i="167"/>
  <c r="A33" i="167"/>
  <c r="A32" i="167"/>
  <c r="A31" i="167"/>
  <c r="A30" i="167"/>
  <c r="A29" i="167"/>
  <c r="A28" i="167"/>
  <c r="A27" i="167"/>
  <c r="A26" i="167"/>
  <c r="A25" i="167"/>
  <c r="A24" i="167"/>
  <c r="A23" i="167"/>
  <c r="A22" i="167"/>
  <c r="A21" i="167"/>
  <c r="I20" i="167"/>
  <c r="A20" i="167"/>
  <c r="A19" i="167"/>
  <c r="I18" i="167"/>
  <c r="A18" i="167"/>
  <c r="A17" i="167"/>
  <c r="A16" i="167"/>
  <c r="A15" i="167"/>
  <c r="A14" i="167"/>
  <c r="A13" i="167"/>
  <c r="A12" i="167"/>
  <c r="A11" i="167"/>
  <c r="A10" i="167"/>
  <c r="A9" i="167"/>
  <c r="A8" i="167"/>
  <c r="A7" i="167"/>
  <c r="A6" i="167"/>
  <c r="G4" i="167"/>
  <c r="C4" i="167"/>
  <c r="A82" i="166"/>
  <c r="A81" i="166"/>
  <c r="A80" i="166"/>
  <c r="A78" i="166"/>
  <c r="A77" i="166"/>
  <c r="A76" i="166"/>
  <c r="A75" i="166"/>
  <c r="A74" i="166"/>
  <c r="A73" i="166"/>
  <c r="A72" i="166"/>
  <c r="A71" i="166"/>
  <c r="A70" i="166"/>
  <c r="A69" i="166"/>
  <c r="A68" i="166"/>
  <c r="A67" i="166"/>
  <c r="A66" i="166"/>
  <c r="A65" i="166"/>
  <c r="A64" i="166"/>
  <c r="A63" i="166"/>
  <c r="A62" i="166"/>
  <c r="A61" i="166"/>
  <c r="A60" i="166"/>
  <c r="A59" i="166"/>
  <c r="A55" i="166"/>
  <c r="A54" i="166"/>
  <c r="A53" i="166"/>
  <c r="A52" i="166"/>
  <c r="A48" i="166"/>
  <c r="A47" i="166"/>
  <c r="A46" i="166"/>
  <c r="A45" i="166"/>
  <c r="A44" i="166"/>
  <c r="A43" i="166"/>
  <c r="A42" i="166"/>
  <c r="A41" i="166"/>
  <c r="A40" i="166"/>
  <c r="A39" i="166"/>
  <c r="A38" i="166"/>
  <c r="A37" i="166"/>
  <c r="A36" i="166"/>
  <c r="A35" i="166"/>
  <c r="A34" i="166"/>
  <c r="A33" i="166"/>
  <c r="A32" i="166"/>
  <c r="A31" i="166"/>
  <c r="A30" i="166"/>
  <c r="A29" i="166"/>
  <c r="A28" i="166"/>
  <c r="A27" i="166"/>
  <c r="A26" i="166"/>
  <c r="A25" i="166"/>
  <c r="A24" i="166"/>
  <c r="A23" i="166"/>
  <c r="A22" i="166"/>
  <c r="A21" i="166"/>
  <c r="I20" i="166"/>
  <c r="A20" i="166"/>
  <c r="A19" i="166"/>
  <c r="I18" i="166"/>
  <c r="A18" i="166"/>
  <c r="A17" i="166"/>
  <c r="A16" i="166"/>
  <c r="A15" i="166"/>
  <c r="A14" i="166"/>
  <c r="A13" i="166"/>
  <c r="A12" i="166"/>
  <c r="A11" i="166"/>
  <c r="A10" i="166"/>
  <c r="A9" i="166"/>
  <c r="A8" i="166"/>
  <c r="A7" i="166"/>
  <c r="I6" i="166"/>
  <c r="A6" i="166"/>
  <c r="G4" i="166"/>
  <c r="C4" i="166"/>
  <c r="C3" i="166"/>
  <c r="A14" i="152"/>
  <c r="A11" i="152"/>
  <c r="I6" i="145"/>
  <c r="C3" i="145"/>
  <c r="A84" i="155"/>
  <c r="A83" i="155"/>
  <c r="A82" i="155"/>
  <c r="A80" i="155"/>
  <c r="A79" i="155"/>
  <c r="A78" i="155"/>
  <c r="A77" i="155"/>
  <c r="A76" i="155"/>
  <c r="A75" i="155"/>
  <c r="A74" i="155"/>
  <c r="A73" i="155"/>
  <c r="A72" i="155"/>
  <c r="A71" i="155"/>
  <c r="A70" i="155"/>
  <c r="A69" i="155"/>
  <c r="A68" i="155"/>
  <c r="A67" i="155"/>
  <c r="A66" i="155"/>
  <c r="A65" i="155"/>
  <c r="A64" i="155"/>
  <c r="A63" i="155"/>
  <c r="A62" i="155"/>
  <c r="A61" i="155"/>
  <c r="A60" i="155"/>
  <c r="A58" i="155"/>
  <c r="A57" i="155"/>
  <c r="A56" i="155"/>
  <c r="A55" i="155"/>
  <c r="A54" i="155"/>
  <c r="A49" i="155"/>
  <c r="A48" i="155"/>
  <c r="A47" i="155"/>
  <c r="A46" i="155"/>
  <c r="A45" i="155"/>
  <c r="A44" i="155"/>
  <c r="A43" i="155"/>
  <c r="A42" i="155"/>
  <c r="A41" i="155"/>
  <c r="A40" i="155"/>
  <c r="A39" i="155"/>
  <c r="A38" i="155"/>
  <c r="A37" i="155"/>
  <c r="A36" i="155"/>
  <c r="A35" i="155"/>
  <c r="A34" i="155"/>
  <c r="A33" i="155"/>
  <c r="A32" i="155"/>
  <c r="A31" i="155"/>
  <c r="A30" i="155"/>
  <c r="A29" i="155"/>
  <c r="A28" i="155"/>
  <c r="A27" i="155"/>
  <c r="A26" i="155"/>
  <c r="A25" i="155"/>
  <c r="A24" i="155"/>
  <c r="A23" i="155"/>
  <c r="A22" i="155"/>
  <c r="A21" i="155"/>
  <c r="A20" i="155"/>
  <c r="A19" i="155"/>
  <c r="I18" i="155"/>
  <c r="A18" i="155"/>
  <c r="A17" i="155"/>
  <c r="A16" i="155"/>
  <c r="A15" i="155"/>
  <c r="A14" i="155"/>
  <c r="A13" i="155"/>
  <c r="A12" i="155"/>
  <c r="A11" i="155"/>
  <c r="A10" i="155"/>
  <c r="A9" i="155"/>
  <c r="A8" i="155"/>
  <c r="A7" i="155"/>
  <c r="A6" i="155"/>
  <c r="G4" i="155"/>
  <c r="C4" i="155"/>
  <c r="A84" i="154"/>
  <c r="A83" i="154"/>
  <c r="A82" i="154"/>
  <c r="A80" i="154"/>
  <c r="A79" i="154"/>
  <c r="A78" i="154"/>
  <c r="A77" i="154"/>
  <c r="A76" i="154"/>
  <c r="A75" i="154"/>
  <c r="A74" i="154"/>
  <c r="A73" i="154"/>
  <c r="A72" i="154"/>
  <c r="A71" i="154"/>
  <c r="A70" i="154"/>
  <c r="A69" i="154"/>
  <c r="A68" i="154"/>
  <c r="A67" i="154"/>
  <c r="A66" i="154"/>
  <c r="A65" i="154"/>
  <c r="A64" i="154"/>
  <c r="A63" i="154"/>
  <c r="A62" i="154"/>
  <c r="A61" i="154"/>
  <c r="A60" i="154"/>
  <c r="A58" i="154"/>
  <c r="A57" i="154"/>
  <c r="A56" i="154"/>
  <c r="A55" i="154"/>
  <c r="A54" i="154"/>
  <c r="A49" i="154"/>
  <c r="A48" i="154"/>
  <c r="A47" i="154"/>
  <c r="A46" i="154"/>
  <c r="A45" i="154"/>
  <c r="A44" i="154"/>
  <c r="A43" i="154"/>
  <c r="A42" i="154"/>
  <c r="A41" i="154"/>
  <c r="A40" i="154"/>
  <c r="A39" i="154"/>
  <c r="A38" i="154"/>
  <c r="A37" i="154"/>
  <c r="A36" i="154"/>
  <c r="A35" i="154"/>
  <c r="A34" i="154"/>
  <c r="A33" i="154"/>
  <c r="A32" i="154"/>
  <c r="A31" i="154"/>
  <c r="A30" i="154"/>
  <c r="A29" i="154"/>
  <c r="A28" i="154"/>
  <c r="A27" i="154"/>
  <c r="A26" i="154"/>
  <c r="A25" i="154"/>
  <c r="A24" i="154"/>
  <c r="A23" i="154"/>
  <c r="A22" i="154"/>
  <c r="A21" i="154"/>
  <c r="A20" i="154"/>
  <c r="A19" i="154"/>
  <c r="I18" i="154"/>
  <c r="A18" i="154"/>
  <c r="A17" i="154"/>
  <c r="A16" i="154"/>
  <c r="A15" i="154"/>
  <c r="A14" i="154"/>
  <c r="A13" i="154"/>
  <c r="A12" i="154"/>
  <c r="A11" i="154"/>
  <c r="A10" i="154"/>
  <c r="A9" i="154"/>
  <c r="A8" i="154"/>
  <c r="A7" i="154"/>
  <c r="A6" i="154"/>
  <c r="G4" i="154"/>
  <c r="C4" i="154"/>
  <c r="A82" i="153"/>
  <c r="A81" i="153"/>
  <c r="A80" i="153"/>
  <c r="A78" i="153"/>
  <c r="A77" i="153"/>
  <c r="A76" i="153"/>
  <c r="A75" i="153"/>
  <c r="A74" i="153"/>
  <c r="A73" i="153"/>
  <c r="A72" i="153"/>
  <c r="A71" i="153"/>
  <c r="A70" i="153"/>
  <c r="A69" i="153"/>
  <c r="A68" i="153"/>
  <c r="A67" i="153"/>
  <c r="A66" i="153"/>
  <c r="A65" i="153"/>
  <c r="A64" i="153"/>
  <c r="A63" i="153"/>
  <c r="A62" i="153"/>
  <c r="A61" i="153"/>
  <c r="A60" i="153"/>
  <c r="A59" i="153"/>
  <c r="A55" i="153"/>
  <c r="A54" i="153"/>
  <c r="A53" i="153"/>
  <c r="A52" i="153"/>
  <c r="A48" i="153"/>
  <c r="A47" i="153"/>
  <c r="A46" i="153"/>
  <c r="A45" i="153"/>
  <c r="A44" i="153"/>
  <c r="A43" i="153"/>
  <c r="A42" i="153"/>
  <c r="A41" i="153"/>
  <c r="A40" i="153"/>
  <c r="A39" i="153"/>
  <c r="A38" i="153"/>
  <c r="A37" i="153"/>
  <c r="A36" i="153"/>
  <c r="A35" i="153"/>
  <c r="A34" i="153"/>
  <c r="A33" i="153"/>
  <c r="A32" i="153"/>
  <c r="A31" i="153"/>
  <c r="A30" i="153"/>
  <c r="A29" i="153"/>
  <c r="A28" i="153"/>
  <c r="A27" i="153"/>
  <c r="A26" i="153"/>
  <c r="A25" i="153"/>
  <c r="A24" i="153"/>
  <c r="A23" i="153"/>
  <c r="A22" i="153"/>
  <c r="A21" i="153"/>
  <c r="I20" i="153"/>
  <c r="A20" i="153"/>
  <c r="A19" i="153"/>
  <c r="I18" i="153"/>
  <c r="A18" i="153"/>
  <c r="A17" i="153"/>
  <c r="A16" i="153"/>
  <c r="A15" i="153"/>
  <c r="A14" i="153"/>
  <c r="A13" i="153"/>
  <c r="A12" i="153"/>
  <c r="A11" i="153"/>
  <c r="A10" i="153"/>
  <c r="A9" i="153"/>
  <c r="A8" i="153"/>
  <c r="A7" i="153"/>
  <c r="A6" i="153"/>
  <c r="G4" i="153"/>
  <c r="C4" i="153"/>
  <c r="A82" i="152"/>
  <c r="A81" i="152"/>
  <c r="A80" i="152"/>
  <c r="A78" i="152"/>
  <c r="A77" i="152"/>
  <c r="A76" i="152"/>
  <c r="A75" i="152"/>
  <c r="A74" i="152"/>
  <c r="A73" i="152"/>
  <c r="A72" i="152"/>
  <c r="A71" i="152"/>
  <c r="A70" i="152"/>
  <c r="A69" i="152"/>
  <c r="A68" i="152"/>
  <c r="A67" i="152"/>
  <c r="A66" i="152"/>
  <c r="A65" i="152"/>
  <c r="A64" i="152"/>
  <c r="A63" i="152"/>
  <c r="A62" i="152"/>
  <c r="A61" i="152"/>
  <c r="A60" i="152"/>
  <c r="A59" i="152"/>
  <c r="A55" i="152"/>
  <c r="A54" i="152"/>
  <c r="A53" i="152"/>
  <c r="A52" i="152"/>
  <c r="A48" i="152"/>
  <c r="A47" i="152"/>
  <c r="A46" i="152"/>
  <c r="A45" i="152"/>
  <c r="A44" i="152"/>
  <c r="A43" i="152"/>
  <c r="A42" i="152"/>
  <c r="A41" i="152"/>
  <c r="A40" i="152"/>
  <c r="A39" i="152"/>
  <c r="A38" i="152"/>
  <c r="A37" i="152"/>
  <c r="A36" i="152"/>
  <c r="A35" i="152"/>
  <c r="A34" i="152"/>
  <c r="A33" i="152"/>
  <c r="A32" i="152"/>
  <c r="A31" i="152"/>
  <c r="A30" i="152"/>
  <c r="A29" i="152"/>
  <c r="A28" i="152"/>
  <c r="A27" i="152"/>
  <c r="A26" i="152"/>
  <c r="A25" i="152"/>
  <c r="A24" i="152"/>
  <c r="A23" i="152"/>
  <c r="A22" i="152"/>
  <c r="A21" i="152"/>
  <c r="I20" i="152"/>
  <c r="A20" i="152"/>
  <c r="A19" i="152"/>
  <c r="I18" i="152"/>
  <c r="A18" i="152"/>
  <c r="A17" i="152"/>
  <c r="A16" i="152"/>
  <c r="A15" i="152"/>
  <c r="A13" i="152"/>
  <c r="A12" i="152"/>
  <c r="A10" i="152"/>
  <c r="A9" i="152"/>
  <c r="A8" i="152"/>
  <c r="A7" i="152"/>
  <c r="A6" i="152"/>
  <c r="G4" i="152"/>
  <c r="C4" i="152"/>
  <c r="C4" i="147"/>
  <c r="A48" i="147" l="1"/>
  <c r="A45" i="147"/>
  <c r="A45" i="145"/>
  <c r="G41" i="148" l="1"/>
  <c r="C41" i="148"/>
  <c r="G32" i="148"/>
  <c r="C32" i="148"/>
  <c r="C23" i="148"/>
  <c r="G4" i="148" l="1"/>
  <c r="C4" i="148"/>
  <c r="A83" i="147"/>
  <c r="A82" i="147"/>
  <c r="A49" i="147" l="1"/>
  <c r="A36" i="147" l="1"/>
  <c r="A33" i="147"/>
  <c r="A36" i="145"/>
  <c r="A33" i="145"/>
  <c r="A47" i="145"/>
  <c r="A47" i="147"/>
  <c r="A44" i="145"/>
  <c r="A44" i="147"/>
  <c r="A46" i="147"/>
  <c r="A46" i="145"/>
  <c r="A43" i="147"/>
  <c r="A43" i="145"/>
  <c r="A30" i="147" l="1"/>
  <c r="A30" i="145"/>
  <c r="A29" i="147"/>
  <c r="A28" i="147"/>
  <c r="A29" i="145"/>
  <c r="A28" i="145"/>
  <c r="A23" i="147"/>
  <c r="A23" i="145"/>
  <c r="A58" i="147"/>
  <c r="A57" i="147"/>
  <c r="A56" i="147"/>
  <c r="I26" i="151"/>
  <c r="G4" i="151"/>
  <c r="G24" i="151"/>
  <c r="C24" i="151"/>
  <c r="C23" i="151"/>
  <c r="I16" i="151"/>
  <c r="C14" i="151"/>
  <c r="C13" i="151"/>
  <c r="I6" i="151"/>
  <c r="C4" i="151"/>
  <c r="C3" i="151"/>
  <c r="A27" i="147" l="1"/>
  <c r="A42" i="147"/>
  <c r="A40" i="147"/>
  <c r="A27" i="145"/>
  <c r="A42" i="145"/>
  <c r="A40" i="145"/>
  <c r="A60" i="147"/>
  <c r="A6" i="150"/>
  <c r="A20" i="150"/>
  <c r="A19" i="150"/>
  <c r="A18" i="150"/>
  <c r="A17" i="150"/>
  <c r="A16" i="150"/>
  <c r="A15" i="150"/>
  <c r="A14" i="150"/>
  <c r="A13" i="150"/>
  <c r="A12" i="150"/>
  <c r="A11" i="150"/>
  <c r="A10" i="150"/>
  <c r="A9" i="150"/>
  <c r="A8" i="150"/>
  <c r="A7" i="150"/>
  <c r="G4" i="150"/>
  <c r="C4" i="150"/>
  <c r="C3" i="150"/>
  <c r="A80" i="147"/>
  <c r="A35" i="147" l="1"/>
  <c r="A35" i="145"/>
  <c r="G4" i="145" l="1"/>
  <c r="A22" i="147"/>
  <c r="A22" i="145"/>
  <c r="G4" i="147" l="1"/>
  <c r="A84" i="147"/>
  <c r="A79" i="147"/>
  <c r="A78" i="147"/>
  <c r="A77" i="147"/>
  <c r="A76" i="147"/>
  <c r="A75" i="147"/>
  <c r="A74" i="147"/>
  <c r="A73" i="147"/>
  <c r="A72" i="147"/>
  <c r="A71" i="147"/>
  <c r="A70" i="147"/>
  <c r="A69" i="147"/>
  <c r="A68" i="147"/>
  <c r="A67" i="147"/>
  <c r="A66" i="147"/>
  <c r="A65" i="147"/>
  <c r="A64" i="147"/>
  <c r="A63" i="147"/>
  <c r="A62" i="147"/>
  <c r="A61" i="147"/>
  <c r="A55" i="147"/>
  <c r="A54" i="147"/>
  <c r="A41" i="147"/>
  <c r="A39" i="147"/>
  <c r="A38" i="147"/>
  <c r="A37" i="147"/>
  <c r="A34" i="147"/>
  <c r="A32" i="147"/>
  <c r="A31" i="147"/>
  <c r="A26" i="147"/>
  <c r="A25" i="147"/>
  <c r="A24" i="147"/>
  <c r="A21" i="147"/>
  <c r="A20" i="147"/>
  <c r="A19" i="147"/>
  <c r="I18" i="147"/>
  <c r="A18" i="147"/>
  <c r="A17" i="147"/>
  <c r="A16" i="147"/>
  <c r="A15" i="147"/>
  <c r="A14" i="147"/>
  <c r="A13" i="147"/>
  <c r="A12" i="147"/>
  <c r="A11" i="147"/>
  <c r="A10" i="147"/>
  <c r="A9" i="147"/>
  <c r="A8" i="147"/>
  <c r="A7" i="147"/>
  <c r="A6" i="147"/>
  <c r="A39" i="145"/>
  <c r="A26" i="145"/>
  <c r="A31" i="145"/>
  <c r="A32" i="145"/>
  <c r="A34" i="145"/>
  <c r="A37" i="145"/>
  <c r="A38" i="145"/>
  <c r="A41" i="145"/>
  <c r="A25" i="145" l="1"/>
  <c r="A24" i="145"/>
  <c r="A19" i="145" l="1"/>
  <c r="A7" i="145" l="1"/>
  <c r="A21" i="145"/>
  <c r="I20" i="145" l="1"/>
  <c r="I18" i="145"/>
  <c r="A16" i="145"/>
  <c r="A17" i="145"/>
  <c r="A12" i="145"/>
  <c r="A13" i="145"/>
  <c r="A14" i="145"/>
  <c r="A20" i="145" l="1"/>
  <c r="A18" i="145"/>
  <c r="A15" i="145"/>
  <c r="A11" i="145"/>
  <c r="A10" i="145"/>
  <c r="A9" i="145"/>
  <c r="A8" i="145"/>
  <c r="A6" i="145"/>
  <c r="C4" i="145"/>
</calcChain>
</file>

<file path=xl/sharedStrings.xml><?xml version="1.0" encoding="utf-8"?>
<sst xmlns="http://schemas.openxmlformats.org/spreadsheetml/2006/main" count="16024" uniqueCount="811">
  <si>
    <t>BILL OF MATERIAL</t>
  </si>
  <si>
    <t>FOXCONN PN Rev.:</t>
    <phoneticPr fontId="9" type="noConversion"/>
  </si>
  <si>
    <t>Item</t>
  </si>
  <si>
    <t>Lev</t>
  </si>
  <si>
    <t>Manufacture PN Rev.</t>
    <phoneticPr fontId="9" type="noConversion"/>
  </si>
  <si>
    <t>Update</t>
  </si>
  <si>
    <t>Delete</t>
  </si>
  <si>
    <t xml:space="preserve">FOXCONN PN: </t>
    <phoneticPr fontId="9" type="noConversion"/>
  </si>
  <si>
    <t>Customer PN:</t>
    <phoneticPr fontId="9" type="noConversion"/>
  </si>
  <si>
    <t>Customer PN Rev.:</t>
    <phoneticPr fontId="9" type="noConversion"/>
  </si>
  <si>
    <t>Description:</t>
    <phoneticPr fontId="10" type="noConversion"/>
  </si>
  <si>
    <t>FOXCONN PN</t>
    <phoneticPr fontId="9" type="noConversion"/>
  </si>
  <si>
    <t>FOXCONN PN Rev.</t>
    <phoneticPr fontId="9" type="noConversion"/>
  </si>
  <si>
    <t>Customer PN Rev.</t>
    <phoneticPr fontId="9" type="noConversion"/>
  </si>
  <si>
    <t>NA</t>
    <phoneticPr fontId="10" type="noConversion"/>
  </si>
  <si>
    <t>Remark</t>
    <phoneticPr fontId="9" type="noConversion"/>
  </si>
  <si>
    <t>TBD</t>
    <phoneticPr fontId="13" type="noConversion"/>
  </si>
  <si>
    <t>NA</t>
    <phoneticPr fontId="13" type="noConversion"/>
  </si>
  <si>
    <t>Description</t>
    <phoneticPr fontId="10" type="noConversion"/>
  </si>
  <si>
    <t>Manufacture PN</t>
    <phoneticPr fontId="7" type="noConversion"/>
  </si>
  <si>
    <t>FOXCONN/EPD2</t>
    <phoneticPr fontId="10" type="noConversion"/>
  </si>
  <si>
    <t>FOXCONN TECHNOLOGY GROUP</t>
    <phoneticPr fontId="7" type="noConversion"/>
  </si>
  <si>
    <t>Quantity</t>
    <phoneticPr fontId="7" type="noConversion"/>
  </si>
  <si>
    <t>Rev.</t>
    <phoneticPr fontId="9" type="noConversion"/>
  </si>
  <si>
    <t>Date</t>
  </si>
  <si>
    <t>Contents and update items</t>
  </si>
  <si>
    <t>ECO No.</t>
    <phoneticPr fontId="9" type="noConversion"/>
  </si>
  <si>
    <t>Author</t>
  </si>
  <si>
    <t>Change History</t>
    <phoneticPr fontId="9" type="noConversion"/>
  </si>
  <si>
    <t>1</t>
    <phoneticPr fontId="18" type="noConversion"/>
  </si>
  <si>
    <t>NA</t>
    <phoneticPr fontId="18" type="noConversion"/>
  </si>
  <si>
    <t>Manufacture</t>
    <phoneticPr fontId="18" type="noConversion"/>
  </si>
  <si>
    <t>NA</t>
    <phoneticPr fontId="9" type="noConversion"/>
  </si>
  <si>
    <t>RCO</t>
    <phoneticPr fontId="18" type="noConversion"/>
  </si>
  <si>
    <t>TBD</t>
    <phoneticPr fontId="18" type="noConversion"/>
  </si>
  <si>
    <t>Customer PN</t>
    <phoneticPr fontId="7" type="noConversion"/>
  </si>
  <si>
    <t>0</t>
    <phoneticPr fontId="10" type="noConversion"/>
  </si>
  <si>
    <t>2</t>
    <phoneticPr fontId="18" type="noConversion"/>
  </si>
  <si>
    <t>7</t>
    <phoneticPr fontId="18" type="noConversion"/>
  </si>
  <si>
    <t>Amphenol</t>
  </si>
  <si>
    <t>Nvidia</t>
  </si>
  <si>
    <t>PCBA</t>
  </si>
  <si>
    <t>PCBA</t>
    <phoneticPr fontId="44" type="noConversion"/>
  </si>
  <si>
    <t>E1.S SSD</t>
  </si>
  <si>
    <t>Mechanical</t>
  </si>
  <si>
    <t>Cables</t>
  </si>
  <si>
    <t>22</t>
  </si>
  <si>
    <t>23</t>
  </si>
  <si>
    <t>24</t>
  </si>
  <si>
    <t>Category</t>
    <phoneticPr fontId="9" type="noConversion"/>
  </si>
  <si>
    <t>Thermal</t>
    <phoneticPr fontId="18" type="noConversion"/>
  </si>
  <si>
    <t>FOXCONN/EPD2</t>
  </si>
  <si>
    <t>Removefortemporary</t>
  </si>
  <si>
    <t>Old material 
Don't place new PO, only consuming inventory</t>
    <phoneticPr fontId="13" type="noConversion"/>
  </si>
  <si>
    <t>25</t>
  </si>
  <si>
    <t>26</t>
  </si>
  <si>
    <t>27</t>
  </si>
  <si>
    <t>Sunon</t>
  </si>
  <si>
    <t>CX-7 OCP3.0 TSFF NIC with 400Gbit/s</t>
    <phoneticPr fontId="18" type="noConversion"/>
  </si>
  <si>
    <t>HMC Module for GB300(Optional)</t>
    <phoneticPr fontId="18" type="noConversion"/>
  </si>
  <si>
    <t>Description</t>
    <phoneticPr fontId="47" type="noConversion"/>
  </si>
  <si>
    <t>LC-04540-03-GP2S1</t>
  </si>
  <si>
    <t>LC-04540-03-GP2S3</t>
  </si>
  <si>
    <t>LC-04541-03-GP2S1</t>
  </si>
  <si>
    <t>LC-04541-03-GP2S3</t>
  </si>
  <si>
    <t>TEMP-S000221559</t>
  </si>
  <si>
    <t>TEMP-S000221560</t>
  </si>
  <si>
    <t>TEMP-S000221561</t>
  </si>
  <si>
    <t>TEMP-S000221562</t>
  </si>
  <si>
    <t>CMPN</t>
  </si>
  <si>
    <t>HHPN</t>
    <phoneticPr fontId="47" type="noConversion"/>
  </si>
  <si>
    <t>Matrix</t>
    <phoneticPr fontId="47" type="noConversion"/>
  </si>
  <si>
    <t>allocate</t>
    <phoneticPr fontId="47" type="noConversion"/>
  </si>
  <si>
    <t>CPL</t>
    <phoneticPr fontId="47" type="noConversion"/>
  </si>
  <si>
    <t>LC-04824-01-GP2S1</t>
  </si>
  <si>
    <t>DVT2 GB200 Meta SS Inner Manifold Left_Parker</t>
    <phoneticPr fontId="47" type="noConversion"/>
  </si>
  <si>
    <t>TEMP-S000221550</t>
  </si>
  <si>
    <t>LC-04825-01-GP2S1</t>
  </si>
  <si>
    <t>DVT2 GB200 Meta SS Inner Manifold Right_Parker</t>
    <phoneticPr fontId="47" type="noConversion"/>
  </si>
  <si>
    <t>TEMP-S000221552</t>
  </si>
  <si>
    <t>LC-04826-01-GP2S1</t>
  </si>
  <si>
    <t>DVT2 GB200 Meta SS Cold Plate Left_Parker</t>
    <phoneticPr fontId="47" type="noConversion"/>
  </si>
  <si>
    <t>TEMP-S000221555</t>
  </si>
  <si>
    <t>LC-04827-01-GP2S1</t>
  </si>
  <si>
    <t>DVT2 GB200 Meta SS Cold Plate Right_Parker</t>
    <phoneticPr fontId="47" type="noConversion"/>
  </si>
  <si>
    <t>TEMP-S000221556</t>
  </si>
  <si>
    <t>LC-04822-01-GP2S1</t>
  </si>
  <si>
    <t>DVT2 GB200 Meta SS Inner Manifold Left_Danfoss</t>
    <phoneticPr fontId="47" type="noConversion"/>
  </si>
  <si>
    <t>TEMP-S000221542</t>
    <phoneticPr fontId="47" type="noConversion"/>
  </si>
  <si>
    <t>LC-04823-01-GP2S1</t>
  </si>
  <si>
    <t>DVT2 GB200 Meta SS Inner Manifold Right_Danfoss</t>
    <phoneticPr fontId="47" type="noConversion"/>
  </si>
  <si>
    <t>TEMP-S000221544</t>
    <phoneticPr fontId="47" type="noConversion"/>
  </si>
  <si>
    <t>LC-04820-01-GP2S1</t>
  </si>
  <si>
    <t>DVT2 GB200 Meta SS Cold Plate Left_Danfoss</t>
    <phoneticPr fontId="47" type="noConversion"/>
  </si>
  <si>
    <t>TEMP-S000221557</t>
  </si>
  <si>
    <t>LC-04821-01-GP2S1</t>
  </si>
  <si>
    <t>DVT2 GB200 Meta SS Cold Plate Right_Danfoss</t>
    <phoneticPr fontId="47" type="noConversion"/>
  </si>
  <si>
    <t>TEMP-S000221558</t>
  </si>
  <si>
    <t>LC-04837-01-GP2S1</t>
  </si>
  <si>
    <t>DVT2 GB200 Meta SS Inner Manifold Left_CPC-Parker</t>
    <phoneticPr fontId="47" type="noConversion"/>
  </si>
  <si>
    <t>TEMP-S000221548</t>
  </si>
  <si>
    <t>LC-04838-01-GP2S1</t>
  </si>
  <si>
    <t>DVT2 GB200 Meta SS Inner Manifold Right_CPC-Parker</t>
    <phoneticPr fontId="47" type="noConversion"/>
  </si>
  <si>
    <t>TEMP-S000221554</t>
  </si>
  <si>
    <t>LC-04835-01-GP2S1</t>
  </si>
  <si>
    <t>DVT2 GB200 Meta SS Inner Manifold Left_CPC-Danfoss</t>
    <phoneticPr fontId="47" type="noConversion"/>
  </si>
  <si>
    <t>TEMP-S000221545</t>
  </si>
  <si>
    <t>LC-04836-01-GP2S1</t>
  </si>
  <si>
    <t>DVT2 GB200 Meta SS Inner Manifold Right_CPC-Danfoss</t>
    <phoneticPr fontId="47" type="noConversion"/>
  </si>
  <si>
    <t>TEMP-S000221553</t>
  </si>
  <si>
    <t>LC-04820-01-GP2S1</t>
    <phoneticPr fontId="47" type="noConversion"/>
  </si>
  <si>
    <t>RMF</t>
    <phoneticPr fontId="47" type="noConversion"/>
  </si>
  <si>
    <t>DVT2 GB200 Meta Cold RMF_UQDB04 CPC</t>
    <phoneticPr fontId="47" type="noConversion"/>
  </si>
  <si>
    <t>DVT2 GB200 Meta Cold RMF_UQDB04 Danfoss</t>
    <phoneticPr fontId="47" type="noConversion"/>
  </si>
  <si>
    <t>DVT2 GB200 Meta Hot RMF_UQDB04 CPC</t>
    <phoneticPr fontId="47" type="noConversion"/>
  </si>
  <si>
    <t>DVT2 GB200 Meta Hot RMF_UQDB04 Danfoss</t>
    <phoneticPr fontId="47" type="noConversion"/>
  </si>
  <si>
    <t>黃底為重複料件</t>
    <phoneticPr fontId="47" type="noConversion"/>
  </si>
  <si>
    <t>3</t>
    <phoneticPr fontId="18" type="noConversion"/>
  </si>
  <si>
    <t>4</t>
    <phoneticPr fontId="18" type="noConversion"/>
  </si>
  <si>
    <t>5</t>
    <phoneticPr fontId="18" type="noConversion"/>
  </si>
  <si>
    <t>6</t>
    <phoneticPr fontId="18" type="noConversion"/>
  </si>
  <si>
    <t>40</t>
  </si>
  <si>
    <t>41</t>
  </si>
  <si>
    <t>42</t>
  </si>
  <si>
    <t>43</t>
  </si>
  <si>
    <t>9</t>
    <phoneticPr fontId="18" type="noConversion"/>
  </si>
  <si>
    <t>X01</t>
    <phoneticPr fontId="9" type="noConversion"/>
  </si>
  <si>
    <t>NA</t>
  </si>
  <si>
    <t>NA</t>
    <phoneticPr fontId="18" type="noConversion"/>
  </si>
  <si>
    <t>Label</t>
    <phoneticPr fontId="18" type="noConversion"/>
  </si>
  <si>
    <t>Jessy Chang</t>
    <phoneticPr fontId="9" type="noConversion"/>
  </si>
  <si>
    <t>12</t>
    <phoneticPr fontId="18" type="noConversion"/>
  </si>
  <si>
    <t>E1.S 2TB 9mm E1.S boot drive under CPU1_Samsung</t>
    <phoneticPr fontId="18" type="noConversion"/>
  </si>
  <si>
    <t>E1.S 2TB 9mm E1.S boot drive under CPU1_Micron</t>
    <phoneticPr fontId="18" type="noConversion"/>
  </si>
  <si>
    <t>E1.S 2TB 9mm E1.S boot drive under CPU1_KIOXIA</t>
    <phoneticPr fontId="18" type="noConversion"/>
  </si>
  <si>
    <t>MZTL61T9HFJA-00AFB</t>
  </si>
  <si>
    <t>Samsung</t>
  </si>
  <si>
    <t>Samsung</t>
    <phoneticPr fontId="18" type="noConversion"/>
  </si>
  <si>
    <t>Micron</t>
  </si>
  <si>
    <t>KIOXIA</t>
  </si>
  <si>
    <t>MTFDKBT1T9TFR-1BC4DABVA</t>
  </si>
  <si>
    <t>KXDZDRJJ1T92</t>
  </si>
  <si>
    <t>WD</t>
  </si>
  <si>
    <t>MZOL67T6HBLC-00AFB</t>
  </si>
  <si>
    <t>WUS6A7676PJP8X7</t>
  </si>
  <si>
    <t>MTFDLBU7T6THC-1BK4FABVA</t>
  </si>
  <si>
    <t>8</t>
    <phoneticPr fontId="18" type="noConversion"/>
  </si>
  <si>
    <t>1A72BTE00-600-G</t>
  </si>
  <si>
    <t>1A72BTG00-600-G</t>
  </si>
  <si>
    <t>1A72BT500-600-G</t>
  </si>
  <si>
    <t>1A72BTH00-600-G</t>
  </si>
  <si>
    <t>1A72BTC00-600-G</t>
  </si>
  <si>
    <t>1A72BTD00-600-G</t>
  </si>
  <si>
    <t>Cooler Master</t>
    <phoneticPr fontId="18" type="noConversion"/>
  </si>
  <si>
    <t>Meta</t>
    <phoneticPr fontId="10" type="noConversion"/>
  </si>
  <si>
    <t>39</t>
  </si>
  <si>
    <t>44</t>
  </si>
  <si>
    <t>45</t>
  </si>
  <si>
    <t>47</t>
  </si>
  <si>
    <t>PCBA</t>
    <phoneticPr fontId="18" type="noConversion"/>
  </si>
  <si>
    <t>Initial release</t>
    <phoneticPr fontId="9" type="noConversion"/>
  </si>
  <si>
    <t>Mercury_OSFP_Board[EVT_X01]</t>
    <phoneticPr fontId="18" type="noConversion"/>
  </si>
  <si>
    <t>1A72BTJ00-600-G</t>
    <phoneticPr fontId="18" type="noConversion"/>
  </si>
  <si>
    <t>CBL, E1.S Y cable</t>
  </si>
  <si>
    <t>CBL, E1.S Backplane MCIO Y cable 2</t>
    <phoneticPr fontId="18" type="noConversion"/>
  </si>
  <si>
    <t>CBL, OSFP sideband cable 1</t>
  </si>
  <si>
    <t>CBL, Front IO board SlimSAS cable</t>
  </si>
  <si>
    <t>CBL, E1.S Backplane Power cable</t>
  </si>
  <si>
    <t>CBL, E1.S Backplane MCIO Y cable 1</t>
  </si>
  <si>
    <t>CBL, OSFP PWR cable</t>
  </si>
  <si>
    <t>CBL, OSFP sideband cable 2</t>
    <phoneticPr fontId="18" type="noConversion"/>
  </si>
  <si>
    <t>CBL, Leakage sensor cable-1</t>
  </si>
  <si>
    <t>CBL, Leakage sensor cable-2</t>
  </si>
  <si>
    <t>10</t>
    <phoneticPr fontId="18" type="noConversion"/>
  </si>
  <si>
    <t>11</t>
    <phoneticPr fontId="18" type="noConversion"/>
  </si>
  <si>
    <t>13</t>
    <phoneticPr fontId="18" type="noConversion"/>
  </si>
  <si>
    <t>46</t>
  </si>
  <si>
    <t>X02</t>
    <phoneticPr fontId="9" type="noConversion"/>
  </si>
  <si>
    <t>Thomas Yeh</t>
    <phoneticPr fontId="9" type="noConversion"/>
  </si>
  <si>
    <t>7J-3219-000</t>
  </si>
  <si>
    <t>Compute Tray_SCM 2.0 Sub Assy</t>
  </si>
  <si>
    <t>V</t>
    <phoneticPr fontId="9" type="noConversion"/>
  </si>
  <si>
    <r>
      <t xml:space="preserve">1. Update Customer Name to </t>
    </r>
    <r>
      <rPr>
        <b/>
        <sz val="11"/>
        <rFont val="Calibri"/>
        <family val="2"/>
      </rPr>
      <t xml:space="preserve">Maxwell </t>
    </r>
    <r>
      <rPr>
        <sz val="11"/>
        <rFont val="Calibri"/>
        <family val="2"/>
      </rPr>
      <t xml:space="preserve">and Project Name to </t>
    </r>
    <r>
      <rPr>
        <b/>
        <sz val="11"/>
        <rFont val="Calibri"/>
        <family val="2"/>
      </rPr>
      <t>Mercury.</t>
    </r>
    <r>
      <rPr>
        <sz val="11"/>
        <rFont val="Calibri"/>
        <family val="2"/>
      </rPr>
      <t xml:space="preserve"> Base on Customer's Security Protocal (PM Edison, 12/20, Mail)
2. Update E1.S SSD Description (Need Customer to Confirm)
3. Base on GB200 Build Matrix Structure, Update BOM Structure:
    a. Add SCM Sub Assy, Put BSM and TPM in L10 BOM
    b. Separate Cordelia and CX8 Mezzanine card into 2 Parts
4. Update Cable List
5. Update Asset Label HHPN</t>
    </r>
    <phoneticPr fontId="9" type="noConversion"/>
  </si>
  <si>
    <t>Mercury_E1S_Backplane[EVT_X01]</t>
    <phoneticPr fontId="18" type="noConversion"/>
  </si>
  <si>
    <t>Mercury_Front_IO_Board[EVT_X01]</t>
    <phoneticPr fontId="18" type="noConversion"/>
  </si>
  <si>
    <t>Mercury_FAN-L[EVT_X01]</t>
    <phoneticPr fontId="18" type="noConversion"/>
  </si>
  <si>
    <t>Mercury_FAN-R[EVT_X01]</t>
    <phoneticPr fontId="18" type="noConversion"/>
  </si>
  <si>
    <t>Mercury-PDB Discrete[EVT_X01]</t>
    <phoneticPr fontId="45" type="noConversion"/>
  </si>
  <si>
    <t>E1.S 8TB 25mm E1.S, 1x per GPU</t>
    <phoneticPr fontId="18" type="noConversion"/>
  </si>
  <si>
    <t>NV GB300 2CPU:4GPU Board</t>
    <phoneticPr fontId="18" type="noConversion"/>
  </si>
  <si>
    <t>CBL, Leakage sensor cable-3</t>
    <phoneticPr fontId="18" type="noConversion"/>
  </si>
  <si>
    <t>CBL, Leakage sensor cable-4</t>
    <phoneticPr fontId="18" type="noConversion"/>
  </si>
  <si>
    <t>2. DC-SCI cable</t>
    <phoneticPr fontId="18" type="noConversion"/>
  </si>
  <si>
    <t>3. DC-SCM2.0 cable</t>
    <phoneticPr fontId="18" type="noConversion"/>
  </si>
  <si>
    <t>4. NIC0 3-to-1 cable</t>
    <phoneticPr fontId="18" type="noConversion"/>
  </si>
  <si>
    <t>5.  NIC1 3-to-1 cable</t>
    <phoneticPr fontId="18" type="noConversion"/>
  </si>
  <si>
    <t>6. Front IO board SlimSAS</t>
    <phoneticPr fontId="18" type="noConversion"/>
  </si>
  <si>
    <t>7. E1S Backplane Power cable</t>
    <phoneticPr fontId="18" type="noConversion"/>
  </si>
  <si>
    <t>8. E1S Backplane MCIO Y cable 1</t>
    <phoneticPr fontId="18" type="noConversion"/>
  </si>
  <si>
    <t>9. E1S Backplane MCIO Y cable 2</t>
    <phoneticPr fontId="18" type="noConversion"/>
  </si>
  <si>
    <t>10. OSFP PWR cable</t>
    <phoneticPr fontId="18" type="noConversion"/>
  </si>
  <si>
    <t>11. OSFP sideband cable 1</t>
    <phoneticPr fontId="18" type="noConversion"/>
  </si>
  <si>
    <t>12. OSFP sideband cable 2</t>
    <phoneticPr fontId="18" type="noConversion"/>
  </si>
  <si>
    <t>13. E1S SSD Y cable</t>
    <phoneticPr fontId="18" type="noConversion"/>
  </si>
  <si>
    <t>14. Leakage sensor cable 1</t>
    <phoneticPr fontId="18" type="noConversion"/>
  </si>
  <si>
    <t>15. Leakage sensor cable 2</t>
    <phoneticPr fontId="18" type="noConversion"/>
  </si>
  <si>
    <t>16. Leakage sensor cable 3</t>
    <phoneticPr fontId="18" type="noConversion"/>
  </si>
  <si>
    <t>17. Leakage sensor cable 4</t>
    <phoneticPr fontId="18" type="noConversion"/>
  </si>
  <si>
    <t>CBL, HSC sideband cable</t>
    <phoneticPr fontId="18" type="noConversion"/>
  </si>
  <si>
    <t>Fan 4056</t>
    <phoneticPr fontId="18" type="noConversion"/>
  </si>
  <si>
    <t>AVC</t>
    <phoneticPr fontId="18" type="noConversion"/>
  </si>
  <si>
    <t>TEMP-S000225519</t>
    <phoneticPr fontId="18" type="noConversion"/>
  </si>
  <si>
    <t>TEMP-S000225520</t>
    <phoneticPr fontId="18" type="noConversion"/>
  </si>
  <si>
    <t>DFPQ0456B2GY081</t>
    <phoneticPr fontId="18" type="noConversion"/>
  </si>
  <si>
    <t>XG40561BX-1Q991-S9W</t>
    <phoneticPr fontId="18" type="noConversion"/>
  </si>
  <si>
    <t>18. Hotswap sideband cable</t>
    <phoneticPr fontId="18" type="noConversion"/>
  </si>
  <si>
    <t>675-24480-0000-ES1</t>
    <phoneticPr fontId="18" type="noConversion"/>
  </si>
  <si>
    <t>699-24764-0004-ES1</t>
    <phoneticPr fontId="18" type="noConversion"/>
  </si>
  <si>
    <t>TEMP-S000225738</t>
    <phoneticPr fontId="18" type="noConversion"/>
  </si>
  <si>
    <t>TEMP-S000225740</t>
  </si>
  <si>
    <t>TEMP-S000225741</t>
  </si>
  <si>
    <t>TEMP-S000225742</t>
  </si>
  <si>
    <t>TEMP-S000225743</t>
  </si>
  <si>
    <t>TEMP-S000225744</t>
  </si>
  <si>
    <t>TEMP-S000225745</t>
  </si>
  <si>
    <t>TEMP-S000225746</t>
  </si>
  <si>
    <t>38</t>
  </si>
  <si>
    <r>
      <t xml:space="preserve">1. </t>
    </r>
    <r>
      <rPr>
        <b/>
        <sz val="11"/>
        <color rgb="FFFF0000"/>
        <rFont val="Calibri"/>
        <family val="2"/>
      </rPr>
      <t>Remove SCM Sub Assy Page</t>
    </r>
    <r>
      <rPr>
        <sz val="11"/>
        <rFont val="Calibri"/>
        <family val="2"/>
      </rPr>
      <t xml:space="preserve">(Base on Build Matrix Structure), DC-SCM2.0 now includes </t>
    </r>
    <r>
      <rPr>
        <b/>
        <sz val="11"/>
        <rFont val="Calibri"/>
        <family val="2"/>
      </rPr>
      <t>2xTPM, 1xBSM and 1xSensor Board</t>
    </r>
    <r>
      <rPr>
        <sz val="11"/>
        <rFont val="Calibri"/>
        <family val="2"/>
      </rPr>
      <t xml:space="preserve"> in L6
2. Update Thermal Part, Nvidia Consign Part Information(HHPN+MPN)
3. Update E1.S SSD Part, DIMM Part HHPN
4. Remove Asset Label MPN (HHPN is not MPN)
5. Update Cable List Information and Adjust Level (Base on Cable List Ref from HW), Add </t>
    </r>
    <r>
      <rPr>
        <b/>
        <sz val="11"/>
        <rFont val="Calibri"/>
        <family val="2"/>
      </rPr>
      <t>HSC(Hotswap) Sideband Cable</t>
    </r>
    <r>
      <rPr>
        <sz val="11"/>
        <rFont val="Calibri"/>
        <family val="2"/>
      </rPr>
      <t xml:space="preserve">
6. Update Label Description
Ref:
</t>
    </r>
    <r>
      <rPr>
        <b/>
        <sz val="11"/>
        <rFont val="Calibri"/>
        <family val="2"/>
      </rPr>
      <t>Mercury_Cable_List_20241226_R001.xlsx</t>
    </r>
    <phoneticPr fontId="9" type="noConversion"/>
  </si>
  <si>
    <t>X03</t>
    <phoneticPr fontId="9" type="noConversion"/>
  </si>
  <si>
    <t>X04</t>
    <phoneticPr fontId="9" type="noConversion"/>
  </si>
  <si>
    <t>LBL, Asset Label, 0.95x0.2inch</t>
    <phoneticPr fontId="18" type="noConversion"/>
  </si>
  <si>
    <t>CBL, NIC1 3-to-1 Cable</t>
    <phoneticPr fontId="18" type="noConversion"/>
  </si>
  <si>
    <t>Dual CX-8 Mezzanine card</t>
    <phoneticPr fontId="18" type="noConversion"/>
  </si>
  <si>
    <t>HWHHW-BA88</t>
    <phoneticPr fontId="18" type="noConversion"/>
  </si>
  <si>
    <t>HGZ168-1229</t>
    <phoneticPr fontId="18" type="noConversion"/>
  </si>
  <si>
    <t>HGZ168-1230</t>
    <phoneticPr fontId="18" type="noConversion"/>
  </si>
  <si>
    <t>HGZ168-1231</t>
    <phoneticPr fontId="18" type="noConversion"/>
  </si>
  <si>
    <t>HGZ168-1232</t>
    <phoneticPr fontId="18" type="noConversion"/>
  </si>
  <si>
    <t>HSL38-4032</t>
    <phoneticPr fontId="18" type="noConversion"/>
  </si>
  <si>
    <t>HWHHW-BA89</t>
    <phoneticPr fontId="18" type="noConversion"/>
  </si>
  <si>
    <t>HMC74-C264</t>
    <phoneticPr fontId="18" type="noConversion"/>
  </si>
  <si>
    <t>HMC74-C265</t>
    <phoneticPr fontId="18" type="noConversion"/>
  </si>
  <si>
    <t>HWHHW-BA90</t>
    <phoneticPr fontId="18" type="noConversion"/>
  </si>
  <si>
    <t>HWHHW-BA91</t>
    <phoneticPr fontId="18" type="noConversion"/>
  </si>
  <si>
    <t>HWHHW-BA92</t>
    <phoneticPr fontId="18" type="noConversion"/>
  </si>
  <si>
    <t>HWHHW-BA93</t>
    <phoneticPr fontId="18" type="noConversion"/>
  </si>
  <si>
    <t>HWHHW-BA94</t>
    <phoneticPr fontId="18" type="noConversion"/>
  </si>
  <si>
    <t>HWHHW-BA95</t>
    <phoneticPr fontId="18" type="noConversion"/>
  </si>
  <si>
    <t>HWHHW-BA96</t>
    <phoneticPr fontId="18" type="noConversion"/>
  </si>
  <si>
    <t>TEMP-S000225990</t>
  </si>
  <si>
    <t>TEMP-S000225993</t>
    <phoneticPr fontId="18" type="noConversion"/>
  </si>
  <si>
    <t>TEMP-S000225995</t>
    <phoneticPr fontId="18" type="noConversion"/>
  </si>
  <si>
    <t>TEMP-S000225996</t>
    <phoneticPr fontId="18" type="noConversion"/>
  </si>
  <si>
    <t>TEMP-S000225997</t>
    <phoneticPr fontId="18" type="noConversion"/>
  </si>
  <si>
    <t>TEMP-S000225998</t>
    <phoneticPr fontId="18" type="noConversion"/>
  </si>
  <si>
    <t>TEMP-S000226000</t>
    <phoneticPr fontId="18" type="noConversion"/>
  </si>
  <si>
    <t>TEMP-S000226001</t>
    <phoneticPr fontId="18" type="noConversion"/>
  </si>
  <si>
    <t>TEMP-S000226002</t>
  </si>
  <si>
    <t>TEMP-S000226003</t>
    <phoneticPr fontId="18" type="noConversion"/>
  </si>
  <si>
    <t>TEMP-S000226004</t>
    <phoneticPr fontId="18" type="noConversion"/>
  </si>
  <si>
    <t>TEMP-S000226005</t>
    <phoneticPr fontId="18" type="noConversion"/>
  </si>
  <si>
    <r>
      <t xml:space="preserve">1. Update Cables' MPN and HHPN
2. Update </t>
    </r>
    <r>
      <rPr>
        <b/>
        <sz val="11"/>
        <rFont val="Calibri"/>
        <family val="2"/>
      </rPr>
      <t>Busbar Clip</t>
    </r>
    <r>
      <rPr>
        <sz val="11"/>
        <rFont val="Calibri"/>
        <family val="2"/>
      </rPr>
      <t xml:space="preserve"> Information
3. Change Power Cable Description(48V-&gt;54V, based on NV GB300 Description)</t>
    </r>
    <phoneticPr fontId="9" type="noConversion"/>
  </si>
  <si>
    <t>TEMP-S000226109</t>
  </si>
  <si>
    <t>TEMP-S000226110</t>
    <phoneticPr fontId="18" type="noConversion"/>
  </si>
  <si>
    <t>HWHHW-BB41</t>
  </si>
  <si>
    <t>HGZ56-0922</t>
  </si>
  <si>
    <t>X05</t>
    <phoneticPr fontId="9" type="noConversion"/>
  </si>
  <si>
    <t>CBL, 54V Power Cable</t>
    <phoneticPr fontId="18" type="noConversion"/>
  </si>
  <si>
    <t>1. 54V Power cable</t>
    <phoneticPr fontId="18" type="noConversion"/>
  </si>
  <si>
    <t>Inner Busbar</t>
    <phoneticPr fontId="18" type="noConversion"/>
  </si>
  <si>
    <t>48</t>
  </si>
  <si>
    <t>49</t>
  </si>
  <si>
    <t>50</t>
  </si>
  <si>
    <t>LGA Interposer</t>
    <phoneticPr fontId="18" type="noConversion"/>
  </si>
  <si>
    <t>Foxconn</t>
    <phoneticPr fontId="18" type="noConversion"/>
  </si>
  <si>
    <t>PL08517-12NN0-4H</t>
    <phoneticPr fontId="18" type="noConversion"/>
  </si>
  <si>
    <t>Interconnect (SMD) LGA interposer 851pin 0.867x1mm pitch</t>
    <phoneticPr fontId="18" type="noConversion"/>
  </si>
  <si>
    <t>for CX8 IO</t>
    <phoneticPr fontId="18" type="noConversion"/>
  </si>
  <si>
    <t>TEMP-S000226160</t>
    <phoneticPr fontId="18" type="noConversion"/>
  </si>
  <si>
    <t>16</t>
    <phoneticPr fontId="18" type="noConversion"/>
  </si>
  <si>
    <t>17</t>
    <phoneticPr fontId="18" type="noConversion"/>
  </si>
  <si>
    <t>18</t>
    <phoneticPr fontId="18" type="noConversion"/>
  </si>
  <si>
    <r>
      <t xml:space="preserve">1. Update </t>
    </r>
    <r>
      <rPr>
        <b/>
        <sz val="11"/>
        <rFont val="Calibri"/>
        <family val="2"/>
      </rPr>
      <t>LGA SOCAMM</t>
    </r>
    <r>
      <rPr>
        <sz val="11"/>
        <rFont val="Calibri"/>
        <family val="2"/>
      </rPr>
      <t xml:space="preserve"> and </t>
    </r>
    <r>
      <rPr>
        <b/>
        <sz val="11"/>
        <rFont val="Calibri"/>
        <family val="2"/>
      </rPr>
      <t>LGA Interposer</t>
    </r>
    <r>
      <rPr>
        <sz val="11"/>
        <rFont val="Calibri"/>
        <family val="2"/>
      </rPr>
      <t xml:space="preserve"> Information(Enya, 1/3, Mail)
2. Update Busbar Clip Category</t>
    </r>
    <phoneticPr fontId="9" type="noConversion"/>
  </si>
  <si>
    <t>X06</t>
    <phoneticPr fontId="9" type="noConversion"/>
  </si>
  <si>
    <t>F0N-MM0613GP000.prt</t>
  </si>
  <si>
    <t>Front IO Board Screw</t>
    <phoneticPr fontId="18" type="noConversion"/>
  </si>
  <si>
    <t>2A58B4100-000-GPK</t>
  </si>
  <si>
    <t>MGX-OCP Chassis</t>
    <phoneticPr fontId="18" type="noConversion"/>
  </si>
  <si>
    <t>01-E1S-MODULE-ASSY-MGX.asm</t>
  </si>
  <si>
    <t>9_SCREW-MINSAS-M2_RZS.prt</t>
  </si>
  <si>
    <t>2A583MF00-600-G</t>
  </si>
  <si>
    <t>01_E1-S_TLA_GB300-95.asm</t>
  </si>
  <si>
    <t>2_FAN-COVER-BACK_GBTH.prt</t>
  </si>
  <si>
    <t>Front Fan Cover</t>
    <phoneticPr fontId="18" type="noConversion"/>
  </si>
  <si>
    <t>Back Fan Cover</t>
    <phoneticPr fontId="18" type="noConversion"/>
  </si>
  <si>
    <t>2_FAN-COVER-FRONT_GBTH-META.prt</t>
  </si>
  <si>
    <t>9_SR-3DM-Z_OBN.prt</t>
  </si>
  <si>
    <t>9_SR-3DM-A_OBN.prt</t>
  </si>
  <si>
    <t>Fan Rubber</t>
    <phoneticPr fontId="18" type="noConversion"/>
  </si>
  <si>
    <t>Fan Nut</t>
    <phoneticPr fontId="18" type="noConversion"/>
  </si>
  <si>
    <t>7D118W400-600-G</t>
  </si>
  <si>
    <t>7D118W500-600-G</t>
  </si>
  <si>
    <t>32</t>
    <phoneticPr fontId="18" type="noConversion"/>
  </si>
  <si>
    <t>Different with MGX-OCP</t>
    <phoneticPr fontId="18" type="noConversion"/>
  </si>
  <si>
    <t>Different with Sun Ref</t>
    <phoneticPr fontId="18" type="noConversion"/>
  </si>
  <si>
    <t>Sun-Ref Chassis</t>
    <phoneticPr fontId="18" type="noConversion"/>
  </si>
  <si>
    <t>01_COMPUTE-TRAY-ASSY_IQD-F.asm</t>
  </si>
  <si>
    <t>L10 Compute Tray _MGX-OCP</t>
    <phoneticPr fontId="9" type="noConversion"/>
  </si>
  <si>
    <t>15</t>
    <phoneticPr fontId="18" type="noConversion"/>
  </si>
  <si>
    <t>CX75343AMC-NEAC_FB</t>
  </si>
  <si>
    <t>14</t>
    <phoneticPr fontId="18" type="noConversion"/>
  </si>
  <si>
    <t>Mercury_MGX Ref_HSC Board[EVT_X01]</t>
  </si>
  <si>
    <t>TIM Pack</t>
    <phoneticPr fontId="18" type="noConversion"/>
  </si>
  <si>
    <t>TEMP-S000226360</t>
  </si>
  <si>
    <t>E1.S 9.5mm SSD Bracket</t>
    <phoneticPr fontId="18" type="noConversion"/>
  </si>
  <si>
    <t>E1.S 25mm SSD Bracket</t>
    <phoneticPr fontId="18" type="noConversion"/>
  </si>
  <si>
    <t>E1.S 25mm SSD Bracket Screw</t>
    <phoneticPr fontId="18" type="noConversion"/>
  </si>
  <si>
    <t>28</t>
    <phoneticPr fontId="18" type="noConversion"/>
  </si>
  <si>
    <t>29</t>
    <phoneticPr fontId="18" type="noConversion"/>
  </si>
  <si>
    <t>X07</t>
    <phoneticPr fontId="9" type="noConversion"/>
  </si>
  <si>
    <t>3. DC-SCM2.0 cable(Sun Ref)</t>
    <phoneticPr fontId="18" type="noConversion"/>
  </si>
  <si>
    <t>5.  NIC1 3-to-1 cable(Sun Ref)</t>
    <phoneticPr fontId="18" type="noConversion"/>
  </si>
  <si>
    <t>1A72CF400-600-G</t>
  </si>
  <si>
    <t>TEMP-S000225999</t>
    <phoneticPr fontId="18" type="noConversion"/>
  </si>
  <si>
    <t>1. Update HHPN
2. Update Sun Ref. Cable information
3. Update TIM Pack in Sun Ref. Page
4. Remove Busbar Cable second source</t>
    <phoneticPr fontId="9" type="noConversion"/>
  </si>
  <si>
    <t>X08</t>
    <phoneticPr fontId="9" type="noConversion"/>
  </si>
  <si>
    <t>1A72CF700-600-G</t>
    <phoneticPr fontId="18" type="noConversion"/>
  </si>
  <si>
    <t>CBL, NIC1 3-to-1 Cable(For Sun-Ref.)</t>
    <phoneticPr fontId="18" type="noConversion"/>
  </si>
  <si>
    <t>CBL, DC-SCM2.0 Cable(For Sun-Ref.)</t>
    <phoneticPr fontId="18" type="noConversion"/>
  </si>
  <si>
    <t>ES: 699-24764-0004-ES1
QS: 699-24764-0004-QS1
PS: 900-24764-0030-000</t>
    <phoneticPr fontId="18" type="noConversion"/>
  </si>
  <si>
    <t>1A72CHE00-600-G</t>
    <phoneticPr fontId="44" type="noConversion"/>
  </si>
  <si>
    <t>01_COMPUTE-TRAY-L5-ASSY_MGX.asm</t>
  </si>
  <si>
    <t>01_E1-S_HOLDER_GB300-95.asm</t>
  </si>
  <si>
    <t>1A72CEE00-600-G</t>
  </si>
  <si>
    <t>E1.S 9.5mm SSD Bracket Screw</t>
    <phoneticPr fontId="18" type="noConversion"/>
  </si>
  <si>
    <t>2A585KV00-600-G</t>
  </si>
  <si>
    <t>9_M2-5-D6_SBR.prt</t>
  </si>
  <si>
    <t>1B61GVS00-600-G</t>
  </si>
  <si>
    <t>1B61GVT00-600-G</t>
  </si>
  <si>
    <t>1A72CC900-600-G</t>
  </si>
  <si>
    <t>1. Update TIM PN
2. Update NV Part Information
3. Update Mechanical Part Information
4. Update Micron SOCAMM MfgPN
5. Add Assemblies Package for FRU
6. Update PCBA AAPN: Using ODM B Database(Enya, 1/15, Mail)</t>
    <phoneticPr fontId="9" type="noConversion"/>
  </si>
  <si>
    <t>SCM(TPM*2+BSM+Sensor)</t>
    <phoneticPr fontId="18" type="noConversion"/>
  </si>
  <si>
    <t>X09</t>
    <phoneticPr fontId="9" type="noConversion"/>
  </si>
  <si>
    <t>TEMP-S000227028</t>
    <phoneticPr fontId="18" type="noConversion"/>
  </si>
  <si>
    <t>692-9X88E-00CX-ES1</t>
    <phoneticPr fontId="18" type="noConversion"/>
  </si>
  <si>
    <t>1A72ALB00-600-G</t>
    <phoneticPr fontId="18" type="noConversion"/>
  </si>
  <si>
    <t>Catalina-E1.S Backplane [DVT-X01]</t>
    <phoneticPr fontId="18" type="noConversion"/>
  </si>
  <si>
    <t>1A72CK800-600-G</t>
    <phoneticPr fontId="18" type="noConversion"/>
  </si>
  <si>
    <t>Mercury_OSFP_GB200_Board[EVT_X01]</t>
    <phoneticPr fontId="18" type="noConversion"/>
  </si>
  <si>
    <r>
      <t xml:space="preserve">1. Add </t>
    </r>
    <r>
      <rPr>
        <b/>
        <sz val="11"/>
        <rFont val="Calibri"/>
        <family val="2"/>
      </rPr>
      <t>FRU BOM</t>
    </r>
    <phoneticPr fontId="9" type="noConversion"/>
  </si>
  <si>
    <t>FRU</t>
    <phoneticPr fontId="9" type="noConversion"/>
  </si>
  <si>
    <t>X10</t>
    <phoneticPr fontId="9" type="noConversion"/>
  </si>
  <si>
    <t>TIM Packs</t>
    <phoneticPr fontId="9" type="noConversion"/>
  </si>
  <si>
    <t>285-0965-000</t>
  </si>
  <si>
    <t>285-0326-000</t>
  </si>
  <si>
    <t>285-1423-000</t>
  </si>
  <si>
    <t>285-1422-000</t>
  </si>
  <si>
    <t>285-1426-000</t>
  </si>
  <si>
    <t>285-1438-000</t>
  </si>
  <si>
    <t>285-1424-000</t>
  </si>
  <si>
    <t>285-1439-000</t>
  </si>
  <si>
    <t>285-1416-000</t>
  </si>
  <si>
    <t>285-1417-000</t>
  </si>
  <si>
    <t>285-1419-000</t>
  </si>
  <si>
    <t>285-1112-000</t>
  </si>
  <si>
    <t>285-1357-000</t>
  </si>
  <si>
    <t>285-1432-000</t>
  </si>
  <si>
    <t>Honeywell</t>
  </si>
  <si>
    <t>ShinEtsu</t>
  </si>
  <si>
    <t>Laird</t>
  </si>
  <si>
    <t>Fujipoli</t>
  </si>
  <si>
    <t>3</t>
  </si>
  <si>
    <t>4</t>
  </si>
  <si>
    <t>5</t>
  </si>
  <si>
    <t>6</t>
  </si>
  <si>
    <t>7</t>
  </si>
  <si>
    <t>8</t>
  </si>
  <si>
    <t>9</t>
  </si>
  <si>
    <t>10</t>
  </si>
  <si>
    <t>11</t>
  </si>
  <si>
    <t>12</t>
  </si>
  <si>
    <t>13</t>
  </si>
  <si>
    <t>14</t>
  </si>
  <si>
    <t>TEMP-S000227142</t>
  </si>
  <si>
    <t>0</t>
    <phoneticPr fontId="18" type="noConversion"/>
  </si>
  <si>
    <t>SOCAMM Remote Cooler 40mm x 5mm</t>
    <phoneticPr fontId="18" type="noConversion"/>
  </si>
  <si>
    <t>HSC 50mm x 8mm</t>
    <phoneticPr fontId="18" type="noConversion"/>
  </si>
  <si>
    <t>SXM7 TTP Top TIM map 46mm x 42mm</t>
    <phoneticPr fontId="45" type="noConversion"/>
  </si>
  <si>
    <t>TTP Top Surface, 33mm x 35mm</t>
    <phoneticPr fontId="18" type="noConversion"/>
  </si>
  <si>
    <t>TTP Top Surface, 0.6 ml</t>
    <phoneticPr fontId="18" type="noConversion"/>
  </si>
  <si>
    <t>TTP Top Surface, 12mm x 32mm</t>
    <phoneticPr fontId="18" type="noConversion"/>
  </si>
  <si>
    <t>TTP Top Surface , 50mm x 6mm</t>
    <phoneticPr fontId="18" type="noConversion"/>
  </si>
  <si>
    <t>TTP Top Surface, 23.5mm x 5mm</t>
    <phoneticPr fontId="18" type="noConversion"/>
  </si>
  <si>
    <t>TTP Top Surface, 16mm x 14mm</t>
    <phoneticPr fontId="18" type="noConversion"/>
  </si>
  <si>
    <t>TTP Top Surface, 7mm x 14mm</t>
    <phoneticPr fontId="18" type="noConversion"/>
  </si>
  <si>
    <t>HSC, 14mm x 6mm</t>
    <phoneticPr fontId="18" type="noConversion"/>
  </si>
  <si>
    <t>SXM7 TTP Top TIM map, 49.5mm x 4mm</t>
    <phoneticPr fontId="45" type="noConversion"/>
  </si>
  <si>
    <t>SXM7 TTP Top TIM map, 28mm x 6mm</t>
    <phoneticPr fontId="45" type="noConversion"/>
  </si>
  <si>
    <t>7D118W400-600-G</t>
    <phoneticPr fontId="18" type="noConversion"/>
  </si>
  <si>
    <t>7D118W500-600-G</t>
    <phoneticPr fontId="18" type="noConversion"/>
  </si>
  <si>
    <t>TEMP-S000196236</t>
    <phoneticPr fontId="18" type="noConversion"/>
  </si>
  <si>
    <t>Pingood</t>
    <phoneticPr fontId="18" type="noConversion"/>
  </si>
  <si>
    <t>SR-3DM-NOB-Z</t>
    <phoneticPr fontId="18" type="noConversion"/>
  </si>
  <si>
    <t>SR-3DM-NOB-A</t>
    <phoneticPr fontId="18" type="noConversion"/>
  </si>
  <si>
    <t>TEMP-S000196235</t>
    <phoneticPr fontId="18" type="noConversion"/>
  </si>
  <si>
    <t>F0N-MM0613GP000.PRT</t>
  </si>
  <si>
    <t>Evergreen</t>
    <phoneticPr fontId="18" type="noConversion"/>
  </si>
  <si>
    <t>WI-HT-G67110A</t>
  </si>
  <si>
    <t>TEMP-S000224873</t>
  </si>
  <si>
    <t>19</t>
    <phoneticPr fontId="18" type="noConversion"/>
  </si>
  <si>
    <t>20</t>
    <phoneticPr fontId="18" type="noConversion"/>
  </si>
  <si>
    <t>21</t>
    <phoneticPr fontId="18" type="noConversion"/>
  </si>
  <si>
    <t>27</t>
    <phoneticPr fontId="18" type="noConversion"/>
  </si>
  <si>
    <t>22</t>
    <phoneticPr fontId="18" type="noConversion"/>
  </si>
  <si>
    <t>1A72CL900-600-G</t>
    <phoneticPr fontId="18" type="noConversion"/>
  </si>
  <si>
    <t>Fan Nut, SR-3DM-NOB-Z</t>
    <phoneticPr fontId="18" type="noConversion"/>
  </si>
  <si>
    <t>Fan knob, SR-3DM-NOB-A</t>
    <phoneticPr fontId="18" type="noConversion"/>
  </si>
  <si>
    <r>
      <t xml:space="preserve">1. </t>
    </r>
    <r>
      <rPr>
        <b/>
        <sz val="11"/>
        <color rgb="FFFF0000"/>
        <rFont val="Calibri"/>
        <family val="2"/>
      </rPr>
      <t>Add TIM Pack Sub BOM</t>
    </r>
    <r>
      <rPr>
        <sz val="11"/>
        <rFont val="Calibri"/>
        <family val="2"/>
      </rPr>
      <t xml:space="preserve">(Information from Thermal Eric, 1/16, SE/Thermal Teams)
2. Add </t>
    </r>
    <r>
      <rPr>
        <b/>
        <sz val="11"/>
        <rFont val="Calibri"/>
        <family val="2"/>
      </rPr>
      <t>Fan Rubber, Fan Nuts and FIO Screw</t>
    </r>
    <r>
      <rPr>
        <sz val="11"/>
        <rFont val="Calibri"/>
        <family val="2"/>
      </rPr>
      <t xml:space="preserve"> Second Sources (Local Source)
3. Manufacturer Update: </t>
    </r>
    <r>
      <rPr>
        <b/>
        <sz val="11"/>
        <rFont val="Calibri"/>
        <family val="2"/>
      </rPr>
      <t xml:space="preserve">EPD5 -&gt; Atemitech </t>
    </r>
    <r>
      <rPr>
        <sz val="11"/>
        <rFont val="Calibri"/>
        <family val="2"/>
      </rPr>
      <t>(Confrimed by MEPM Gavin, 1/16, SE/ME Teams)
4. Correct Lotus SOCAMM MfgPN(Confirm By Lotus Jesse, 1/15, Mail)</t>
    </r>
    <phoneticPr fontId="9" type="noConversion"/>
  </si>
  <si>
    <t>Atemitech</t>
    <phoneticPr fontId="18" type="noConversion"/>
  </si>
  <si>
    <t>X11</t>
    <phoneticPr fontId="9" type="noConversion"/>
  </si>
  <si>
    <t>1</t>
    <phoneticPr fontId="10" type="noConversion"/>
  </si>
  <si>
    <t>CoolerMaster</t>
  </si>
  <si>
    <t>Thremal</t>
    <phoneticPr fontId="10" type="noConversion"/>
  </si>
  <si>
    <t>Meta Catalina (GB200), CPL, Inner Manifold and Coldplate Sub ASSY - Matrix2</t>
  </si>
  <si>
    <t>Maxwell Mercury(GB300), CPL, Inner Manifold and Coldplate and SOCAMM HSK- CM</t>
    <phoneticPr fontId="18" type="noConversion"/>
  </si>
  <si>
    <t>Maxwell Mercury(GB300), CPL, Inner Manifold and Coldplate and SOCAMM HSK- AVC</t>
    <phoneticPr fontId="18" type="noConversion"/>
  </si>
  <si>
    <t>Maxwell Mercury(GB300), CPL, Inner Manifold and Coldplate and SOCAMM HSK-Auras</t>
    <phoneticPr fontId="18" type="noConversion"/>
  </si>
  <si>
    <t>Auras</t>
    <phoneticPr fontId="18" type="noConversion"/>
  </si>
  <si>
    <t>Meta GB300 EVT CPU cold plate - CM</t>
    <phoneticPr fontId="18" type="noConversion"/>
  </si>
  <si>
    <t>Meta GB300 EVT GPU cold plate - CM</t>
    <phoneticPr fontId="18" type="noConversion"/>
  </si>
  <si>
    <t>Meta GB300 EVT Inner manifold - CM</t>
    <phoneticPr fontId="18" type="noConversion"/>
  </si>
  <si>
    <t>Meta GB300 EVT SOCAMM HSK-L - CM</t>
    <phoneticPr fontId="18" type="noConversion"/>
  </si>
  <si>
    <t>Meta GB300 EVT SOCAMM HSK-R - CM</t>
    <phoneticPr fontId="18" type="noConversion"/>
  </si>
  <si>
    <t>Meta GB300 EVT CPU cold plate - AVC</t>
    <phoneticPr fontId="18" type="noConversion"/>
  </si>
  <si>
    <t>Meta GB300 EVT GPU cold plate - AVC</t>
    <phoneticPr fontId="18" type="noConversion"/>
  </si>
  <si>
    <t>Meta GB300 EVT Inner manifold - AVC</t>
    <phoneticPr fontId="18" type="noConversion"/>
  </si>
  <si>
    <t>Meta GB300 EVT SOCAMM HSK-L - AVC</t>
    <phoneticPr fontId="18" type="noConversion"/>
  </si>
  <si>
    <t>Meta GB300 EVT SOCAMM HSK-R - AVC</t>
    <phoneticPr fontId="18" type="noConversion"/>
  </si>
  <si>
    <t>Meta GB300 EVT CPU cold plate - Auras</t>
    <phoneticPr fontId="18" type="noConversion"/>
  </si>
  <si>
    <t>Meta GB300 EVT GPU cold plate - Auras</t>
  </si>
  <si>
    <t>Meta GB300 EVT Inner manifold - Auras</t>
  </si>
  <si>
    <t>Meta GB300 EVT SOCAMM HSK-L - Auras</t>
  </si>
  <si>
    <t>Meta GB300 EVT SOCAMM HSK-R - Auras</t>
  </si>
  <si>
    <t>CC-03850-01-GP3S1</t>
  </si>
  <si>
    <t>CC-03851-01-GP3S1</t>
  </si>
  <si>
    <t>754-24059-0006-000</t>
  </si>
  <si>
    <t>754-24059-0007-000</t>
  </si>
  <si>
    <t xml:space="preserve">SFA3740001-1 </t>
  </si>
  <si>
    <t xml:space="preserve">SFA3750001-1 </t>
  </si>
  <si>
    <t xml:space="preserve">SFA3760001-1 </t>
  </si>
  <si>
    <t>TEMP-S000227387</t>
  </si>
  <si>
    <t>TEMP-S000227388</t>
  </si>
  <si>
    <t>TEMP-S000227389</t>
  </si>
  <si>
    <t xml:space="preserve">SFA3720001-1 </t>
    <phoneticPr fontId="18" type="noConversion"/>
  </si>
  <si>
    <t>TEMP-S000227350</t>
  </si>
  <si>
    <t>0S53B00024</t>
  </si>
  <si>
    <t>TEMP-S000227613</t>
    <phoneticPr fontId="18" type="noConversion"/>
  </si>
  <si>
    <t>TEMP-S000227634</t>
  </si>
  <si>
    <t>TEMP-S000227635</t>
  </si>
  <si>
    <t>HGZ168-1299</t>
    <phoneticPr fontId="18" type="noConversion"/>
  </si>
  <si>
    <t>Cordelia
ES: 675-24480-0000-ES1
QS: 675-24480-0000-QS1
PS: 935-24480-0001-000</t>
    <phoneticPr fontId="18" type="noConversion"/>
  </si>
  <si>
    <t>19. Busbar Cable</t>
    <phoneticPr fontId="18" type="noConversion"/>
  </si>
  <si>
    <t>TEMP-S000227634</t>
    <phoneticPr fontId="18" type="noConversion"/>
  </si>
  <si>
    <t>TEMP-S000227635</t>
    <phoneticPr fontId="18" type="noConversion"/>
  </si>
  <si>
    <t>FOXCONN/EPD2</t>
    <phoneticPr fontId="18" type="noConversion"/>
  </si>
  <si>
    <t>Maxwell Mercury(GB300), CPL, Inner Manifold and Coldplate and SOCAMM HSK- Auras</t>
    <phoneticPr fontId="18" type="noConversion"/>
  </si>
  <si>
    <t>05-100220</t>
  </si>
  <si>
    <t>05-100219</t>
  </si>
  <si>
    <t>09-100272</t>
    <phoneticPr fontId="18" type="noConversion"/>
  </si>
  <si>
    <t>09-100274</t>
    <phoneticPr fontId="18" type="noConversion"/>
  </si>
  <si>
    <t>09-100273</t>
    <phoneticPr fontId="18" type="noConversion"/>
  </si>
  <si>
    <t>09-100271</t>
    <phoneticPr fontId="18" type="noConversion"/>
  </si>
  <si>
    <t>L Thermal Matrix</t>
    <phoneticPr fontId="9" type="noConversion"/>
  </si>
  <si>
    <t>19-100593</t>
    <phoneticPr fontId="18" type="noConversion"/>
  </si>
  <si>
    <t>19-100594</t>
    <phoneticPr fontId="18" type="noConversion"/>
  </si>
  <si>
    <t>19-100591</t>
    <phoneticPr fontId="18" type="noConversion"/>
  </si>
  <si>
    <t>19-100592</t>
    <phoneticPr fontId="18" type="noConversion"/>
  </si>
  <si>
    <t>19-100595</t>
    <phoneticPr fontId="18" type="noConversion"/>
  </si>
  <si>
    <t>27-100382</t>
    <phoneticPr fontId="18" type="noConversion"/>
  </si>
  <si>
    <t>07-100610</t>
    <phoneticPr fontId="18" type="noConversion"/>
  </si>
  <si>
    <t>07-100611</t>
    <phoneticPr fontId="18" type="noConversion"/>
  </si>
  <si>
    <t>07-100612</t>
    <phoneticPr fontId="18" type="noConversion"/>
  </si>
  <si>
    <t>07-100613</t>
    <phoneticPr fontId="18" type="noConversion"/>
  </si>
  <si>
    <t>07-100614</t>
    <phoneticPr fontId="18" type="noConversion"/>
  </si>
  <si>
    <t>07-100615</t>
    <phoneticPr fontId="18" type="noConversion"/>
  </si>
  <si>
    <t>07-100616</t>
    <phoneticPr fontId="18" type="noConversion"/>
  </si>
  <si>
    <t>07-100617</t>
    <phoneticPr fontId="18" type="noConversion"/>
  </si>
  <si>
    <t>07-100618</t>
    <phoneticPr fontId="18" type="noConversion"/>
  </si>
  <si>
    <t>07-100619</t>
    <phoneticPr fontId="18" type="noConversion"/>
  </si>
  <si>
    <t>07-100620</t>
    <phoneticPr fontId="18" type="noConversion"/>
  </si>
  <si>
    <t>07-100621</t>
    <phoneticPr fontId="18" type="noConversion"/>
  </si>
  <si>
    <t>07-100622</t>
    <phoneticPr fontId="18" type="noConversion"/>
  </si>
  <si>
    <t>07-100623</t>
    <phoneticPr fontId="18" type="noConversion"/>
  </si>
  <si>
    <t>07-100624</t>
    <phoneticPr fontId="18" type="noConversion"/>
  </si>
  <si>
    <t>07-100625</t>
    <phoneticPr fontId="18" type="noConversion"/>
  </si>
  <si>
    <t>07-100626</t>
    <phoneticPr fontId="18" type="noConversion"/>
  </si>
  <si>
    <t>07-100627</t>
    <phoneticPr fontId="18" type="noConversion"/>
  </si>
  <si>
    <t>07-100628</t>
    <phoneticPr fontId="18" type="noConversion"/>
  </si>
  <si>
    <t>X12</t>
    <phoneticPr fontId="9" type="noConversion"/>
  </si>
  <si>
    <t>TEMP-S000227728</t>
    <phoneticPr fontId="18" type="noConversion"/>
  </si>
  <si>
    <t>TEMP-S000227729</t>
    <phoneticPr fontId="18" type="noConversion"/>
  </si>
  <si>
    <t>0S51B00114</t>
    <phoneticPr fontId="18" type="noConversion"/>
  </si>
  <si>
    <t>1A72BTB00-600-G</t>
    <phoneticPr fontId="18" type="noConversion"/>
  </si>
  <si>
    <t>Mercury_BSM[EVT_X01]</t>
    <phoneticPr fontId="18" type="noConversion"/>
  </si>
  <si>
    <t>Move From DC-SCM TLA</t>
    <phoneticPr fontId="18" type="noConversion"/>
  </si>
  <si>
    <t>NIC Card
MfgPN checking: 900-9X7AX-A54N-MC0</t>
    <phoneticPr fontId="18" type="noConversion"/>
  </si>
  <si>
    <t>2A58B4G00-000-G</t>
  </si>
  <si>
    <t>PDB Screw</t>
    <phoneticPr fontId="18" type="noConversion"/>
  </si>
  <si>
    <t>TEMP-S000224842</t>
  </si>
  <si>
    <t>TEMP-S000224862</t>
  </si>
  <si>
    <t>F0N-MS30050I330.prt</t>
  </si>
  <si>
    <t>PEM</t>
  </si>
  <si>
    <t>EVERGREEN</t>
  </si>
  <si>
    <t>G-108964-ZI</t>
  </si>
  <si>
    <t>WI-HT-G67115A</t>
  </si>
  <si>
    <t>F0N-MS30050I330.prt</t>
    <phoneticPr fontId="44" type="noConversion"/>
  </si>
  <si>
    <t>19-100506</t>
    <phoneticPr fontId="18" type="noConversion"/>
  </si>
  <si>
    <t>155-1080-000.A</t>
    <phoneticPr fontId="18" type="noConversion"/>
  </si>
  <si>
    <t>Screw Pan Head Torx Machine M4 x 0.7mm x 8mm Low Carbon Steel Black Zinc</t>
    <phoneticPr fontId="18" type="noConversion"/>
  </si>
  <si>
    <t>HSC M4 Screw</t>
    <phoneticPr fontId="18" type="noConversion"/>
  </si>
  <si>
    <t>TEMP-S000227920</t>
  </si>
  <si>
    <t>SCREW_PH_M3-L8_P2_BZ_STL</t>
  </si>
  <si>
    <t>155-0225-000</t>
    <phoneticPr fontId="18" type="noConversion"/>
  </si>
  <si>
    <t>TEMP-S000227921</t>
  </si>
  <si>
    <t>HSC M3 Screw</t>
    <phoneticPr fontId="18" type="noConversion"/>
  </si>
  <si>
    <t>05-100221</t>
    <phoneticPr fontId="18" type="noConversion"/>
  </si>
  <si>
    <t>19-100597</t>
    <phoneticPr fontId="18" type="noConversion"/>
  </si>
  <si>
    <t>05-100223</t>
    <phoneticPr fontId="18" type="noConversion"/>
  </si>
  <si>
    <t>05-100224</t>
    <phoneticPr fontId="18" type="noConversion"/>
  </si>
  <si>
    <t>05-100222</t>
    <phoneticPr fontId="18" type="noConversion"/>
  </si>
  <si>
    <t>SCM(TPM*2+Sensor)</t>
    <phoneticPr fontId="18" type="noConversion"/>
  </si>
  <si>
    <t>X13</t>
    <phoneticPr fontId="9" type="noConversion"/>
  </si>
  <si>
    <t>Mercury_DC-SCM_2.0[EVT_X01], include 2xTPM + 1xSensor Board</t>
    <phoneticPr fontId="18" type="noConversion"/>
  </si>
  <si>
    <t>CBL, 54V Busbar Clip</t>
    <phoneticPr fontId="18" type="noConversion"/>
  </si>
  <si>
    <t>TEMP-S000227984</t>
    <phoneticPr fontId="18" type="noConversion"/>
  </si>
  <si>
    <t>TEMP-S000227985</t>
    <phoneticPr fontId="18" type="noConversion"/>
  </si>
  <si>
    <t>9_screw-hot-swap-m3l8</t>
  </si>
  <si>
    <t>9_screw-hot-swap-m4l8</t>
  </si>
  <si>
    <t>Hanwit</t>
    <phoneticPr fontId="18" type="noConversion"/>
  </si>
  <si>
    <t>EQ-32502-34F26A</t>
  </si>
  <si>
    <t>EQ-32502-34F23A</t>
  </si>
  <si>
    <t>CAA0200162-0</t>
  </si>
  <si>
    <t>TEMP-S000227988</t>
  </si>
  <si>
    <t>GTY</t>
  </si>
  <si>
    <t>E1.S 25mm SSD Bracket Screw</t>
  </si>
  <si>
    <t>E1.S 9.5mm SSD Bracket Screw</t>
  </si>
  <si>
    <t>AAA0250476-QB</t>
  </si>
  <si>
    <t>TEMP-S000227989</t>
  </si>
  <si>
    <t>2A585KV00-600-G</t>
    <phoneticPr fontId="18" type="noConversion"/>
  </si>
  <si>
    <t>Gasket</t>
    <phoneticPr fontId="18" type="noConversion"/>
  </si>
  <si>
    <t>2J057KM00-600-G</t>
  </si>
  <si>
    <t>15</t>
  </si>
  <si>
    <t>16</t>
  </si>
  <si>
    <t>17</t>
  </si>
  <si>
    <t>18</t>
  </si>
  <si>
    <t>33</t>
    <phoneticPr fontId="18" type="noConversion"/>
  </si>
  <si>
    <t>34</t>
    <phoneticPr fontId="18" type="noConversion"/>
  </si>
  <si>
    <t>35</t>
    <phoneticPr fontId="18" type="noConversion"/>
  </si>
  <si>
    <t>51</t>
  </si>
  <si>
    <t>52</t>
  </si>
  <si>
    <t>55</t>
    <phoneticPr fontId="18" type="noConversion"/>
  </si>
  <si>
    <t>56</t>
    <phoneticPr fontId="18" type="noConversion"/>
  </si>
  <si>
    <t>Battery</t>
    <phoneticPr fontId="18" type="noConversion"/>
  </si>
  <si>
    <t>CR-2032L/BE</t>
  </si>
  <si>
    <t>890100800-024-G</t>
    <phoneticPr fontId="18" type="noConversion"/>
  </si>
  <si>
    <t>ODM Accessories Component CR Coin Type BATTERY LI 3V 220MAH</t>
    <phoneticPr fontId="18" type="noConversion"/>
  </si>
  <si>
    <t>Panasonic</t>
    <phoneticPr fontId="10" type="noConversion"/>
  </si>
  <si>
    <t>Will Put in PDB Discrete</t>
    <phoneticPr fontId="18" type="noConversion"/>
  </si>
  <si>
    <t>1. Considering Material Lead Time, Busbar Clip Will Use NEW PN(With New Feature)
2. Update Mechanical Part Local Source
3. Update ColdPlate HHPN
4. Move Cable Bridge From Fan R TLA to L10 Assembly Since Material Lead Time
5. Add Gasket in Sun Ref. Sheet
6. Add CR Battery
7. Update Label Information</t>
    <phoneticPr fontId="9" type="noConversion"/>
  </si>
  <si>
    <t>7J-3133-000</t>
    <phoneticPr fontId="18" type="noConversion"/>
  </si>
  <si>
    <t>LBL, L10 SN Label, L10 FBPN Label, L10 HHPN Label, 17x6mm</t>
    <phoneticPr fontId="18" type="noConversion"/>
  </si>
  <si>
    <t>OS01115</t>
  </si>
  <si>
    <t>LBL, SSD Label, 50.8x12.7mm</t>
    <phoneticPr fontId="18" type="noConversion"/>
  </si>
  <si>
    <t>SN, FBPN,HHPN</t>
    <phoneticPr fontId="18" type="noConversion"/>
  </si>
  <si>
    <t>TEMP-S000227382</t>
    <phoneticPr fontId="18" type="noConversion"/>
  </si>
  <si>
    <t>TEMP-S000227347</t>
    <phoneticPr fontId="18" type="noConversion"/>
  </si>
  <si>
    <t>LC-04906-02-GP3S1</t>
    <phoneticPr fontId="18" type="noConversion"/>
  </si>
  <si>
    <t>0S51B00052</t>
    <phoneticPr fontId="18" type="noConversion"/>
  </si>
  <si>
    <t>TEMP-S000227380</t>
    <phoneticPr fontId="18" type="noConversion"/>
  </si>
  <si>
    <t>TEMP-S000227348</t>
    <phoneticPr fontId="18" type="noConversion"/>
  </si>
  <si>
    <t>LC-04907-02-GP3S1</t>
    <phoneticPr fontId="18" type="noConversion"/>
  </si>
  <si>
    <t xml:space="preserve">SFA3730001-1 </t>
    <phoneticPr fontId="18" type="noConversion"/>
  </si>
  <si>
    <t>0S51B00053</t>
    <phoneticPr fontId="18" type="noConversion"/>
  </si>
  <si>
    <t>0S51B00115</t>
    <phoneticPr fontId="18" type="noConversion"/>
  </si>
  <si>
    <t>LC-04915-02-GP3S1</t>
    <phoneticPr fontId="18" type="noConversion"/>
  </si>
  <si>
    <t>Bizlink</t>
    <phoneticPr fontId="18" type="noConversion"/>
  </si>
  <si>
    <t>TE</t>
    <phoneticPr fontId="18" type="noConversion"/>
  </si>
  <si>
    <t>TEMP-S000226515</t>
    <phoneticPr fontId="18" type="noConversion"/>
  </si>
  <si>
    <t>TEMP-S000226518</t>
    <phoneticPr fontId="18" type="noConversion"/>
  </si>
  <si>
    <t>TEMP-S000226519</t>
    <phoneticPr fontId="18" type="noConversion"/>
  </si>
  <si>
    <t>X14</t>
    <phoneticPr fontId="9" type="noConversion"/>
  </si>
  <si>
    <t>05-100225</t>
    <phoneticPr fontId="18" type="noConversion"/>
  </si>
  <si>
    <t>05-100226</t>
  </si>
  <si>
    <t>07-100632</t>
  </si>
  <si>
    <t>19-100602</t>
    <phoneticPr fontId="18" type="noConversion"/>
  </si>
  <si>
    <t>19-100603</t>
  </si>
  <si>
    <t>09-100275</t>
    <phoneticPr fontId="18" type="noConversion"/>
  </si>
  <si>
    <r>
      <t xml:space="preserve">1. Considering Material Lead Time(confirmed by PM Animy, 2/5, Mail), Busbar Clip Will Use Old PN(Without New Feature)
2. </t>
    </r>
    <r>
      <rPr>
        <sz val="11"/>
        <color rgb="FFFF0000"/>
        <rFont val="Calibri"/>
        <family val="2"/>
      </rPr>
      <t xml:space="preserve">Remove </t>
    </r>
    <r>
      <rPr>
        <sz val="11"/>
        <color theme="1"/>
        <rFont val="Calibri"/>
        <family val="2"/>
      </rPr>
      <t>LGA SOCAMM,SOCAMMand SOCAMM Screw(Confirmed by PM Animy, 2/5, Mail)
3. Base on BOM Structure, Move BSM Board to L10 BOM</t>
    </r>
    <r>
      <rPr>
        <sz val="11"/>
        <rFont val="Calibri"/>
        <family val="2"/>
      </rPr>
      <t xml:space="preserve">
4. Update SOCAMM HSK MfgPN and HHPN(from Mfg Auras, 2/3, Mail)
5. Update NIC Card PN in Remark(Waiting for Confirm)
6. Move DC-SCM Gasket to L10 BOM(Sun Ref.)
7. Add HSC Mechanical Part(Information from NV HSC Design Kit)
8. Add PDB Screw
9. Update </t>
    </r>
    <r>
      <rPr>
        <b/>
        <sz val="11"/>
        <rFont val="Calibri"/>
        <family val="2"/>
      </rPr>
      <t>Customer PN</t>
    </r>
    <phoneticPr fontId="9" type="noConversion"/>
  </si>
  <si>
    <r>
      <t xml:space="preserve">1. </t>
    </r>
    <r>
      <rPr>
        <b/>
        <sz val="11"/>
        <color rgb="FFFF0000"/>
        <rFont val="Calibri"/>
        <family val="2"/>
      </rPr>
      <t>Add L-thermal table Sub BOM</t>
    </r>
    <r>
      <rPr>
        <sz val="11"/>
        <rFont val="Calibri"/>
        <family val="2"/>
      </rPr>
      <t xml:space="preserve">(Information from Thermal Eric, 1/21, SE/Thermal Teams)
2. Add SOCAMM Screw
3. Change Description: </t>
    </r>
    <r>
      <rPr>
        <b/>
        <sz val="11"/>
        <rFont val="Calibri"/>
        <family val="2"/>
      </rPr>
      <t>54V Busbar Clip -&gt; 54V Busbar Cable</t>
    </r>
    <r>
      <rPr>
        <sz val="11"/>
        <rFont val="Calibri"/>
        <family val="2"/>
      </rPr>
      <t xml:space="preserve">
4. Update </t>
    </r>
    <r>
      <rPr>
        <b/>
        <sz val="11"/>
        <rFont val="Calibri"/>
        <family val="2"/>
      </rPr>
      <t>Customer PN</t>
    </r>
    <phoneticPr fontId="9" type="noConversion"/>
  </si>
  <si>
    <t>19-HPM + SOCAMM w/cold plate w/o GPU</t>
    <phoneticPr fontId="18" type="noConversion"/>
  </si>
  <si>
    <t>11- CPU</t>
  </si>
  <si>
    <t>NVIDIA</t>
    <phoneticPr fontId="18" type="noConversion"/>
  </si>
  <si>
    <t>Phantom PN(ODMPN=FBPN)</t>
    <phoneticPr fontId="18" type="noConversion"/>
  </si>
  <si>
    <t>TEMP-S000227026</t>
    <phoneticPr fontId="18" type="noConversion"/>
  </si>
  <si>
    <t>10-100141</t>
    <phoneticPr fontId="18" type="noConversion"/>
  </si>
  <si>
    <t>LPDDR5x 128GB Memory Density (per LPCAMM)</t>
  </si>
  <si>
    <t>MICRON</t>
    <phoneticPr fontId="18" type="noConversion"/>
  </si>
  <si>
    <t>MTD64C40327NL2N031F1</t>
    <phoneticPr fontId="18" type="noConversion"/>
  </si>
  <si>
    <t>SOCAMM</t>
    <phoneticPr fontId="18" type="noConversion"/>
  </si>
  <si>
    <t>TEMP-S000226361</t>
    <phoneticPr fontId="18" type="noConversion"/>
  </si>
  <si>
    <t>Kingston</t>
    <phoneticPr fontId="18" type="noConversion"/>
  </si>
  <si>
    <t>NV064SC8G32MB-128</t>
    <phoneticPr fontId="18" type="noConversion"/>
  </si>
  <si>
    <t>Socket/Holder NEW LPDDR5 SLIM_CAMM SOCKET 694 PIN BLACK 0.93*1.65mm PITCH</t>
    <phoneticPr fontId="18" type="noConversion"/>
  </si>
  <si>
    <t>Lotes</t>
    <phoneticPr fontId="18" type="noConversion"/>
  </si>
  <si>
    <t>LGA SOCAMM</t>
    <phoneticPr fontId="18" type="noConversion"/>
  </si>
  <si>
    <t>TEMP-S000226159</t>
    <phoneticPr fontId="18" type="noConversion"/>
  </si>
  <si>
    <t>Socket/Holder LPDDR5 SLIM_CAMM SOCKET 694 PIN BLACK 0.93*1.6mm PITCH</t>
    <phoneticPr fontId="18" type="noConversion"/>
  </si>
  <si>
    <t>FIT</t>
    <phoneticPr fontId="18" type="noConversion"/>
  </si>
  <si>
    <t>PL06946-12NN0-4H</t>
    <phoneticPr fontId="18" type="noConversion"/>
  </si>
  <si>
    <t>ACAM0018-P005C40CC</t>
    <phoneticPr fontId="18" type="noConversion"/>
  </si>
  <si>
    <t>TEMP-S000228020</t>
    <phoneticPr fontId="18" type="noConversion"/>
  </si>
  <si>
    <t>07-100631</t>
    <phoneticPr fontId="18" type="noConversion"/>
  </si>
  <si>
    <t>4</t>
    <phoneticPr fontId="10" type="noConversion"/>
  </si>
  <si>
    <t>19- SXM7 GPU Module w/o Cold Plate</t>
  </si>
  <si>
    <t>19-100606</t>
    <phoneticPr fontId="18" type="noConversion"/>
  </si>
  <si>
    <t>SSD holder</t>
  </si>
  <si>
    <t>Mechanical</t>
    <phoneticPr fontId="18" type="noConversion"/>
  </si>
  <si>
    <t>8TB E1.S SSD Assy</t>
    <phoneticPr fontId="158" type="noConversion"/>
  </si>
  <si>
    <t>SSD latch</t>
    <phoneticPr fontId="18" type="noConversion"/>
  </si>
  <si>
    <t>2TB E1.S boot drive Assy</t>
    <phoneticPr fontId="18" type="noConversion"/>
  </si>
  <si>
    <t>X15</t>
    <phoneticPr fontId="9" type="noConversion"/>
  </si>
  <si>
    <t>EQ-31903-14Q13B</t>
  </si>
  <si>
    <t>EQ-31704-11H00B</t>
  </si>
  <si>
    <t>TEMP-S000228281</t>
    <phoneticPr fontId="18" type="noConversion"/>
  </si>
  <si>
    <t>9_screw-hot-swap-m3l8</t>
    <phoneticPr fontId="18" type="noConversion"/>
  </si>
  <si>
    <t>TEMP-S000228282</t>
  </si>
  <si>
    <t>1. Add HSC Screw Local Source(Alternative Materials) Information(SE Enya, 2/10, Mail)
2. Remove HSC Washer
3. Update FRU BOM Information(Official HHPN)</t>
    <phoneticPr fontId="9" type="noConversion"/>
  </si>
  <si>
    <t>TEMP-S000227637</t>
    <phoneticPr fontId="18" type="noConversion"/>
  </si>
  <si>
    <t>9_F0N-NIC-CX7-GASKET.prt</t>
    <phoneticPr fontId="18" type="noConversion"/>
  </si>
  <si>
    <t>2J057KM00-600-G</t>
    <phoneticPr fontId="18" type="noConversion"/>
  </si>
  <si>
    <t>X16</t>
    <phoneticPr fontId="9" type="noConversion"/>
  </si>
  <si>
    <r>
      <t xml:space="preserve">1. Move Cable Bridge From L10 Assembly Back to Fan R TLA (Confirmed by PM Amily, 2/8, Teams)
2. Update </t>
    </r>
    <r>
      <rPr>
        <b/>
        <sz val="11"/>
        <rFont val="Calibri"/>
        <family val="2"/>
      </rPr>
      <t xml:space="preserve">Customer PN </t>
    </r>
    <r>
      <rPr>
        <sz val="11"/>
        <rFont val="Calibri"/>
        <family val="2"/>
      </rPr>
      <t>(Will Use Different L10 Customer PN if Use Different E1.S SSD)
3. Update FRU BOM:
    a. 19-HPM + SOCAMM w/cold plate w/o GPU
    b. 19- GPU Module w/ Cold Plate
    c. 2TB E1.S boot drive Assy
    d. 8TB E1.S SSD Assy</t>
    </r>
    <phoneticPr fontId="9" type="noConversion"/>
  </si>
  <si>
    <t>1A72CYU00-600-G</t>
    <phoneticPr fontId="18" type="noConversion"/>
  </si>
  <si>
    <t>GPU Module w/ Cold Plate</t>
    <phoneticPr fontId="18" type="noConversion"/>
  </si>
  <si>
    <t>1A72BSJ00-600-G</t>
    <phoneticPr fontId="18" type="noConversion"/>
  </si>
  <si>
    <t>19-100613</t>
    <phoneticPr fontId="18" type="noConversion"/>
  </si>
  <si>
    <t>11-100097</t>
    <phoneticPr fontId="18" type="noConversion"/>
  </si>
  <si>
    <t>19-100612</t>
    <phoneticPr fontId="18" type="noConversion"/>
  </si>
  <si>
    <t>27-100408</t>
    <phoneticPr fontId="18" type="noConversion"/>
  </si>
  <si>
    <t>27-100267</t>
    <phoneticPr fontId="18" type="noConversion"/>
  </si>
  <si>
    <t xml:space="preserve">Samsung </t>
    <phoneticPr fontId="18" type="noConversion"/>
  </si>
  <si>
    <t>8TB E1.S Supplier</t>
    <phoneticPr fontId="18" type="noConversion"/>
  </si>
  <si>
    <t>Micron</t>
    <phoneticPr fontId="18" type="noConversion"/>
  </si>
  <si>
    <t>WD</t>
    <phoneticPr fontId="18" type="noConversion"/>
  </si>
  <si>
    <t>L10</t>
    <phoneticPr fontId="18" type="noConversion"/>
  </si>
  <si>
    <t>MGX-OCP</t>
    <phoneticPr fontId="18" type="noConversion"/>
  </si>
  <si>
    <t>HHPN</t>
    <phoneticPr fontId="18" type="noConversion"/>
  </si>
  <si>
    <t>FBPN</t>
    <phoneticPr fontId="18" type="noConversion"/>
  </si>
  <si>
    <t>MGX-OCP without NV Gropu A</t>
    <phoneticPr fontId="18" type="noConversion"/>
  </si>
  <si>
    <t>Sun Reference</t>
    <phoneticPr fontId="18" type="noConversion"/>
  </si>
  <si>
    <t>Sun Ref. without NV Gropu A</t>
    <phoneticPr fontId="18" type="noConversion"/>
  </si>
  <si>
    <t>1A72D1G00-600-G</t>
  </si>
  <si>
    <t>1A72D1H00-600-G</t>
  </si>
  <si>
    <t>1A72D6200-600-G</t>
  </si>
  <si>
    <t>1A72D6400-600-G</t>
  </si>
  <si>
    <t>1A72BSJ00-600-GNA</t>
    <phoneticPr fontId="18" type="noConversion"/>
  </si>
  <si>
    <t>1A72D1G00-600-GNA</t>
    <phoneticPr fontId="18" type="noConversion"/>
  </si>
  <si>
    <t>1A72D1H00-600-GNA</t>
    <phoneticPr fontId="18" type="noConversion"/>
  </si>
  <si>
    <t>1A72CF400-600-GNA</t>
    <phoneticPr fontId="18" type="noConversion"/>
  </si>
  <si>
    <t>1A72D6200-600-GNA</t>
    <phoneticPr fontId="18" type="noConversion"/>
  </si>
  <si>
    <t>1A72D6400-600-GNA</t>
    <phoneticPr fontId="18" type="noConversion"/>
  </si>
  <si>
    <t>01-101139</t>
  </si>
  <si>
    <t>01-101140</t>
    <phoneticPr fontId="18" type="noConversion"/>
  </si>
  <si>
    <t>01-101141</t>
    <phoneticPr fontId="18" type="noConversion"/>
  </si>
  <si>
    <t>V</t>
    <phoneticPr fontId="18" type="noConversion"/>
  </si>
  <si>
    <t>01-101139</t>
    <phoneticPr fontId="18" type="noConversion"/>
  </si>
  <si>
    <t>1A72D1G00-600-G</t>
    <phoneticPr fontId="18" type="noConversion"/>
  </si>
  <si>
    <t>1A72D1H00-600-G</t>
    <phoneticPr fontId="18" type="noConversion"/>
  </si>
  <si>
    <t>1. Update FRU BOM: Update HHPN(Official HHPN) and Customer PN
2. Update L10 Official HHPN
3. Update Sheets about Different 8TB E1.S SSD Supplier and SKUs without NVIDIA Group A(Different HHPN is for Different 8TB E1.S SSD Supplier, See Table for More Informations)</t>
    <phoneticPr fontId="9" type="noConversion"/>
  </si>
  <si>
    <t>Maxwell Mercury_L10 Compute Tray Assy_MGX-OCP, Samsung</t>
    <phoneticPr fontId="18" type="noConversion"/>
  </si>
  <si>
    <t>Maxwell Mercury_L10 Compute Tray Assy_MGX-OCP, Micron</t>
    <phoneticPr fontId="18" type="noConversion"/>
  </si>
  <si>
    <t>Maxwell Mercury_L10 Compute Tray Assy_MGX-OCP, WD</t>
    <phoneticPr fontId="18" type="noConversion"/>
  </si>
  <si>
    <t>1A72CF400-600-G</t>
    <phoneticPr fontId="18" type="noConversion"/>
  </si>
  <si>
    <t>1A72D6200-600-G</t>
    <phoneticPr fontId="18" type="noConversion"/>
  </si>
  <si>
    <t>1A72D6400-600-G</t>
    <phoneticPr fontId="18" type="noConversion"/>
  </si>
  <si>
    <t>CX8
ES: 692-9X88E-00CX-ES1
QS: 692-9X88E-00CX-QS3
PS: 900-9X88E-00CX-SP0</t>
    <phoneticPr fontId="18" type="noConversion"/>
  </si>
  <si>
    <t>Maxwell Mercury_L10 Compute Tray Assy_MGX-OCP, Samsung, without NVIDIA Group A</t>
    <phoneticPr fontId="18" type="noConversion"/>
  </si>
  <si>
    <t>Maxwell Mercury_L10 Compute Tray Assy_MGX-OCP, Micron, without NVIDIA Group A</t>
    <phoneticPr fontId="18" type="noConversion"/>
  </si>
  <si>
    <t>Maxwell Mercury_L10 Compute Tray Assy_MGX-OCP, WD, without NVIDIA Group A</t>
    <phoneticPr fontId="18" type="noConversion"/>
  </si>
  <si>
    <t>Maxwell Mercury_L10 Compute Tray Assy_Sun-Ref, Samsung, without NVIDIA Group A</t>
    <phoneticPr fontId="18" type="noConversion"/>
  </si>
  <si>
    <t>Maxwell Mercury_L10 Compute Tray Assy_Sun-Ref, Micron, without NVIDIA Group A</t>
    <phoneticPr fontId="18" type="noConversion"/>
  </si>
  <si>
    <t>Maxwell Mercury_L10 Compute Tray Assy_Sun-Ref,WD, without NVIDIA Group A</t>
    <phoneticPr fontId="18" type="noConversion"/>
  </si>
  <si>
    <t>Maxwell Mercury_L10 Compute Tray Assy_Sun-Ref, Samsung</t>
    <phoneticPr fontId="18" type="noConversion"/>
  </si>
  <si>
    <t>Maxwell Mercury_L10 Compute Tray Assy_Sun-Ref,WD</t>
    <phoneticPr fontId="18" type="noConversion"/>
  </si>
  <si>
    <t>Maxwell Mercury_L10 Compute Tray Assy_Sun-Ref, Micron</t>
    <phoneticPr fontId="18" type="noConversion"/>
  </si>
  <si>
    <t>L10 Compute Tray _Sun Ref.</t>
    <phoneticPr fontId="9" type="noConversion"/>
  </si>
  <si>
    <t>X17</t>
    <phoneticPr fontId="9" type="noConversion"/>
  </si>
  <si>
    <t>1A72D4300-600-G</t>
    <phoneticPr fontId="18" type="noConversion"/>
  </si>
  <si>
    <t>1A72D4600-600-G</t>
    <phoneticPr fontId="18" type="noConversion"/>
  </si>
  <si>
    <t>1A72D4500-600-G</t>
    <phoneticPr fontId="18" type="noConversion"/>
  </si>
  <si>
    <t>AX3</t>
    <phoneticPr fontId="18" type="noConversion"/>
  </si>
  <si>
    <t>AX2</t>
    <phoneticPr fontId="18" type="noConversion"/>
  </si>
  <si>
    <t>AX4</t>
    <phoneticPr fontId="18" type="noConversion"/>
  </si>
  <si>
    <t>AX1</t>
    <phoneticPr fontId="18" type="noConversion"/>
  </si>
  <si>
    <t>GL-SM-0034</t>
  </si>
  <si>
    <t>Bornsun</t>
    <phoneticPr fontId="18" type="noConversion"/>
  </si>
  <si>
    <t>TEMP-S000228500</t>
  </si>
  <si>
    <r>
      <t>1. Add Cable Ver. In BOM Description</t>
    </r>
    <r>
      <rPr>
        <b/>
        <sz val="11"/>
        <rFont val="Calibri"/>
        <family val="2"/>
      </rPr>
      <t>(Manufacture PN Rev.)</t>
    </r>
    <r>
      <rPr>
        <sz val="11"/>
        <rFont val="Calibri"/>
        <family val="2"/>
      </rPr>
      <t xml:space="preserve">
2. Add Gasket Local Source in Sun Ref. Sheets
3. Roll back Sun Ref.'s Customer PN to TBD
4. Change Bizlink's Busbar Cable MfgPN to Orderable PN(same Item but avaliable for order) and Update HHPN(Ben from Bizlink, 2/14, Mail)
5. Remove TIM Pack in NA Sheets(Since without Group A, there was no need to stick TIMs)</t>
    </r>
    <phoneticPr fontId="9" type="noConversion"/>
  </si>
  <si>
    <r>
      <t xml:space="preserve">1. </t>
    </r>
    <r>
      <rPr>
        <sz val="11"/>
        <color rgb="FFFF0000"/>
        <rFont val="Calibri"/>
        <family val="2"/>
      </rPr>
      <t xml:space="preserve">Add </t>
    </r>
    <r>
      <rPr>
        <b/>
        <u/>
        <sz val="11"/>
        <color rgb="FFFF0000"/>
        <rFont val="Calibri"/>
        <family val="2"/>
      </rPr>
      <t>Sun Ref.</t>
    </r>
    <r>
      <rPr>
        <u/>
        <sz val="11"/>
        <color rgb="FFFF0000"/>
        <rFont val="Calibri"/>
        <family val="2"/>
      </rPr>
      <t xml:space="preserve"> </t>
    </r>
    <r>
      <rPr>
        <b/>
        <u/>
        <sz val="11"/>
        <color rgb="FFFF0000"/>
        <rFont val="Calibri"/>
        <family val="2"/>
      </rPr>
      <t>Page</t>
    </r>
    <r>
      <rPr>
        <sz val="11"/>
        <color rgb="FFFF0000"/>
        <rFont val="Calibri"/>
        <family val="2"/>
      </rPr>
      <t xml:space="preserve"> for EVT2 Sun(Maxwell GB200) Ref. Version
</t>
    </r>
    <r>
      <rPr>
        <sz val="11"/>
        <color theme="1"/>
        <rFont val="Calibri"/>
        <family val="2"/>
      </rPr>
      <t xml:space="preserve">2. Update </t>
    </r>
    <r>
      <rPr>
        <b/>
        <sz val="11"/>
        <color theme="1"/>
        <rFont val="Calibri"/>
        <family val="2"/>
      </rPr>
      <t>Mechanical Part</t>
    </r>
    <r>
      <rPr>
        <sz val="11"/>
        <color theme="1"/>
        <rFont val="Calibri"/>
        <family val="2"/>
      </rPr>
      <t xml:space="preserve"> Information
3. Add </t>
    </r>
    <r>
      <rPr>
        <b/>
        <sz val="11"/>
        <color theme="1"/>
        <rFont val="Calibri"/>
        <family val="2"/>
      </rPr>
      <t>SOCAMM</t>
    </r>
    <r>
      <rPr>
        <sz val="11"/>
        <color theme="1"/>
        <rFont val="Calibri"/>
        <family val="2"/>
      </rPr>
      <t xml:space="preserve"> Second Source</t>
    </r>
    <r>
      <rPr>
        <sz val="11"/>
        <color rgb="FFFF0000"/>
        <rFont val="Calibri"/>
        <family val="2"/>
      </rPr>
      <t xml:space="preserve">
</t>
    </r>
    <r>
      <rPr>
        <sz val="11"/>
        <color theme="1"/>
        <rFont val="Calibri"/>
        <family val="2"/>
      </rPr>
      <t xml:space="preserve">4. Add </t>
    </r>
    <r>
      <rPr>
        <b/>
        <sz val="11"/>
        <color theme="1"/>
        <rFont val="Calibri"/>
        <family val="2"/>
      </rPr>
      <t>HSC Board</t>
    </r>
    <r>
      <rPr>
        <sz val="11"/>
        <color theme="1"/>
        <rFont val="Calibri"/>
        <family val="2"/>
      </rPr>
      <t xml:space="preserve"> and </t>
    </r>
    <r>
      <rPr>
        <b/>
        <sz val="11"/>
        <color theme="1"/>
        <rFont val="Calibri"/>
        <family val="2"/>
      </rPr>
      <t>TIM Pack</t>
    </r>
    <r>
      <rPr>
        <sz val="11"/>
        <color theme="1"/>
        <rFont val="Calibri"/>
        <family val="2"/>
      </rPr>
      <t xml:space="preserve">
5. Add </t>
    </r>
    <r>
      <rPr>
        <b/>
        <sz val="11"/>
        <color theme="1"/>
        <rFont val="Calibri"/>
        <family val="2"/>
      </rPr>
      <t>CX7 NIC Card</t>
    </r>
    <r>
      <rPr>
        <sz val="11"/>
        <color theme="1"/>
        <rFont val="Calibri"/>
        <family val="2"/>
      </rPr>
      <t xml:space="preserve"> Information
6. Add </t>
    </r>
    <r>
      <rPr>
        <b/>
        <sz val="11"/>
        <color theme="1"/>
        <rFont val="Calibri"/>
        <family val="2"/>
      </rPr>
      <t>Asset Label</t>
    </r>
    <r>
      <rPr>
        <sz val="11"/>
        <color theme="1"/>
        <rFont val="Calibri"/>
        <family val="2"/>
      </rPr>
      <t xml:space="preserve"> MPN. Since Meta did not have MPN of asset label(confirmed by Meta), EPD2 agree that using HHPN as MPN to input in factory system, so EPD2 can do material preparing</t>
    </r>
    <phoneticPr fontId="9" type="noConversion"/>
  </si>
  <si>
    <t>X18</t>
    <phoneticPr fontId="9" type="noConversion"/>
  </si>
  <si>
    <t>30</t>
    <phoneticPr fontId="18" type="noConversion"/>
  </si>
  <si>
    <t>MGX-OCP without GPU</t>
    <phoneticPr fontId="18" type="noConversion"/>
  </si>
  <si>
    <t>1A72BSJ00-600-GNG</t>
    <phoneticPr fontId="18" type="noConversion"/>
  </si>
  <si>
    <t>Maxwell Mercury_L10 Compute Tray Assy_MGX-OCP, Samsung, without GPU</t>
    <phoneticPr fontId="18" type="noConversion"/>
  </si>
  <si>
    <t>675-24480-0020-000</t>
    <phoneticPr fontId="18" type="noConversion"/>
  </si>
  <si>
    <t>GPU-Less GB300 NVL72 Host Processor Motherboard (HPM), ES</t>
    <phoneticPr fontId="18" type="noConversion"/>
  </si>
  <si>
    <t>TEMP-S000228858</t>
    <phoneticPr fontId="18" type="noConversion"/>
  </si>
  <si>
    <t>Cordelia w/o GPU</t>
    <phoneticPr fontId="18" type="noConversion"/>
  </si>
  <si>
    <t>TEMP-S000227613NG</t>
    <phoneticPr fontId="18" type="noConversion"/>
  </si>
  <si>
    <t>TEMP-S000227634NG</t>
    <phoneticPr fontId="18" type="noConversion"/>
  </si>
  <si>
    <t>TEMP-S000227635NG</t>
    <phoneticPr fontId="18" type="noConversion"/>
  </si>
  <si>
    <t>Maxwell Mercury(GB300), CPL, Inner Manifold and Coldplate and SOCAMM HSK- CM, w/o GPU CP</t>
    <phoneticPr fontId="18" type="noConversion"/>
  </si>
  <si>
    <t>Maxwell Mercury(GB300), CPL, Inner Manifold and Coldplate and SOCAMM HSK- AVC, w/o GPU CP</t>
    <phoneticPr fontId="18" type="noConversion"/>
  </si>
  <si>
    <t>Maxwell Mercury(GB300), CPL, Inner Manifold and Coldplate and SOCAMM HSK- Auras, w/o GPU CP</t>
    <phoneticPr fontId="18" type="noConversion"/>
  </si>
  <si>
    <t>Maxwell Mercury(GB300), CPL, Inner Manifold and Coldplate and SOCAMM HSK-Auras, w/o GPU CP</t>
    <phoneticPr fontId="18" type="noConversion"/>
  </si>
  <si>
    <t>TEMP-S000227142NG</t>
    <phoneticPr fontId="18" type="noConversion"/>
  </si>
  <si>
    <t>Maxwell Mercury(GB300), CPL, Inner Manifold and Coldplate and SOCAMM HSK-BOYD</t>
    <phoneticPr fontId="18" type="noConversion"/>
  </si>
  <si>
    <t>TEMP-S000229174</t>
  </si>
  <si>
    <t>Meta GB300 EVT CPU cold plate - BOYD</t>
    <phoneticPr fontId="18" type="noConversion"/>
  </si>
  <si>
    <t>Meta GB300 EVT GPU cold plate - BOYD</t>
    <phoneticPr fontId="18" type="noConversion"/>
  </si>
  <si>
    <t>Meta GB300 EVT Inner manifold - BOYD</t>
    <phoneticPr fontId="18" type="noConversion"/>
  </si>
  <si>
    <t>Meta GB300 EVT SOCAMM HSK-L - BOYD</t>
    <phoneticPr fontId="18" type="noConversion"/>
  </si>
  <si>
    <t>Meta GB300 EVT SOCAMM HSK-R - BOYD</t>
    <phoneticPr fontId="18" type="noConversion"/>
  </si>
  <si>
    <t>BOYD</t>
  </si>
  <si>
    <t>TEMP-S000229169</t>
  </si>
  <si>
    <t>TEMP-S000229170</t>
  </si>
  <si>
    <t>TEMP-S000229171</t>
  </si>
  <si>
    <t>TEMP-S000229172</t>
  </si>
  <si>
    <t>TEMP-S000229173</t>
  </si>
  <si>
    <t>TEMP-S000229174NG</t>
    <phoneticPr fontId="18" type="noConversion"/>
  </si>
  <si>
    <t>Maxwell Mercury(GB300), CPL, Inner Manifold and Coldplate and SOCAMM HSK-BOYD, w/o GPU CP</t>
    <phoneticPr fontId="18" type="noConversion"/>
  </si>
  <si>
    <r>
      <t>1. Add</t>
    </r>
    <r>
      <rPr>
        <b/>
        <sz val="11"/>
        <rFont val="Calibri"/>
        <family val="2"/>
      </rPr>
      <t xml:space="preserve"> MGX-OCP GPU-less BOM</t>
    </r>
    <r>
      <rPr>
        <sz val="11"/>
        <rFont val="Calibri"/>
        <family val="2"/>
      </rPr>
      <t xml:space="preserve"> in new sheets(Also Update Thermal Matrix and TIM Packs)
2. Add </t>
    </r>
    <r>
      <rPr>
        <b/>
        <sz val="11"/>
        <rFont val="Calibri"/>
        <family val="2"/>
      </rPr>
      <t>Coldplate New Vendor - BOYD</t>
    </r>
    <r>
      <rPr>
        <sz val="11"/>
        <rFont val="Calibri"/>
        <family val="2"/>
      </rPr>
      <t xml:space="preserve">
Correct Typo about Leveling</t>
    </r>
    <phoneticPr fontId="9" type="noConversion"/>
  </si>
  <si>
    <t>X19</t>
    <phoneticPr fontId="9" type="noConversion"/>
  </si>
  <si>
    <t>FOXCONN/EPD5</t>
    <phoneticPr fontId="18" type="noConversion"/>
  </si>
  <si>
    <t>HMC Bracket</t>
    <phoneticPr fontId="18" type="noConversion"/>
  </si>
  <si>
    <t>30</t>
    <phoneticPr fontId="18" type="noConversion"/>
  </si>
  <si>
    <t>31</t>
    <phoneticPr fontId="18" type="noConversion"/>
  </si>
  <si>
    <t>1A72AJ000-600-G</t>
  </si>
  <si>
    <t>HMC Bracket Screw</t>
    <phoneticPr fontId="18" type="noConversion"/>
  </si>
  <si>
    <t>Evergreen</t>
    <phoneticPr fontId="18" type="noConversion"/>
  </si>
  <si>
    <t>WI-HT-G66588A</t>
  </si>
  <si>
    <t>2A58B5V00-HJL-G</t>
  </si>
  <si>
    <t>36</t>
    <phoneticPr fontId="18" type="noConversion"/>
  </si>
  <si>
    <t>37</t>
    <phoneticPr fontId="18" type="noConversion"/>
  </si>
  <si>
    <t>53</t>
  </si>
  <si>
    <t>54</t>
  </si>
  <si>
    <t>57</t>
    <phoneticPr fontId="18" type="noConversion"/>
  </si>
  <si>
    <t>32</t>
    <phoneticPr fontId="18" type="noConversion"/>
  </si>
  <si>
    <t>38</t>
    <phoneticPr fontId="18" type="noConversion"/>
  </si>
  <si>
    <t>58</t>
    <phoneticPr fontId="18" type="noConversion"/>
  </si>
  <si>
    <t>OS01115</t>
    <phoneticPr fontId="18" type="noConversion"/>
  </si>
  <si>
    <t>7J-3219-000</t>
    <phoneticPr fontId="18" type="noConversion"/>
  </si>
  <si>
    <t>CR-2032L/BE</t>
    <phoneticPr fontId="10" type="noConversion"/>
  </si>
  <si>
    <t>7J-3133-000</t>
    <phoneticPr fontId="10" type="noConversion"/>
  </si>
  <si>
    <t>OS01115</t>
    <phoneticPr fontId="10" type="noConversion"/>
  </si>
  <si>
    <t>7J-3219-000</t>
    <phoneticPr fontId="10" type="noConversion"/>
  </si>
  <si>
    <r>
      <t xml:space="preserve">1. </t>
    </r>
    <r>
      <rPr>
        <b/>
        <sz val="11"/>
        <rFont val="Calibri"/>
        <family val="2"/>
      </rPr>
      <t>Remove</t>
    </r>
    <r>
      <rPr>
        <sz val="11"/>
        <rFont val="Calibri"/>
        <family val="2"/>
      </rPr>
      <t xml:space="preserve"> Coldplate Vendor-BOYD in BOM(This phase is only for IQC verification)
2. </t>
    </r>
    <r>
      <rPr>
        <b/>
        <sz val="11"/>
        <rFont val="Calibri"/>
        <family val="2"/>
      </rPr>
      <t>Add HMC Bracket and HMC Bracket Screw</t>
    </r>
    <r>
      <rPr>
        <sz val="11"/>
        <rFont val="Calibri"/>
        <family val="2"/>
      </rPr>
      <t xml:space="preserve">
3. </t>
    </r>
    <r>
      <rPr>
        <b/>
        <sz val="11"/>
        <rFont val="Calibri"/>
        <family val="2"/>
      </rPr>
      <t>Update</t>
    </r>
    <r>
      <rPr>
        <sz val="11"/>
        <rFont val="Calibri"/>
        <family val="2"/>
      </rPr>
      <t xml:space="preserve"> Cables' HHPN(Updated for Assembly Issue.)
4. </t>
    </r>
    <r>
      <rPr>
        <b/>
        <sz val="11"/>
        <rFont val="Calibri"/>
        <family val="2"/>
      </rPr>
      <t>Remove</t>
    </r>
    <r>
      <rPr>
        <sz val="11"/>
        <rFont val="Calibri"/>
        <family val="2"/>
      </rPr>
      <t xml:space="preserve"> GPU-Less Sheets down to 1 sheet(Since There will be Only One GPU-Less Tray Demand)</t>
    </r>
    <phoneticPr fontId="9" type="noConversion"/>
  </si>
  <si>
    <t>X20</t>
    <phoneticPr fontId="9" type="noConversion"/>
  </si>
  <si>
    <r>
      <t xml:space="preserve">1. </t>
    </r>
    <r>
      <rPr>
        <b/>
        <sz val="11"/>
        <rFont val="Calibri"/>
        <family val="2"/>
      </rPr>
      <t xml:space="preserve">Change </t>
    </r>
    <r>
      <rPr>
        <sz val="11"/>
        <rFont val="Calibri"/>
        <family val="2"/>
      </rPr>
      <t>Busbar Cable to EVT1 Ver.(Bring Up Issue)</t>
    </r>
    <phoneticPr fontId="9" type="noConversion"/>
  </si>
  <si>
    <t>TEMP-S000229418</t>
    <phoneticPr fontId="18" type="noConversion"/>
  </si>
  <si>
    <t>TEMP-S000229419</t>
    <phoneticPr fontId="18" type="noConversion"/>
  </si>
  <si>
    <t>CBL, NIC0 3-to-1 Cable, AX4</t>
    <phoneticPr fontId="18" type="noConversion"/>
  </si>
  <si>
    <t>CBL, DC-SCM2.0 Cable, AX5</t>
    <phoneticPr fontId="18" type="noConversion"/>
  </si>
  <si>
    <t>AX5</t>
    <phoneticPr fontId="18" type="noConversion"/>
  </si>
  <si>
    <t>X21</t>
    <phoneticPr fontId="9" type="noConversion"/>
  </si>
  <si>
    <t>TEMP-S000229174</t>
    <phoneticPr fontId="18" type="noConversion"/>
  </si>
  <si>
    <r>
      <t xml:space="preserve">1. </t>
    </r>
    <r>
      <rPr>
        <b/>
        <sz val="11"/>
        <rFont val="Calibri"/>
        <family val="2"/>
      </rPr>
      <t xml:space="preserve">Correct </t>
    </r>
    <r>
      <rPr>
        <sz val="11"/>
        <rFont val="Calibri"/>
        <family val="2"/>
      </rPr>
      <t>GPU-Less FBPN
2. Change Sun-Ref. DC-SCM Cable Information (Use Latest DC-SCM Cable)
3. Change Busbar Cable to EVT2 Ver. (EVT2 Cable Can Rework to normal type, so there will no need to reuse EVT1 Ver. Busbar Cable to Bring Up)</t>
    </r>
    <phoneticPr fontId="9" type="noConversion"/>
  </si>
  <si>
    <t>X22</t>
    <phoneticPr fontId="9" type="noConversion"/>
  </si>
  <si>
    <t>TEMP-S000228740</t>
    <phoneticPr fontId="18" type="noConversion"/>
  </si>
  <si>
    <t>TEMP-S000227638</t>
    <phoneticPr fontId="18" type="noConversion"/>
  </si>
  <si>
    <t>115H0-040908-R1</t>
    <phoneticPr fontId="18" type="noConversion"/>
  </si>
  <si>
    <t>2502255-1</t>
    <phoneticPr fontId="18" type="noConversion"/>
  </si>
  <si>
    <t>TEMP-S000229029</t>
    <phoneticPr fontId="18" type="noConversion"/>
  </si>
  <si>
    <t>HGZ168-1328</t>
    <phoneticPr fontId="18" type="noConversion"/>
  </si>
  <si>
    <t>01-101156</t>
    <phoneticPr fontId="18" type="noConversion"/>
  </si>
  <si>
    <t>1B61HJV00-600-G</t>
  </si>
  <si>
    <t>MYLAR, MYLAR for HSC</t>
  </si>
  <si>
    <t>FOXCONN/EPD5</t>
  </si>
  <si>
    <t>AVC</t>
  </si>
  <si>
    <t>1B61HJV00-600-G</t>
    <phoneticPr fontId="10" type="noConversion"/>
  </si>
  <si>
    <t>1B61HJV00-600-G</t>
    <phoneticPr fontId="18" type="noConversion"/>
  </si>
  <si>
    <t>55</t>
  </si>
  <si>
    <t>59</t>
    <phoneticPr fontId="18" type="noConversion"/>
  </si>
  <si>
    <t xml:space="preserve"> </t>
    <phoneticPr fontId="18" type="noConversion"/>
  </si>
  <si>
    <r>
      <t xml:space="preserve">1. Add </t>
    </r>
    <r>
      <rPr>
        <b/>
        <sz val="11"/>
        <rFont val="Calibri"/>
        <family val="2"/>
      </rPr>
      <t>HSC Mylar</t>
    </r>
    <r>
      <rPr>
        <sz val="11"/>
        <rFont val="Calibri"/>
        <family val="2"/>
      </rPr>
      <t xml:space="preserve"> for Short Tern Solution about HSC Shortage Risk(ME Jemy, 3/17, Email)
2. Change DC-SCI Cable to </t>
    </r>
    <r>
      <rPr>
        <b/>
        <sz val="11"/>
        <rFont val="Calibri"/>
        <family val="2"/>
      </rPr>
      <t xml:space="preserve">AX5 ver. </t>
    </r>
    <r>
      <rPr>
        <sz val="11"/>
        <rFont val="Calibri"/>
        <family val="2"/>
      </rPr>
      <t>Since</t>
    </r>
    <r>
      <rPr>
        <b/>
        <sz val="11"/>
        <rFont val="Calibri"/>
        <family val="2"/>
      </rPr>
      <t xml:space="preserve"> </t>
    </r>
    <r>
      <rPr>
        <sz val="11"/>
        <rFont val="Calibri"/>
        <family val="2"/>
      </rPr>
      <t>EVT2 Cable had P</t>
    </r>
    <r>
      <rPr>
        <b/>
        <sz val="11"/>
        <rFont val="Calibri"/>
        <family val="2"/>
      </rPr>
      <t>i</t>
    </r>
    <r>
      <rPr>
        <sz val="11"/>
        <rFont val="Calibri"/>
        <family val="2"/>
      </rPr>
      <t>n Define Issue, and EVT1 Cable doesn't have enough length to assemble(Enya, 3/15, mail)</t>
    </r>
    <phoneticPr fontId="9" type="noConversion"/>
  </si>
  <si>
    <t>X23</t>
    <phoneticPr fontId="9" type="noConversion"/>
  </si>
  <si>
    <t>TEMP-S000231355</t>
    <phoneticPr fontId="18" type="noConversion"/>
  </si>
  <si>
    <t>CBL, DC-SCI Cable, AX5</t>
    <phoneticPr fontId="18" type="noConversion"/>
  </si>
  <si>
    <t>Unit</t>
    <phoneticPr fontId="18" type="noConversion"/>
  </si>
  <si>
    <t>ECO No.</t>
    <phoneticPr fontId="18" type="noConversion"/>
  </si>
  <si>
    <t>EA</t>
    <phoneticPr fontId="18" type="noConversion"/>
  </si>
  <si>
    <t>Meta/ODM Managed</t>
    <phoneticPr fontId="9" type="noConversion"/>
  </si>
  <si>
    <t>ODM</t>
    <phoneticPr fontId="18" type="noConversion"/>
  </si>
  <si>
    <t>Meta</t>
    <phoneticPr fontId="18" type="noConversion"/>
  </si>
  <si>
    <t>SSD Label</t>
    <phoneticPr fontId="18" type="noConversion"/>
  </si>
  <si>
    <t>BILL OF MATERIAL</t>
    <phoneticPr fontId="7" type="noConversion"/>
  </si>
  <si>
    <t>ml</t>
    <phoneticPr fontId="18" type="noConversion"/>
  </si>
  <si>
    <t>Meta</t>
    <phoneticPr fontId="9" type="noConversion"/>
  </si>
  <si>
    <t>ODM</t>
    <phoneticPr fontId="10" type="noConversion"/>
  </si>
  <si>
    <r>
      <t xml:space="preserve">1. Update Format about BOM:
Add </t>
    </r>
    <r>
      <rPr>
        <b/>
        <sz val="11"/>
        <rFont val="Calibri"/>
        <family val="2"/>
      </rPr>
      <t>Unit</t>
    </r>
    <r>
      <rPr>
        <sz val="11"/>
        <rFont val="Calibri"/>
        <family val="2"/>
      </rPr>
      <t xml:space="preserve">, </t>
    </r>
    <r>
      <rPr>
        <b/>
        <sz val="11"/>
        <rFont val="Calibri"/>
        <family val="2"/>
      </rPr>
      <t>ECO No.</t>
    </r>
    <r>
      <rPr>
        <sz val="11"/>
        <rFont val="Calibri"/>
        <family val="2"/>
      </rPr>
      <t xml:space="preserve"> , </t>
    </r>
    <r>
      <rPr>
        <b/>
        <sz val="11"/>
        <rFont val="Calibri"/>
        <family val="2"/>
      </rPr>
      <t>Meta/ODM Managed</t>
    </r>
    <r>
      <rPr>
        <sz val="11"/>
        <rFont val="Calibri"/>
        <family val="2"/>
      </rPr>
      <t xml:space="preserve"> column </t>
    </r>
    <phoneticPr fontId="9" type="noConversion"/>
  </si>
  <si>
    <t>MYLAR, MYLAR for HSC</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</si>
</sst>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6">
    <numFmt numFmtId="5" formatCode="&quot;$&quot;#,##0;\-&quot;$&quot;#,##0"/>
    <numFmt numFmtId="7" formatCode="&quot;$&quot;#,##0.00;\-&quot;$&quot;#,##0.00"/>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_(* #,##0_);_(* \(#,##0\);_(* &quot;-&quot;??_);_(@_)"/>
    <numFmt numFmtId="177" formatCode="&quot;?#,##0;[Red]\-&quot;&quot;?&quot;#,##0"/>
    <numFmt numFmtId="178" formatCode="&quot;$&quot;\ #,##0_);\(&quot;$&quot;\ #,##0\)"/>
    <numFmt numFmtId="179" formatCode="&quot;$&quot;\ #,##0_);[Red]\(&quot;$&quot;\ #,##0\)"/>
    <numFmt numFmtId="180" formatCode="\60\4\7\:"/>
    <numFmt numFmtId="181" formatCode="\5\50\5\:"/>
    <numFmt numFmtId="182" formatCode="\T\B\A\,0"/>
    <numFmt numFmtId="183" formatCode="&quot;$&quot;#,##0.00;[Red]&quot;$&quot;#,##0.00"/>
    <numFmt numFmtId="184" formatCode="_-* #,##0_-;\-* #,##0_-;_-* &quot;-&quot;??_-;_-@_-"/>
    <numFmt numFmtId="185" formatCode="###0_);\(#,##0\)"/>
    <numFmt numFmtId="186" formatCode="\(###0\)"/>
    <numFmt numFmtId="187" formatCode="0.00_)"/>
    <numFmt numFmtId="188" formatCode="_ * #,##0_ ;_ * \-#,##0_ ;_ * &quot;-&quot;_ ;_ @_ "/>
    <numFmt numFmtId="189" formatCode="_ * #,##0.00_ ;_ * \-#,##0.00_ ;_ * &quot;-&quot;??_ ;_ @_ "/>
    <numFmt numFmtId="190" formatCode="&quot;$&quot;#,##0\ ;\(&quot;$&quot;#,##0\)"/>
    <numFmt numFmtId="191" formatCode="mm/dd/yy"/>
    <numFmt numFmtId="192" formatCode="#,##0.0"/>
    <numFmt numFmtId="193" formatCode="0.0%"/>
    <numFmt numFmtId="194" formatCode="&quot;$&quot;#,##0.00"/>
    <numFmt numFmtId="195" formatCode="_ * #,##0_ ;_ * &quot;\&quot;&quot;\&quot;&quot;\&quot;\-#,##0_ ;_ * &quot;-&quot;_ ;_ @_ "/>
    <numFmt numFmtId="196" formatCode="&quot;\&quot;&quot;\&quot;&quot;\&quot;&quot;\&quot;\$#,##0.00;&quot;\&quot;&quot;\&quot;&quot;\&quot;&quot;\&quot;\(&quot;\&quot;&quot;\&quot;&quot;\&quot;&quot;\&quot;\$#,##0.00&quot;\&quot;&quot;\&quot;&quot;\&quot;&quot;\&quot;\)"/>
    <numFmt numFmtId="197" formatCode="&quot;\&quot;&quot;\&quot;&quot;\&quot;&quot;\&quot;\$#,##0;&quot;\&quot;&quot;\&quot;&quot;\&quot;&quot;\&quot;\(&quot;\&quot;&quot;\&quot;&quot;\&quot;&quot;\&quot;\$#,##0&quot;\&quot;&quot;\&quot;&quot;\&quot;&quot;\&quot;\)"/>
    <numFmt numFmtId="198" formatCode="_(* #,##0.0_);_(* &quot;\&quot;&quot;\&quot;&quot;\&quot;&quot;\&quot;\(#,##0.0&quot;\&quot;&quot;\&quot;&quot;\&quot;&quot;\&quot;\);_(* &quot;-&quot;_);_(@_)"/>
    <numFmt numFmtId="199" formatCode="#,##0;&quot;\&quot;&quot;\&quot;&quot;\&quot;&quot;\&quot;\(#,##0&quot;\&quot;&quot;\&quot;&quot;\&quot;&quot;\&quot;\)"/>
    <numFmt numFmtId="200" formatCode="_-* #,##0.0000_-;&quot;\&quot;&quot;\&quot;&quot;\&quot;&quot;\&quot;\-* #,##0.0000_-;_-* &quot;-&quot;??_-;_-@_-"/>
    <numFmt numFmtId="201" formatCode="#,##0.0000_);\(#,##0.0000\);"/>
    <numFmt numFmtId="202" formatCode="&quot;$&quot;#,##0.0000_);\(&quot;$&quot;#,##0.0000\)"/>
    <numFmt numFmtId="203" formatCode="_-* #,##0.0_-;\-* #,##0.0_-;_-* &quot;-&quot;??_-;_-@_-"/>
    <numFmt numFmtId="204" formatCode="#,##0.000"/>
    <numFmt numFmtId="205" formatCode="#,##0.0_);\(#,##0.0\)"/>
    <numFmt numFmtId="206" formatCode="0.0_);[Red]\(0.0\)"/>
    <numFmt numFmtId="207" formatCode="0.0000%"/>
    <numFmt numFmtId="208" formatCode="&quot;$&quot;#,##0.000_);\(&quot;$&quot;#,##0.000\)"/>
    <numFmt numFmtId="209" formatCode="0.00000"/>
    <numFmt numFmtId="210" formatCode="_(&quot;$&quot;\ * #,##0_);_(&quot;$&quot;\ * \(#,##0\);_(&quot;$&quot;\ * &quot;-&quot;_);_(@_)"/>
    <numFmt numFmtId="211" formatCode="_(&quot;$&quot;\ * #,##0.00_);_(&quot;$&quot;\ * \(#,##0.00\);_(&quot;$&quot;\ * &quot;-&quot;??_);_(@_)"/>
    <numFmt numFmtId="212" formatCode="#,##0.00&quot;R$&quot;_);\(#,##0.00&quot;R$&quot;\)"/>
    <numFmt numFmtId="213" formatCode="0.0#"/>
    <numFmt numFmtId="214" formatCode="&quot;R$&quot;#,##0_);\(&quot;R$&quot;#,##0\)"/>
    <numFmt numFmtId="215" formatCode="&quot;R$&quot;#,##0_);[Red]\(&quot;R$&quot;#,##0\)"/>
  </numFmts>
  <fonts count="161">
    <font>
      <sz val="12"/>
      <color theme="1"/>
      <name val="新細明體"/>
      <family val="1"/>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9"/>
      <name val="新細明體"/>
      <family val="1"/>
      <charset val="136"/>
    </font>
    <font>
      <sz val="10"/>
      <name val="Arial"/>
      <family val="2"/>
    </font>
    <font>
      <sz val="9"/>
      <name val="宋体"/>
      <family val="3"/>
      <charset val="136"/>
    </font>
    <font>
      <sz val="9"/>
      <name val="細明體"/>
      <family val="3"/>
    </font>
    <font>
      <sz val="12"/>
      <name val="新細明體"/>
      <family val="1"/>
      <charset val="136"/>
    </font>
    <font>
      <sz val="10"/>
      <color indexed="8"/>
      <name val="MS Sans Serif"/>
      <family val="2"/>
    </font>
    <font>
      <sz val="9"/>
      <name val="細明體"/>
      <family val="3"/>
      <charset val="136"/>
    </font>
    <font>
      <sz val="12"/>
      <name val="Calibri"/>
      <family val="2"/>
    </font>
    <font>
      <sz val="12"/>
      <name val="新細明體"/>
      <family val="1"/>
    </font>
    <font>
      <strike/>
      <sz val="12"/>
      <name val="Calibri"/>
      <family val="2"/>
    </font>
    <font>
      <sz val="12"/>
      <color theme="1"/>
      <name val="Calibri"/>
      <family val="2"/>
    </font>
    <font>
      <sz val="9"/>
      <name val="新細明體"/>
      <family val="1"/>
      <charset val="136"/>
      <scheme val="minor"/>
    </font>
    <font>
      <sz val="12"/>
      <color theme="1"/>
      <name val="新細明體"/>
      <family val="1"/>
      <charset val="136"/>
      <scheme val="minor"/>
    </font>
    <font>
      <b/>
      <sz val="14"/>
      <name val="Calibri"/>
      <family val="2"/>
    </font>
    <font>
      <sz val="11"/>
      <name val="Calibri"/>
      <family val="2"/>
    </font>
    <font>
      <sz val="11"/>
      <color theme="1"/>
      <name val="Calibri"/>
      <family val="2"/>
    </font>
    <font>
      <sz val="10"/>
      <name val="Arial"/>
      <family val="2"/>
      <charset val="1"/>
    </font>
    <font>
      <sz val="12"/>
      <color rgb="FF000000"/>
      <name val="新細明體"/>
      <family val="2"/>
      <charset val="1"/>
    </font>
    <font>
      <sz val="10"/>
      <color rgb="FF000000"/>
      <name val="MS Sans Serif"/>
      <family val="2"/>
      <charset val="1"/>
    </font>
    <font>
      <b/>
      <sz val="12"/>
      <name val="Arial"/>
      <family val="2"/>
    </font>
    <font>
      <sz val="12"/>
      <name val="Times New Roman"/>
      <family val="1"/>
    </font>
    <font>
      <sz val="11"/>
      <color indexed="8"/>
      <name val="宋体"/>
      <family val="3"/>
      <charset val="136"/>
    </font>
    <font>
      <sz val="12"/>
      <color indexed="8"/>
      <name val="新細明體"/>
      <family val="1"/>
      <charset val="136"/>
    </font>
    <font>
      <sz val="11"/>
      <color indexed="9"/>
      <name val="宋体"/>
    </font>
    <font>
      <sz val="10"/>
      <color indexed="8"/>
      <name val="Arial"/>
      <family val="2"/>
    </font>
    <font>
      <sz val="10"/>
      <name val="MS Sans Serif"/>
      <family val="2"/>
    </font>
    <font>
      <b/>
      <sz val="11"/>
      <color indexed="8"/>
      <name val="宋体"/>
    </font>
    <font>
      <sz val="11"/>
      <color indexed="52"/>
      <name val="宋体"/>
    </font>
    <font>
      <sz val="12"/>
      <name val="宋体"/>
    </font>
    <font>
      <sz val="11"/>
      <color indexed="8"/>
      <name val="新細明體"/>
      <family val="1"/>
      <charset val="136"/>
      <scheme val="minor"/>
    </font>
    <font>
      <sz val="11"/>
      <color indexed="8"/>
      <name val="宋体"/>
    </font>
    <font>
      <sz val="12"/>
      <color indexed="9"/>
      <name val="新細明體"/>
      <family val="1"/>
      <charset val="136"/>
    </font>
    <font>
      <b/>
      <sz val="12"/>
      <color indexed="8"/>
      <name val="新細明體"/>
      <family val="1"/>
      <charset val="136"/>
    </font>
    <font>
      <sz val="12"/>
      <color indexed="17"/>
      <name val="新細明體"/>
      <family val="1"/>
      <charset val="136"/>
    </font>
    <font>
      <sz val="12"/>
      <color indexed="52"/>
      <name val="新細明體"/>
      <family val="1"/>
      <charset val="136"/>
    </font>
    <font>
      <b/>
      <sz val="11"/>
      <name val="Calibri"/>
      <family val="2"/>
    </font>
    <font>
      <b/>
      <sz val="11"/>
      <color theme="1"/>
      <name val="Calibri"/>
      <family val="2"/>
    </font>
    <font>
      <sz val="9"/>
      <name val="新細明體"/>
      <family val="3"/>
      <charset val="136"/>
      <scheme val="minor"/>
    </font>
    <font>
      <sz val="9"/>
      <name val="新細明體"/>
      <family val="2"/>
      <charset val="136"/>
      <scheme val="minor"/>
    </font>
    <font>
      <sz val="12"/>
      <color theme="0"/>
      <name val="Calibri"/>
      <family val="2"/>
    </font>
    <font>
      <sz val="9"/>
      <name val="Calibri"/>
      <family val="2"/>
      <charset val="136"/>
    </font>
    <font>
      <sz val="11"/>
      <color theme="1"/>
      <name val="Calibri"/>
      <family val="2"/>
      <charset val="136"/>
    </font>
    <font>
      <sz val="11"/>
      <color theme="1"/>
      <name val="Microsoft JhengHei"/>
      <family val="2"/>
    </font>
    <font>
      <sz val="11"/>
      <color rgb="FF000000"/>
      <name val="Calibri"/>
      <family val="2"/>
    </font>
    <font>
      <sz val="12"/>
      <name val="Calibri"/>
      <family val="2"/>
      <charset val="136"/>
    </font>
    <font>
      <sz val="12"/>
      <color theme="1"/>
      <name val="新細明體"/>
      <family val="1"/>
      <charset val="136"/>
    </font>
    <font>
      <sz val="11"/>
      <color theme="1"/>
      <name val="新細明體"/>
      <family val="1"/>
      <charset val="136"/>
      <scheme val="minor"/>
    </font>
    <font>
      <b/>
      <sz val="11"/>
      <color rgb="FFFF0000"/>
      <name val="Calibri"/>
      <family val="2"/>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11"/>
      <color rgb="FFFF0000"/>
      <name val="Calibri"/>
      <family val="2"/>
    </font>
    <font>
      <b/>
      <u/>
      <sz val="11"/>
      <color rgb="FFFF0000"/>
      <name val="Calibri"/>
      <family val="2"/>
    </font>
    <font>
      <u/>
      <sz val="11"/>
      <color rgb="FFFF0000"/>
      <name val="Calibri"/>
      <family val="2"/>
    </font>
    <font>
      <sz val="11"/>
      <color indexed="8"/>
      <name val="新細明體"/>
      <family val="2"/>
      <scheme val="minor"/>
    </font>
    <font>
      <sz val="12"/>
      <color indexed="60"/>
      <name val="新細明體"/>
      <family val="1"/>
      <charset val="136"/>
    </font>
    <font>
      <b/>
      <sz val="12"/>
      <color indexed="52"/>
      <name val="新細明體"/>
      <family val="1"/>
      <charset val="136"/>
    </font>
    <font>
      <sz val="11"/>
      <color indexed="20"/>
      <name val="宋体"/>
    </font>
    <font>
      <sz val="11"/>
      <color indexed="60"/>
      <name val="宋体"/>
    </font>
    <font>
      <i/>
      <sz val="11"/>
      <color indexed="23"/>
      <name val="宋体"/>
    </font>
    <font>
      <i/>
      <sz val="12"/>
      <color indexed="23"/>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2"/>
      <color indexed="62"/>
      <name val="新細明體"/>
      <family val="1"/>
      <charset val="136"/>
    </font>
    <font>
      <b/>
      <sz val="12"/>
      <color indexed="63"/>
      <name val="新細明體"/>
      <family val="1"/>
      <charset val="136"/>
    </font>
    <font>
      <b/>
      <sz val="12"/>
      <color indexed="9"/>
      <name val="新細明體"/>
      <family val="1"/>
      <charset val="136"/>
    </font>
    <font>
      <sz val="12"/>
      <color indexed="20"/>
      <name val="新細明體"/>
      <family val="1"/>
      <charset val="136"/>
    </font>
    <font>
      <sz val="11"/>
      <color indexed="10"/>
      <name val="宋体"/>
    </font>
    <font>
      <sz val="12"/>
      <color indexed="10"/>
      <name val="新細明體"/>
      <family val="1"/>
      <charset val="136"/>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52"/>
      <name val="宋体"/>
    </font>
    <font>
      <sz val="11"/>
      <color indexed="62"/>
      <name val="宋体"/>
    </font>
    <font>
      <b/>
      <sz val="11"/>
      <color indexed="63"/>
      <name val="宋体"/>
    </font>
    <font>
      <sz val="10"/>
      <color indexed="8"/>
      <name val="Verdana"/>
      <family val="2"/>
    </font>
    <font>
      <sz val="11"/>
      <color rgb="FF242424"/>
      <name val="Calibri"/>
      <family val="2"/>
    </font>
    <font>
      <b/>
      <sz val="12"/>
      <name val="Calibri"/>
      <family val="2"/>
    </font>
    <font>
      <b/>
      <sz val="12"/>
      <color theme="1"/>
      <name val="Calibri"/>
      <family val="2"/>
    </font>
    <font>
      <sz val="12"/>
      <color rgb="FF000000"/>
      <name val="Calibri"/>
      <family val="2"/>
    </font>
    <font>
      <strike/>
      <sz val="11"/>
      <name val="Calibri"/>
      <family val="2"/>
    </font>
    <font>
      <strike/>
      <sz val="11"/>
      <color theme="1"/>
      <name val="Calibri"/>
      <family val="2"/>
    </font>
    <font>
      <sz val="10"/>
      <color rgb="FF000000"/>
      <name val="新細明體"/>
      <family val="2"/>
      <scheme val="minor"/>
    </font>
    <font>
      <sz val="12"/>
      <name val="標楷體"/>
      <family val="4"/>
      <charset val="136"/>
    </font>
    <font>
      <sz val="9"/>
      <name val="Geneva"/>
      <family val="2"/>
    </font>
    <font>
      <sz val="12"/>
      <name val="바탕체"/>
      <family val="3"/>
      <charset val="255"/>
    </font>
    <font>
      <sz val="10"/>
      <name val="Geneva"/>
      <family val="2"/>
    </font>
    <font>
      <sz val="10"/>
      <name val="Helv"/>
      <family val="2"/>
    </font>
    <font>
      <sz val="11"/>
      <name val="‚l‚r ‚oƒSƒVƒbƒN"/>
      <family val="3"/>
    </font>
    <font>
      <b/>
      <sz val="10"/>
      <name val="Arial"/>
      <family val="2"/>
    </font>
    <font>
      <sz val="12"/>
      <name val="Arial MT"/>
      <family val="2"/>
    </font>
    <font>
      <sz val="12"/>
      <name val="¹UAAA¼"/>
      <family val="3"/>
    </font>
    <font>
      <sz val="8"/>
      <name val="Times New Roman"/>
      <family val="1"/>
    </font>
    <font>
      <b/>
      <sz val="11"/>
      <color indexed="18"/>
      <name val="Times New Roman"/>
      <family val="1"/>
    </font>
    <font>
      <b/>
      <sz val="14"/>
      <color indexed="18"/>
      <name val="Times New Roman"/>
      <family val="1"/>
    </font>
    <font>
      <b/>
      <sz val="10"/>
      <name val="Times New Roman"/>
      <family val="1"/>
    </font>
    <font>
      <b/>
      <sz val="10"/>
      <name val="MS Sans Serif"/>
      <family val="2"/>
    </font>
    <font>
      <sz val="9"/>
      <name val="Arial"/>
      <family val="2"/>
    </font>
    <font>
      <b/>
      <sz val="10"/>
      <name val="Helv"/>
      <family val="2"/>
    </font>
    <font>
      <sz val="10"/>
      <name val="Times New Roman"/>
      <family val="1"/>
    </font>
    <font>
      <sz val="10"/>
      <name val="BERNHARD"/>
      <family val="1"/>
    </font>
    <font>
      <sz val="10"/>
      <color indexed="0"/>
      <name val="MS Sans Serif"/>
      <family val="2"/>
    </font>
    <font>
      <sz val="10"/>
      <name val="MS Serif"/>
      <family val="1"/>
    </font>
    <font>
      <sz val="10"/>
      <name val="Courier"/>
      <family val="3"/>
    </font>
    <font>
      <sz val="8"/>
      <name val="MS Sans Serif"/>
      <family val="2"/>
    </font>
    <font>
      <sz val="1"/>
      <color indexed="8"/>
      <name val="Courier"/>
      <family val="3"/>
    </font>
    <font>
      <b/>
      <sz val="1"/>
      <color indexed="8"/>
      <name val="Courier"/>
      <family val="3"/>
    </font>
    <font>
      <sz val="10"/>
      <color indexed="16"/>
      <name val="MS Serif"/>
      <family val="1"/>
    </font>
    <font>
      <sz val="11"/>
      <name val="–¾’©"/>
      <family val="1"/>
      <charset val="136"/>
    </font>
    <font>
      <sz val="8"/>
      <name val="Arial"/>
      <family val="2"/>
    </font>
    <font>
      <b/>
      <u/>
      <sz val="11"/>
      <color indexed="37"/>
      <name val="Arial"/>
      <family val="2"/>
    </font>
    <font>
      <b/>
      <sz val="18"/>
      <name val="Arial"/>
      <family val="2"/>
    </font>
    <font>
      <b/>
      <sz val="8"/>
      <name val="MS Sans Serif"/>
      <family val="2"/>
    </font>
    <font>
      <sz val="10"/>
      <color indexed="12"/>
      <name val="Arial"/>
      <family val="2"/>
    </font>
    <font>
      <u/>
      <sz val="7.5"/>
      <color indexed="12"/>
      <name val="Helv"/>
      <family val="2"/>
    </font>
    <font>
      <sz val="12"/>
      <name val="Helv"/>
      <family val="2"/>
    </font>
    <font>
      <sz val="11"/>
      <name val="Arial"/>
      <family val="2"/>
    </font>
    <font>
      <sz val="12"/>
      <color indexed="9"/>
      <name val="Helv"/>
      <family val="2"/>
    </font>
    <font>
      <b/>
      <sz val="10"/>
      <color indexed="9"/>
      <name val="Arial"/>
      <family val="2"/>
    </font>
    <font>
      <sz val="7"/>
      <name val="Small Fonts"/>
      <family val="2"/>
    </font>
    <font>
      <b/>
      <i/>
      <sz val="16"/>
      <name val="Helv"/>
      <family val="2"/>
    </font>
    <font>
      <b/>
      <sz val="8.5"/>
      <name val="MS Sans Serif"/>
      <family val="2"/>
    </font>
    <font>
      <sz val="10"/>
      <name val="Tms Rmn"/>
      <family val="1"/>
    </font>
    <font>
      <b/>
      <sz val="11"/>
      <color indexed="16"/>
      <name val="Times New Roman"/>
      <family val="1"/>
    </font>
    <font>
      <sz val="8"/>
      <name val="Wingdings"/>
      <charset val="2"/>
    </font>
    <font>
      <sz val="8"/>
      <name val="Helv"/>
      <family val="2"/>
    </font>
    <font>
      <b/>
      <sz val="8.25"/>
      <name val="Helv"/>
      <family val="2"/>
    </font>
    <font>
      <b/>
      <sz val="8"/>
      <color indexed="8"/>
      <name val="Helv"/>
      <family val="2"/>
    </font>
    <font>
      <b/>
      <sz val="8"/>
      <name val="Times New Roman"/>
      <family val="1"/>
    </font>
    <font>
      <sz val="12"/>
      <name val="Courier"/>
      <family val="3"/>
    </font>
    <font>
      <sz val="14"/>
      <name val="뼻뮝"/>
      <family val="3"/>
    </font>
    <font>
      <sz val="12"/>
      <name val="뼻뮝"/>
      <family val="1"/>
    </font>
    <font>
      <sz val="10"/>
      <name val="ＭＳ Ｐゴシック"/>
      <family val="2"/>
    </font>
    <font>
      <sz val="10"/>
      <name val="俵俽 俹僑僔僢僋"/>
      <family val="2"/>
    </font>
    <font>
      <sz val="9"/>
      <name val="標楷體"/>
      <family val="4"/>
      <charset val="136"/>
    </font>
    <font>
      <strike/>
      <sz val="12"/>
      <color theme="1"/>
      <name val="Calibri"/>
      <family val="2"/>
    </font>
    <font>
      <strike/>
      <sz val="12"/>
      <color rgb="FF000000"/>
      <name val="Calibri"/>
      <family val="2"/>
    </font>
  </fonts>
  <fills count="84">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indexed="4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6"/>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tint="-0.499984740745262"/>
        <bgColor indexed="64"/>
      </patternFill>
    </fill>
    <fill>
      <patternFill patternType="solid">
        <fgColor theme="6" tint="0.79998168889431442"/>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3"/>
      </patternFill>
    </fill>
    <fill>
      <patternFill patternType="solid">
        <fgColor indexed="22"/>
      </patternFill>
    </fill>
    <fill>
      <patternFill patternType="solid">
        <fgColor indexed="55"/>
      </patternFill>
    </fill>
    <fill>
      <patternFill patternType="solid">
        <fgColor rgb="FF00B050"/>
        <bgColor indexed="64"/>
      </patternFill>
    </fill>
    <fill>
      <patternFill patternType="solid">
        <fgColor rgb="FF00B0F0"/>
        <bgColor indexed="64"/>
      </patternFill>
    </fill>
    <fill>
      <patternFill patternType="solid">
        <fgColor indexed="44"/>
        <bgColor indexed="64"/>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10"/>
        <bgColor indexed="64"/>
      </patternFill>
    </fill>
    <fill>
      <patternFill patternType="mediumGray">
        <fgColor indexed="22"/>
      </patternFill>
    </fill>
    <fill>
      <patternFill patternType="darkVertical"/>
    </fill>
    <fill>
      <patternFill patternType="darkGray">
        <fgColor indexed="15"/>
      </patternFill>
    </fill>
    <fill>
      <patternFill patternType="solid">
        <fgColor theme="6" tint="0.59999389629810485"/>
        <bgColor indexed="64"/>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1"/>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theme="6" tint="-0.499984740745262"/>
        <bgColor indexed="64"/>
      </patternFill>
    </fill>
    <fill>
      <patternFill patternType="solid">
        <fgColor theme="9" tint="0.39997558519241921"/>
        <bgColor indexed="64"/>
      </patternFill>
    </fill>
    <fill>
      <patternFill patternType="solid">
        <fgColor rgb="FFFF0000"/>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style="thin">
        <color indexed="64"/>
      </left>
      <right style="thin">
        <color indexed="64"/>
      </right>
      <top/>
      <bottom/>
      <diagonal/>
    </border>
    <border>
      <left style="double">
        <color indexed="64"/>
      </left>
      <right/>
      <top/>
      <bottom style="hair">
        <color indexed="64"/>
      </bottom>
      <diagonal/>
    </border>
    <border>
      <left/>
      <right/>
      <top style="thin">
        <color indexed="64"/>
      </top>
      <bottom/>
      <diagonal/>
    </border>
    <border>
      <left/>
      <right/>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top style="thin">
        <color indexed="64"/>
      </top>
      <bottom style="thin">
        <color indexed="64"/>
      </bottom>
      <diagonal/>
    </border>
    <border>
      <left style="double">
        <color indexed="64"/>
      </left>
      <right style="double">
        <color indexed="64"/>
      </right>
      <top/>
      <bottom style="double">
        <color indexed="64"/>
      </bottom>
      <diagonal/>
    </border>
    <border>
      <left/>
      <right/>
      <top/>
      <bottom style="double">
        <color indexed="64"/>
      </bottom>
      <diagonal/>
    </border>
    <border>
      <left/>
      <right/>
      <top style="double">
        <color indexed="64"/>
      </top>
      <bottom/>
      <diagonal/>
    </border>
  </borders>
  <cellStyleXfs count="520">
    <xf numFmtId="0" fontId="0" fillId="0" borderId="0"/>
    <xf numFmtId="0" fontId="12" fillId="0" borderId="0"/>
    <xf numFmtId="0" fontId="11" fillId="0" borderId="0"/>
    <xf numFmtId="0" fontId="8" fillId="0" borderId="0"/>
    <xf numFmtId="0" fontId="11" fillId="0" borderId="0"/>
    <xf numFmtId="0" fontId="11" fillId="0" borderId="0"/>
    <xf numFmtId="0" fontId="15" fillId="0" borderId="0"/>
    <xf numFmtId="0" fontId="11" fillId="0" borderId="0"/>
    <xf numFmtId="0" fontId="19" fillId="0" borderId="0"/>
    <xf numFmtId="0" fontId="19" fillId="0" borderId="0"/>
    <xf numFmtId="0" fontId="19" fillId="0" borderId="0"/>
    <xf numFmtId="43" fontId="19" fillId="0" borderId="0" applyFont="0" applyFill="0" applyBorder="0" applyAlignment="0" applyProtection="0">
      <alignment vertical="center"/>
    </xf>
    <xf numFmtId="0" fontId="19" fillId="0" borderId="0"/>
    <xf numFmtId="43" fontId="19" fillId="0" borderId="0" applyFont="0" applyFill="0" applyBorder="0" applyAlignment="0" applyProtection="0">
      <alignment vertical="center"/>
    </xf>
    <xf numFmtId="0" fontId="23" fillId="0" borderId="0"/>
    <xf numFmtId="0" fontId="24" fillId="0" borderId="0"/>
    <xf numFmtId="0" fontId="23" fillId="0" borderId="0"/>
    <xf numFmtId="0" fontId="19" fillId="0" borderId="0">
      <alignment vertical="center"/>
    </xf>
    <xf numFmtId="0" fontId="25" fillId="0" borderId="0"/>
    <xf numFmtId="0" fontId="6" fillId="0" borderId="0">
      <alignment vertical="center"/>
    </xf>
    <xf numFmtId="0" fontId="28" fillId="7" borderId="0" applyNumberFormat="0" applyBorder="0" applyAlignment="0" applyProtection="0">
      <alignment vertical="center"/>
    </xf>
    <xf numFmtId="0" fontId="28" fillId="8" borderId="0" applyNumberFormat="0" applyBorder="0" applyAlignment="0" applyProtection="0">
      <alignment vertical="center"/>
    </xf>
    <xf numFmtId="0" fontId="28" fillId="9" borderId="0" applyNumberFormat="0" applyBorder="0" applyAlignment="0" applyProtection="0">
      <alignment vertical="center"/>
    </xf>
    <xf numFmtId="0" fontId="28"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9" fillId="7" borderId="0" applyNumberFormat="0" applyBorder="0" applyAlignment="0" applyProtection="0">
      <alignment vertical="center"/>
    </xf>
    <xf numFmtId="0" fontId="29" fillId="8" borderId="0" applyNumberFormat="0" applyBorder="0" applyAlignment="0" applyProtection="0">
      <alignment vertical="center"/>
    </xf>
    <xf numFmtId="0" fontId="29" fillId="9" borderId="0" applyNumberFormat="0" applyBorder="0" applyAlignment="0" applyProtection="0">
      <alignment vertical="center"/>
    </xf>
    <xf numFmtId="0" fontId="29"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8" fillId="10" borderId="0" applyNumberFormat="0" applyBorder="0" applyAlignment="0" applyProtection="0">
      <alignment vertical="center"/>
    </xf>
    <xf numFmtId="0" fontId="28" fillId="13" borderId="0" applyNumberFormat="0" applyBorder="0" applyAlignment="0" applyProtection="0">
      <alignment vertical="center"/>
    </xf>
    <xf numFmtId="0" fontId="28" fillId="16"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9" fillId="10" borderId="0" applyNumberFormat="0" applyBorder="0" applyAlignment="0" applyProtection="0">
      <alignment vertical="center"/>
    </xf>
    <xf numFmtId="0" fontId="29" fillId="13"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4" borderId="0" applyNumberFormat="0" applyBorder="0" applyAlignment="0" applyProtection="0">
      <alignment vertical="center"/>
    </xf>
    <xf numFmtId="0" fontId="30" fillId="15"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177" fontId="8" fillId="0" borderId="0" applyFill="0" applyBorder="0" applyAlignment="0"/>
    <xf numFmtId="178" fontId="27" fillId="0" borderId="0" applyFill="0" applyBorder="0" applyAlignment="0"/>
    <xf numFmtId="179" fontId="27" fillId="0" borderId="0" applyFill="0" applyBorder="0" applyAlignment="0"/>
    <xf numFmtId="180" fontId="8" fillId="0" borderId="0" applyFill="0" applyBorder="0" applyAlignment="0"/>
    <xf numFmtId="181" fontId="8"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177" fontId="8" fillId="0" borderId="0" applyFont="0" applyFill="0" applyBorder="0" applyAlignment="0" applyProtection="0"/>
    <xf numFmtId="178" fontId="27" fillId="0" borderId="0" applyFont="0" applyFill="0" applyBorder="0" applyAlignment="0" applyProtection="0"/>
    <xf numFmtId="14" fontId="31" fillId="0" borderId="0" applyFill="0" applyBorder="0" applyAlignment="0"/>
    <xf numFmtId="38" fontId="32" fillId="0" borderId="2">
      <alignment vertical="center"/>
    </xf>
    <xf numFmtId="177" fontId="8" fillId="0" borderId="0" applyFill="0" applyBorder="0" applyAlignment="0"/>
    <xf numFmtId="178" fontId="27"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0" fontId="26" fillId="0" borderId="3" applyNumberFormat="0" applyAlignment="0" applyProtection="0">
      <alignment horizontal="left" vertical="center"/>
    </xf>
    <xf numFmtId="0" fontId="26" fillId="0" borderId="4">
      <alignment horizontal="left" vertical="center"/>
    </xf>
    <xf numFmtId="177" fontId="8" fillId="0" borderId="0" applyFill="0" applyBorder="0" applyAlignment="0"/>
    <xf numFmtId="178" fontId="27"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184" fontId="27" fillId="0" borderId="0"/>
    <xf numFmtId="0" fontId="8" fillId="0" borderId="0"/>
    <xf numFmtId="181" fontId="8" fillId="0" borderId="0" applyFont="0" applyFill="0" applyBorder="0" applyAlignment="0" applyProtection="0"/>
    <xf numFmtId="183" fontId="8" fillId="0" borderId="0" applyFont="0" applyFill="0" applyBorder="0" applyAlignment="0" applyProtection="0"/>
    <xf numFmtId="185" fontId="8" fillId="0" borderId="0" applyFont="0" applyFill="0" applyBorder="0" applyAlignment="0" applyProtection="0"/>
    <xf numFmtId="177" fontId="8" fillId="0" borderId="0" applyFill="0" applyBorder="0" applyAlignment="0"/>
    <xf numFmtId="178" fontId="27" fillId="0" borderId="0" applyFill="0" applyBorder="0" applyAlignment="0"/>
    <xf numFmtId="177" fontId="8" fillId="0" borderId="0" applyFill="0" applyBorder="0" applyAlignment="0"/>
    <xf numFmtId="182" fontId="8" fillId="0" borderId="0" applyFill="0" applyBorder="0" applyAlignment="0"/>
    <xf numFmtId="178" fontId="27" fillId="0" borderId="0" applyFill="0" applyBorder="0" applyAlignment="0"/>
    <xf numFmtId="49" fontId="31" fillId="0" borderId="0" applyFill="0" applyBorder="0" applyAlignment="0"/>
    <xf numFmtId="185" fontId="8" fillId="0" borderId="0" applyFill="0" applyBorder="0" applyAlignment="0"/>
    <xf numFmtId="186" fontId="8" fillId="0" borderId="0" applyFill="0" applyBorder="0" applyAlignment="0"/>
    <xf numFmtId="187" fontId="11" fillId="0" borderId="0"/>
    <xf numFmtId="0" fontId="33" fillId="0" borderId="5" applyNumberFormat="0" applyFill="0" applyAlignment="0" applyProtection="0">
      <alignment vertical="center"/>
    </xf>
    <xf numFmtId="0" fontId="8" fillId="21" borderId="6" applyNumberFormat="0" applyFont="0" applyAlignment="0" applyProtection="0">
      <alignment vertical="center"/>
    </xf>
    <xf numFmtId="0" fontId="8" fillId="0" borderId="0"/>
    <xf numFmtId="0" fontId="8" fillId="0" borderId="0" applyFont="0" applyFill="0" applyBorder="0" applyAlignment="0" applyProtection="0"/>
    <xf numFmtId="0" fontId="8" fillId="0" borderId="0" applyFont="0" applyFill="0" applyBorder="0" applyAlignment="0" applyProtection="0"/>
    <xf numFmtId="0" fontId="8" fillId="0" borderId="0"/>
    <xf numFmtId="42"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30"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0" fillId="18" borderId="0" applyNumberFormat="0" applyBorder="0" applyAlignment="0" applyProtection="0">
      <alignment vertical="center"/>
    </xf>
    <xf numFmtId="0" fontId="30" fillId="19" borderId="0" applyNumberFormat="0" applyBorder="0" applyAlignment="0" applyProtection="0">
      <alignment vertical="center"/>
    </xf>
    <xf numFmtId="0" fontId="30" fillId="25" borderId="0" applyNumberFormat="0" applyBorder="0" applyAlignment="0" applyProtection="0">
      <alignment vertical="center"/>
    </xf>
    <xf numFmtId="0" fontId="34" fillId="0" borderId="7" applyNumberFormat="0" applyFill="0" applyAlignment="0" applyProtection="0">
      <alignment vertical="center"/>
    </xf>
    <xf numFmtId="0" fontId="35" fillId="0" borderId="0"/>
    <xf numFmtId="0" fontId="35" fillId="0" borderId="0"/>
    <xf numFmtId="0" fontId="36" fillId="0" borderId="0"/>
    <xf numFmtId="0" fontId="37" fillId="7" borderId="0" applyNumberFormat="0" applyBorder="0" applyAlignment="0" applyProtection="0">
      <alignment vertical="center"/>
    </xf>
    <xf numFmtId="0" fontId="37" fillId="8" borderId="0" applyNumberFormat="0" applyBorder="0" applyAlignment="0" applyProtection="0">
      <alignment vertical="center"/>
    </xf>
    <xf numFmtId="0" fontId="37" fillId="9" borderId="0" applyNumberFormat="0" applyBorder="0" applyAlignment="0" applyProtection="0">
      <alignment vertical="center"/>
    </xf>
    <xf numFmtId="0" fontId="37" fillId="10" borderId="0" applyNumberFormat="0" applyBorder="0" applyAlignment="0" applyProtection="0">
      <alignment vertical="center"/>
    </xf>
    <xf numFmtId="0" fontId="37" fillId="11" borderId="0" applyNumberFormat="0" applyBorder="0" applyAlignment="0" applyProtection="0">
      <alignment vertical="center"/>
    </xf>
    <xf numFmtId="0" fontId="37" fillId="12" borderId="0" applyNumberFormat="0" applyBorder="0" applyAlignment="0" applyProtection="0">
      <alignment vertical="center"/>
    </xf>
    <xf numFmtId="0" fontId="37"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7" fillId="10" borderId="0" applyNumberFormat="0" applyBorder="0" applyAlignment="0" applyProtection="0">
      <alignment vertical="center"/>
    </xf>
    <xf numFmtId="0" fontId="37" fillId="13"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8" fillId="20" borderId="0" applyNumberFormat="0" applyBorder="0" applyAlignment="0" applyProtection="0">
      <alignment vertical="center"/>
    </xf>
    <xf numFmtId="0" fontId="8" fillId="0" borderId="0" applyNumberFormat="0" applyFont="0" applyFill="0" applyBorder="0" applyAlignment="0" applyProtection="0"/>
    <xf numFmtId="0" fontId="39" fillId="0" borderId="5" applyNumberFormat="0" applyFill="0" applyAlignment="0" applyProtection="0">
      <alignment vertical="center"/>
    </xf>
    <xf numFmtId="0" fontId="40" fillId="9" borderId="0" applyNumberFormat="0" applyBorder="0" applyAlignment="0" applyProtection="0">
      <alignment vertical="center"/>
    </xf>
    <xf numFmtId="0" fontId="41" fillId="0" borderId="7" applyNumberFormat="0" applyFill="0" applyAlignment="0" applyProtection="0">
      <alignment vertical="center"/>
    </xf>
    <xf numFmtId="0" fontId="8" fillId="21" borderId="6" applyNumberFormat="0" applyFont="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8" fillId="24"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8" fillId="25" borderId="0" applyNumberFormat="0" applyBorder="0" applyAlignment="0" applyProtection="0">
      <alignment vertical="center"/>
    </xf>
    <xf numFmtId="0" fontId="8" fillId="0" borderId="0"/>
    <xf numFmtId="0" fontId="48" fillId="0" borderId="0">
      <alignment vertical="center"/>
    </xf>
    <xf numFmtId="0" fontId="5" fillId="0" borderId="0">
      <alignment vertical="center"/>
    </xf>
    <xf numFmtId="0" fontId="11" fillId="0" borderId="0"/>
    <xf numFmtId="0" fontId="52" fillId="0" borderId="0">
      <alignment vertical="center"/>
    </xf>
    <xf numFmtId="0" fontId="27" fillId="0" borderId="0"/>
    <xf numFmtId="0" fontId="8" fillId="0" borderId="0"/>
    <xf numFmtId="0" fontId="53" fillId="0" borderId="0"/>
    <xf numFmtId="0" fontId="19" fillId="0" borderId="0"/>
    <xf numFmtId="0" fontId="8" fillId="0" borderId="0"/>
    <xf numFmtId="0" fontId="11" fillId="0" borderId="0"/>
    <xf numFmtId="0" fontId="19" fillId="0" borderId="0"/>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16" applyNumberFormat="0" applyFill="0" applyAlignment="0" applyProtection="0">
      <alignment vertical="center"/>
    </xf>
    <xf numFmtId="0" fontId="57" fillId="0" borderId="17" applyNumberFormat="0" applyFill="0" applyAlignment="0" applyProtection="0">
      <alignment vertical="center"/>
    </xf>
    <xf numFmtId="0" fontId="58" fillId="0" borderId="18" applyNumberFormat="0" applyFill="0" applyAlignment="0" applyProtection="0">
      <alignment vertical="center"/>
    </xf>
    <xf numFmtId="0" fontId="58" fillId="0" borderId="0" applyNumberFormat="0" applyFill="0" applyBorder="0" applyAlignment="0" applyProtection="0">
      <alignment vertical="center"/>
    </xf>
    <xf numFmtId="0" fontId="59" fillId="29" borderId="0" applyNumberFormat="0" applyBorder="0" applyAlignment="0" applyProtection="0">
      <alignment vertical="center"/>
    </xf>
    <xf numFmtId="0" fontId="60" fillId="30" borderId="0" applyNumberFormat="0" applyBorder="0" applyAlignment="0" applyProtection="0">
      <alignment vertical="center"/>
    </xf>
    <xf numFmtId="0" fontId="61" fillId="31" borderId="0" applyNumberFormat="0" applyBorder="0" applyAlignment="0" applyProtection="0">
      <alignment vertical="center"/>
    </xf>
    <xf numFmtId="0" fontId="62" fillId="32" borderId="19" applyNumberFormat="0" applyAlignment="0" applyProtection="0">
      <alignment vertical="center"/>
    </xf>
    <xf numFmtId="0" fontId="63" fillId="33" borderId="20" applyNumberFormat="0" applyAlignment="0" applyProtection="0">
      <alignment vertical="center"/>
    </xf>
    <xf numFmtId="0" fontId="64" fillId="33" borderId="19" applyNumberFormat="0" applyAlignment="0" applyProtection="0">
      <alignment vertical="center"/>
    </xf>
    <xf numFmtId="0" fontId="65" fillId="0" borderId="21" applyNumberFormat="0" applyFill="0" applyAlignment="0" applyProtection="0">
      <alignment vertical="center"/>
    </xf>
    <xf numFmtId="0" fontId="66" fillId="34" borderId="22" applyNumberFormat="0" applyAlignment="0" applyProtection="0">
      <alignment vertical="center"/>
    </xf>
    <xf numFmtId="0" fontId="67"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24" applyNumberFormat="0" applyFill="0" applyAlignment="0" applyProtection="0">
      <alignment vertical="center"/>
    </xf>
    <xf numFmtId="0" fontId="70" fillId="36" borderId="0" applyNumberFormat="0" applyBorder="0" applyAlignment="0" applyProtection="0">
      <alignment vertical="center"/>
    </xf>
    <xf numFmtId="0" fontId="4" fillId="37" borderId="0" applyNumberFormat="0" applyBorder="0" applyAlignment="0" applyProtection="0">
      <alignment vertical="center"/>
    </xf>
    <xf numFmtId="0" fontId="4" fillId="38" borderId="0" applyNumberFormat="0" applyBorder="0" applyAlignment="0" applyProtection="0">
      <alignment vertical="center"/>
    </xf>
    <xf numFmtId="0" fontId="4" fillId="39" borderId="0" applyNumberFormat="0" applyBorder="0" applyAlignment="0" applyProtection="0">
      <alignment vertical="center"/>
    </xf>
    <xf numFmtId="0" fontId="70" fillId="40" borderId="0" applyNumberFormat="0" applyBorder="0" applyAlignment="0" applyProtection="0">
      <alignment vertical="center"/>
    </xf>
    <xf numFmtId="0" fontId="4" fillId="41" borderId="0" applyNumberFormat="0" applyBorder="0" applyAlignment="0" applyProtection="0">
      <alignment vertical="center"/>
    </xf>
    <xf numFmtId="0" fontId="4" fillId="42" borderId="0" applyNumberFormat="0" applyBorder="0" applyAlignment="0" applyProtection="0">
      <alignment vertical="center"/>
    </xf>
    <xf numFmtId="0" fontId="4" fillId="43" borderId="0" applyNumberFormat="0" applyBorder="0" applyAlignment="0" applyProtection="0">
      <alignment vertical="center"/>
    </xf>
    <xf numFmtId="0" fontId="70" fillId="44" borderId="0" applyNumberFormat="0" applyBorder="0" applyAlignment="0" applyProtection="0">
      <alignment vertical="center"/>
    </xf>
    <xf numFmtId="0" fontId="4" fillId="45" borderId="0" applyNumberFormat="0" applyBorder="0" applyAlignment="0" applyProtection="0">
      <alignment vertical="center"/>
    </xf>
    <xf numFmtId="0" fontId="4" fillId="46" borderId="0" applyNumberFormat="0" applyBorder="0" applyAlignment="0" applyProtection="0">
      <alignment vertical="center"/>
    </xf>
    <xf numFmtId="0" fontId="4" fillId="47" borderId="0" applyNumberFormat="0" applyBorder="0" applyAlignment="0" applyProtection="0">
      <alignment vertical="center"/>
    </xf>
    <xf numFmtId="0" fontId="70" fillId="48" borderId="0" applyNumberFormat="0" applyBorder="0" applyAlignment="0" applyProtection="0">
      <alignment vertical="center"/>
    </xf>
    <xf numFmtId="0" fontId="4" fillId="49" borderId="0" applyNumberFormat="0" applyBorder="0" applyAlignment="0" applyProtection="0">
      <alignment vertical="center"/>
    </xf>
    <xf numFmtId="0" fontId="4" fillId="50" borderId="0" applyNumberFormat="0" applyBorder="0" applyAlignment="0" applyProtection="0">
      <alignment vertical="center"/>
    </xf>
    <xf numFmtId="0" fontId="4" fillId="51" borderId="0" applyNumberFormat="0" applyBorder="0" applyAlignment="0" applyProtection="0">
      <alignment vertical="center"/>
    </xf>
    <xf numFmtId="0" fontId="70" fillId="52" borderId="0" applyNumberFormat="0" applyBorder="0" applyAlignment="0" applyProtection="0">
      <alignment vertical="center"/>
    </xf>
    <xf numFmtId="0" fontId="4" fillId="53" borderId="0" applyNumberFormat="0" applyBorder="0" applyAlignment="0" applyProtection="0">
      <alignment vertical="center"/>
    </xf>
    <xf numFmtId="0" fontId="4" fillId="54" borderId="0" applyNumberFormat="0" applyBorder="0" applyAlignment="0" applyProtection="0">
      <alignment vertical="center"/>
    </xf>
    <xf numFmtId="0" fontId="4" fillId="55" borderId="0" applyNumberFormat="0" applyBorder="0" applyAlignment="0" applyProtection="0">
      <alignment vertical="center"/>
    </xf>
    <xf numFmtId="0" fontId="70" fillId="56" borderId="0" applyNumberFormat="0" applyBorder="0" applyAlignment="0" applyProtection="0">
      <alignment vertical="center"/>
    </xf>
    <xf numFmtId="0" fontId="4" fillId="57" borderId="0" applyNumberFormat="0" applyBorder="0" applyAlignment="0" applyProtection="0">
      <alignment vertical="center"/>
    </xf>
    <xf numFmtId="0" fontId="4" fillId="58" borderId="0" applyNumberFormat="0" applyBorder="0" applyAlignment="0" applyProtection="0">
      <alignment vertical="center"/>
    </xf>
    <xf numFmtId="0" fontId="4" fillId="59" borderId="0" applyNumberFormat="0" applyBorder="0" applyAlignment="0" applyProtection="0">
      <alignment vertical="center"/>
    </xf>
    <xf numFmtId="0" fontId="74" fillId="0" borderId="0">
      <alignment vertical="center"/>
    </xf>
    <xf numFmtId="0" fontId="8" fillId="0" borderId="0"/>
    <xf numFmtId="0" fontId="19" fillId="0" borderId="0">
      <alignment vertical="center"/>
    </xf>
    <xf numFmtId="0" fontId="75" fillId="60" borderId="0" applyNumberFormat="0" applyBorder="0" applyAlignment="0" applyProtection="0">
      <alignment vertical="center"/>
    </xf>
    <xf numFmtId="0" fontId="96" fillId="61" borderId="25" applyNumberFormat="0" applyAlignment="0" applyProtection="0">
      <alignment vertical="center"/>
    </xf>
    <xf numFmtId="0" fontId="91" fillId="0" borderId="0" applyNumberFormat="0" applyFill="0" applyBorder="0" applyAlignment="0" applyProtection="0">
      <alignment vertical="center"/>
    </xf>
    <xf numFmtId="0" fontId="92" fillId="0" borderId="26" applyNumberFormat="0" applyFill="0" applyAlignment="0" applyProtection="0">
      <alignment vertical="center"/>
    </xf>
    <xf numFmtId="0" fontId="93" fillId="0" borderId="27" applyNumberFormat="0" applyFill="0" applyAlignment="0" applyProtection="0">
      <alignment vertical="center"/>
    </xf>
    <xf numFmtId="0" fontId="94" fillId="0" borderId="28" applyNumberFormat="0" applyFill="0" applyAlignment="0" applyProtection="0">
      <alignment vertical="center"/>
    </xf>
    <xf numFmtId="0" fontId="94" fillId="0" borderId="0" applyNumberFormat="0" applyFill="0" applyBorder="0" applyAlignment="0" applyProtection="0">
      <alignment vertical="center"/>
    </xf>
    <xf numFmtId="0" fontId="76" fillId="61" borderId="25" applyNumberFormat="0" applyAlignment="0" applyProtection="0">
      <alignment vertical="center"/>
    </xf>
    <xf numFmtId="0" fontId="77" fillId="8" borderId="0" applyNumberFormat="0" applyBorder="0" applyAlignment="0" applyProtection="0">
      <alignment vertical="center"/>
    </xf>
    <xf numFmtId="0" fontId="78" fillId="60" borderId="0" applyNumberFormat="0" applyBorder="0" applyAlignment="0" applyProtection="0">
      <alignment vertical="center"/>
    </xf>
    <xf numFmtId="0" fontId="95" fillId="62" borderId="29" applyNumberFormat="0" applyAlignment="0" applyProtection="0">
      <alignment vertical="center"/>
    </xf>
    <xf numFmtId="0" fontId="79" fillId="0" borderId="0" applyNumberFormat="0" applyFill="0" applyBorder="0" applyAlignment="0" applyProtection="0">
      <alignment vertical="center"/>
    </xf>
    <xf numFmtId="0" fontId="97" fillId="12" borderId="25" applyNumberFormat="0" applyAlignment="0" applyProtection="0">
      <alignment vertical="center"/>
    </xf>
    <xf numFmtId="0" fontId="98" fillId="61" borderId="30" applyNumberFormat="0" applyAlignment="0" applyProtection="0">
      <alignment vertical="center"/>
    </xf>
    <xf numFmtId="0" fontId="80" fillId="0" borderId="0" applyNumberFormat="0" applyFill="0" applyBorder="0" applyAlignment="0" applyProtection="0">
      <alignment vertical="center"/>
    </xf>
    <xf numFmtId="0" fontId="81" fillId="0" borderId="0" applyNumberFormat="0" applyFill="0" applyBorder="0" applyAlignment="0" applyProtection="0">
      <alignment vertical="center"/>
    </xf>
    <xf numFmtId="0" fontId="82" fillId="0" borderId="26" applyNumberFormat="0" applyFill="0" applyAlignment="0" applyProtection="0">
      <alignment vertical="center"/>
    </xf>
    <xf numFmtId="0" fontId="83" fillId="0" borderId="27" applyNumberFormat="0" applyFill="0" applyAlignment="0" applyProtection="0">
      <alignment vertical="center"/>
    </xf>
    <xf numFmtId="0" fontId="84" fillId="0" borderId="28" applyNumberFormat="0" applyFill="0" applyAlignment="0" applyProtection="0">
      <alignment vertical="center"/>
    </xf>
    <xf numFmtId="0" fontId="84" fillId="0" borderId="0" applyNumberFormat="0" applyFill="0" applyBorder="0" applyAlignment="0" applyProtection="0">
      <alignment vertical="center"/>
    </xf>
    <xf numFmtId="0" fontId="85" fillId="12" borderId="25" applyNumberFormat="0" applyAlignment="0" applyProtection="0">
      <alignment vertical="center"/>
    </xf>
    <xf numFmtId="0" fontId="86" fillId="61" borderId="30" applyNumberFormat="0" applyAlignment="0" applyProtection="0">
      <alignment vertical="center"/>
    </xf>
    <xf numFmtId="0" fontId="87" fillId="62" borderId="29" applyNumberFormat="0" applyAlignment="0" applyProtection="0">
      <alignment vertical="center"/>
    </xf>
    <xf numFmtId="0" fontId="88" fillId="8" borderId="0" applyNumberFormat="0" applyBorder="0" applyAlignment="0" applyProtection="0">
      <alignment vertical="center"/>
    </xf>
    <xf numFmtId="0" fontId="89" fillId="0" borderId="0" applyNumberFormat="0" applyFill="0" applyBorder="0" applyAlignment="0" applyProtection="0">
      <alignment vertical="center"/>
    </xf>
    <xf numFmtId="0" fontId="90" fillId="0" borderId="0" applyNumberFormat="0" applyFill="0" applyBorder="0" applyAlignment="0" applyProtection="0">
      <alignment vertical="center"/>
    </xf>
    <xf numFmtId="0" fontId="4" fillId="0" borderId="0">
      <alignment vertical="center"/>
    </xf>
    <xf numFmtId="0" fontId="4" fillId="35" borderId="23" applyNumberFormat="0" applyFont="0" applyAlignment="0" applyProtection="0">
      <alignment vertical="center"/>
    </xf>
    <xf numFmtId="0" fontId="26" fillId="0" borderId="4">
      <alignment horizontal="left" vertical="center"/>
    </xf>
    <xf numFmtId="0" fontId="96" fillId="61" borderId="25" applyNumberFormat="0" applyAlignment="0" applyProtection="0">
      <alignment vertical="center"/>
    </xf>
    <xf numFmtId="0" fontId="33" fillId="0" borderId="5" applyNumberFormat="0" applyFill="0" applyAlignment="0" applyProtection="0">
      <alignment vertical="center"/>
    </xf>
    <xf numFmtId="0" fontId="39" fillId="0" borderId="5" applyNumberFormat="0" applyFill="0" applyAlignment="0" applyProtection="0">
      <alignment vertical="center"/>
    </xf>
    <xf numFmtId="0" fontId="8" fillId="21" borderId="6" applyNumberFormat="0" applyFont="0" applyAlignment="0" applyProtection="0">
      <alignment vertical="center"/>
    </xf>
    <xf numFmtId="0" fontId="76" fillId="61" borderId="25" applyNumberFormat="0" applyAlignment="0" applyProtection="0">
      <alignment vertical="center"/>
    </xf>
    <xf numFmtId="0" fontId="8" fillId="21" borderId="6" applyNumberFormat="0" applyFont="0" applyAlignment="0" applyProtection="0">
      <alignment vertical="center"/>
    </xf>
    <xf numFmtId="0" fontId="97" fillId="12" borderId="25" applyNumberFormat="0" applyAlignment="0" applyProtection="0">
      <alignment vertical="center"/>
    </xf>
    <xf numFmtId="0" fontId="98" fillId="61" borderId="30" applyNumberFormat="0" applyAlignment="0" applyProtection="0">
      <alignment vertical="center"/>
    </xf>
    <xf numFmtId="0" fontId="8" fillId="0" borderId="0" applyNumberFormat="0" applyFont="0" applyFill="0" applyBorder="0" applyAlignment="0" applyProtection="0"/>
    <xf numFmtId="0" fontId="4" fillId="0" borderId="0">
      <alignment vertical="center"/>
    </xf>
    <xf numFmtId="0" fontId="85" fillId="12" borderId="25" applyNumberFormat="0" applyAlignment="0" applyProtection="0">
      <alignment vertical="center"/>
    </xf>
    <xf numFmtId="0" fontId="86" fillId="61" borderId="30" applyNumberFormat="0" applyAlignment="0" applyProtection="0">
      <alignment vertical="center"/>
    </xf>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3" fillId="0" borderId="0">
      <alignment vertical="center"/>
    </xf>
    <xf numFmtId="0" fontId="3" fillId="0" borderId="0">
      <alignment vertical="center"/>
    </xf>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3" fillId="37" borderId="0" applyNumberFormat="0" applyBorder="0" applyAlignment="0" applyProtection="0">
      <alignment vertical="center"/>
    </xf>
    <xf numFmtId="0" fontId="3" fillId="38" borderId="0" applyNumberFormat="0" applyBorder="0" applyAlignment="0" applyProtection="0">
      <alignment vertical="center"/>
    </xf>
    <xf numFmtId="0" fontId="3" fillId="39" borderId="0" applyNumberFormat="0" applyBorder="0" applyAlignment="0" applyProtection="0">
      <alignment vertical="center"/>
    </xf>
    <xf numFmtId="0" fontId="3" fillId="41" borderId="0" applyNumberFormat="0" applyBorder="0" applyAlignment="0" applyProtection="0">
      <alignment vertical="center"/>
    </xf>
    <xf numFmtId="0" fontId="3" fillId="42" borderId="0" applyNumberFormat="0" applyBorder="0" applyAlignment="0" applyProtection="0">
      <alignment vertical="center"/>
    </xf>
    <xf numFmtId="0" fontId="3" fillId="43" borderId="0" applyNumberFormat="0" applyBorder="0" applyAlignment="0" applyProtection="0">
      <alignment vertical="center"/>
    </xf>
    <xf numFmtId="0" fontId="3" fillId="45" borderId="0" applyNumberFormat="0" applyBorder="0" applyAlignment="0" applyProtection="0">
      <alignment vertical="center"/>
    </xf>
    <xf numFmtId="0" fontId="3" fillId="46" borderId="0" applyNumberFormat="0" applyBorder="0" applyAlignment="0" applyProtection="0">
      <alignment vertical="center"/>
    </xf>
    <xf numFmtId="0" fontId="3" fillId="47" borderId="0" applyNumberFormat="0" applyBorder="0" applyAlignment="0" applyProtection="0">
      <alignment vertical="center"/>
    </xf>
    <xf numFmtId="0" fontId="3" fillId="49" borderId="0" applyNumberFormat="0" applyBorder="0" applyAlignment="0" applyProtection="0">
      <alignment vertical="center"/>
    </xf>
    <xf numFmtId="0" fontId="3" fillId="50" borderId="0" applyNumberFormat="0" applyBorder="0" applyAlignment="0" applyProtection="0">
      <alignment vertical="center"/>
    </xf>
    <xf numFmtId="0" fontId="3" fillId="51" borderId="0" applyNumberFormat="0" applyBorder="0" applyAlignment="0" applyProtection="0">
      <alignment vertical="center"/>
    </xf>
    <xf numFmtId="0" fontId="3" fillId="53" borderId="0" applyNumberFormat="0" applyBorder="0" applyAlignment="0" applyProtection="0">
      <alignment vertical="center"/>
    </xf>
    <xf numFmtId="0" fontId="3" fillId="54" borderId="0" applyNumberFormat="0" applyBorder="0" applyAlignment="0" applyProtection="0">
      <alignment vertical="center"/>
    </xf>
    <xf numFmtId="0" fontId="3" fillId="55" borderId="0" applyNumberFormat="0" applyBorder="0" applyAlignment="0" applyProtection="0">
      <alignment vertical="center"/>
    </xf>
    <xf numFmtId="0" fontId="3" fillId="57" borderId="0" applyNumberFormat="0" applyBorder="0" applyAlignment="0" applyProtection="0">
      <alignment vertical="center"/>
    </xf>
    <xf numFmtId="0" fontId="3" fillId="58" borderId="0" applyNumberFormat="0" applyBorder="0" applyAlignment="0" applyProtection="0">
      <alignment vertical="center"/>
    </xf>
    <xf numFmtId="0" fontId="3" fillId="59" borderId="0" applyNumberFormat="0" applyBorder="0" applyAlignment="0" applyProtection="0">
      <alignment vertical="center"/>
    </xf>
    <xf numFmtId="0" fontId="3" fillId="0" borderId="0">
      <alignment vertical="center"/>
    </xf>
    <xf numFmtId="0" fontId="3" fillId="35" borderId="23" applyNumberFormat="0" applyFont="0" applyAlignment="0" applyProtection="0">
      <alignment vertical="center"/>
    </xf>
    <xf numFmtId="0" fontId="3" fillId="0" borderId="0">
      <alignment vertical="center"/>
    </xf>
    <xf numFmtId="0" fontId="106" fillId="0" borderId="0"/>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2" fillId="0" borderId="0">
      <alignment vertical="center"/>
    </xf>
    <xf numFmtId="0" fontId="19" fillId="0" borderId="0">
      <alignment vertical="center"/>
    </xf>
    <xf numFmtId="0" fontId="2" fillId="0" borderId="0">
      <alignment vertical="center"/>
    </xf>
    <xf numFmtId="0" fontId="2" fillId="0" borderId="0">
      <alignment vertical="center"/>
    </xf>
    <xf numFmtId="0" fontId="107" fillId="0" borderId="0"/>
    <xf numFmtId="0" fontId="12" fillId="0" borderId="0"/>
    <xf numFmtId="0" fontId="109" fillId="0" borderId="0"/>
    <xf numFmtId="0" fontId="109" fillId="0" borderId="0"/>
    <xf numFmtId="0" fontId="8" fillId="0" borderId="0"/>
    <xf numFmtId="0" fontId="110" fillId="0" borderId="0"/>
    <xf numFmtId="0" fontId="8" fillId="0" borderId="0" applyFont="0" applyFill="0" applyBorder="0" applyAlignment="0" applyProtection="0"/>
    <xf numFmtId="0" fontId="12" fillId="0" borderId="0"/>
    <xf numFmtId="0" fontId="8" fillId="0" borderId="0"/>
    <xf numFmtId="0" fontId="8" fillId="0" borderId="0"/>
    <xf numFmtId="0" fontId="8" fillId="0" borderId="0"/>
    <xf numFmtId="0" fontId="108" fillId="0" borderId="0"/>
    <xf numFmtId="0" fontId="8" fillId="0" borderId="0"/>
    <xf numFmtId="207" fontId="8" fillId="0" borderId="0" applyFont="0" applyFill="0" applyBorder="0" applyAlignment="0" applyProtection="0"/>
    <xf numFmtId="0" fontId="8" fillId="0" borderId="0" applyFont="0" applyFill="0" applyBorder="0" applyAlignment="0" applyProtection="0"/>
    <xf numFmtId="0" fontId="110" fillId="0" borderId="0"/>
    <xf numFmtId="0" fontId="8" fillId="0" borderId="0"/>
    <xf numFmtId="0" fontId="8" fillId="0" borderId="0"/>
    <xf numFmtId="0" fontId="8" fillId="0" borderId="0"/>
    <xf numFmtId="0" fontId="110" fillId="0" borderId="0"/>
    <xf numFmtId="0" fontId="8" fillId="0" borderId="0"/>
    <xf numFmtId="0" fontId="110" fillId="0" borderId="0"/>
    <xf numFmtId="0" fontId="12" fillId="0" borderId="0"/>
    <xf numFmtId="0" fontId="108" fillId="0" borderId="0"/>
    <xf numFmtId="0" fontId="8" fillId="0" borderId="0"/>
    <xf numFmtId="0" fontId="111" fillId="0" borderId="0"/>
    <xf numFmtId="0" fontId="8" fillId="0" borderId="0"/>
    <xf numFmtId="0" fontId="8" fillId="0" borderId="0"/>
    <xf numFmtId="0" fontId="111" fillId="0" borderId="0"/>
    <xf numFmtId="0" fontId="111" fillId="0" borderId="0"/>
    <xf numFmtId="0" fontId="8" fillId="0" borderId="0"/>
    <xf numFmtId="0" fontId="8" fillId="0" borderId="0" applyFont="0" applyFill="0" applyBorder="0" applyAlignment="0" applyProtection="0"/>
    <xf numFmtId="0" fontId="12" fillId="0" borderId="0"/>
    <xf numFmtId="0" fontId="8" fillId="0" borderId="0"/>
    <xf numFmtId="0" fontId="108" fillId="0" borderId="0"/>
    <xf numFmtId="206" fontId="8" fillId="0" borderId="0" applyFont="0" applyFill="0" applyBorder="0" applyAlignment="0" applyProtection="0"/>
    <xf numFmtId="209" fontId="8" fillId="0" borderId="0" applyFont="0" applyFill="0" applyBorder="0" applyAlignment="0" applyProtection="0"/>
    <xf numFmtId="0" fontId="112" fillId="0" borderId="0"/>
    <xf numFmtId="1" fontId="113" fillId="0" borderId="4"/>
    <xf numFmtId="1" fontId="113" fillId="0" borderId="11"/>
    <xf numFmtId="7" fontId="113" fillId="0" borderId="12"/>
    <xf numFmtId="1" fontId="8" fillId="0" borderId="31"/>
    <xf numFmtId="7" fontId="8" fillId="0" borderId="32"/>
    <xf numFmtId="202" fontId="8" fillId="0" borderId="31"/>
    <xf numFmtId="7" fontId="8" fillId="0" borderId="31"/>
    <xf numFmtId="1" fontId="113" fillId="0" borderId="31" applyNumberFormat="0" applyBorder="0"/>
    <xf numFmtId="7" fontId="113" fillId="0" borderId="0" applyBorder="0"/>
    <xf numFmtId="195" fontId="114" fillId="65" borderId="33">
      <alignment horizontal="center" vertical="center"/>
    </xf>
    <xf numFmtId="0" fontId="115" fillId="0" borderId="0" applyFont="0" applyFill="0" applyBorder="0" applyAlignment="0" applyProtection="0"/>
    <xf numFmtId="0" fontId="115" fillId="0" borderId="0" applyFont="0" applyFill="0" applyBorder="0" applyAlignment="0" applyProtection="0"/>
    <xf numFmtId="0" fontId="116" fillId="0" borderId="0">
      <alignment horizontal="center" wrapText="1"/>
      <protection locked="0"/>
    </xf>
    <xf numFmtId="0" fontId="115" fillId="0" borderId="0" applyFont="0" applyFill="0" applyBorder="0" applyAlignment="0" applyProtection="0"/>
    <xf numFmtId="0" fontId="115" fillId="0" borderId="0" applyFont="0" applyFill="0" applyBorder="0" applyAlignment="0" applyProtection="0"/>
    <xf numFmtId="1" fontId="8" fillId="0" borderId="0"/>
    <xf numFmtId="0" fontId="117" fillId="0" borderId="0"/>
    <xf numFmtId="0" fontId="118" fillId="0" borderId="0"/>
    <xf numFmtId="0" fontId="119" fillId="0" borderId="0"/>
    <xf numFmtId="5" fontId="120" fillId="0" borderId="34" applyAlignment="0" applyProtection="0"/>
    <xf numFmtId="0" fontId="115" fillId="0" borderId="0"/>
    <xf numFmtId="0" fontId="115" fillId="0" borderId="0"/>
    <xf numFmtId="200" fontId="121" fillId="0" borderId="0" applyFill="0" applyBorder="0" applyAlignment="0"/>
    <xf numFmtId="205" fontId="111" fillId="0" borderId="0" applyFill="0" applyBorder="0" applyAlignment="0"/>
    <xf numFmtId="193" fontId="8" fillId="0" borderId="0" applyFill="0" applyBorder="0" applyAlignment="0"/>
    <xf numFmtId="194" fontId="8" fillId="0" borderId="0" applyFill="0" applyBorder="0" applyAlignment="0"/>
    <xf numFmtId="210" fontId="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0" fontId="122" fillId="0" borderId="0"/>
    <xf numFmtId="188" fontId="8" fillId="0" borderId="0"/>
    <xf numFmtId="188" fontId="8" fillId="0" borderId="0"/>
    <xf numFmtId="188" fontId="8" fillId="0" borderId="0"/>
    <xf numFmtId="188" fontId="8" fillId="0" borderId="0"/>
    <xf numFmtId="188" fontId="8" fillId="0" borderId="0"/>
    <xf numFmtId="188" fontId="8" fillId="0" borderId="0" applyNumberFormat="0"/>
    <xf numFmtId="188" fontId="8" fillId="0" borderId="0"/>
    <xf numFmtId="188" fontId="8" fillId="0" borderId="0"/>
    <xf numFmtId="41" fontId="8" fillId="0" borderId="0" applyFont="0" applyFill="0" applyBorder="0" applyAlignment="0" applyProtection="0"/>
    <xf numFmtId="44" fontId="111" fillId="0" borderId="0" applyFont="0" applyFill="0" applyBorder="0" applyAlignment="0" applyProtection="0"/>
    <xf numFmtId="199" fontId="123" fillId="0" borderId="0"/>
    <xf numFmtId="43" fontId="8" fillId="0" borderId="0" applyFont="0" applyFill="0" applyBorder="0" applyAlignment="0" applyProtection="0"/>
    <xf numFmtId="3" fontId="8" fillId="0" borderId="0" applyFont="0" applyFill="0" applyBorder="0" applyAlignment="0" applyProtection="0"/>
    <xf numFmtId="0" fontId="124" fillId="0" borderId="0"/>
    <xf numFmtId="0" fontId="111" fillId="0" borderId="0"/>
    <xf numFmtId="0" fontId="125" fillId="0" borderId="0" applyNumberFormat="0" applyFill="0" applyBorder="0" applyAlignment="0" applyProtection="0"/>
    <xf numFmtId="0" fontId="124" fillId="0" borderId="0"/>
    <xf numFmtId="0" fontId="111" fillId="0" borderId="0"/>
    <xf numFmtId="0" fontId="126" fillId="0" borderId="0" applyNumberFormat="0" applyAlignment="0">
      <alignment horizontal="left"/>
    </xf>
    <xf numFmtId="0" fontId="127" fillId="0" borderId="0" applyNumberFormat="0" applyAlignment="0"/>
    <xf numFmtId="42" fontId="8" fillId="0" borderId="0" applyFont="0" applyFill="0" applyBorder="0" applyAlignment="0" applyProtection="0"/>
    <xf numFmtId="205" fontId="111" fillId="0" borderId="0" applyFont="0" applyFill="0" applyBorder="0" applyAlignment="0" applyProtection="0"/>
    <xf numFmtId="44" fontId="8" fillId="0" borderId="0" applyFont="0" applyFill="0" applyBorder="0" applyAlignment="0" applyProtection="0"/>
    <xf numFmtId="190" fontId="8" fillId="0" borderId="0" applyFont="0" applyFill="0" applyBorder="0" applyAlignment="0" applyProtection="0"/>
    <xf numFmtId="196" fontId="123" fillId="0" borderId="0"/>
    <xf numFmtId="213" fontId="8" fillId="66" borderId="0" applyFont="0" applyBorder="0"/>
    <xf numFmtId="3" fontId="128" fillId="0" borderId="0"/>
    <xf numFmtId="0" fontId="8" fillId="0" borderId="0" applyFont="0" applyFill="0" applyBorder="0" applyAlignment="0" applyProtection="0"/>
    <xf numFmtId="15" fontId="32" fillId="0" borderId="0"/>
    <xf numFmtId="0" fontId="32" fillId="0" borderId="0"/>
    <xf numFmtId="0" fontId="129" fillId="0" borderId="0">
      <protection locked="0"/>
    </xf>
    <xf numFmtId="197" fontId="123" fillId="0" borderId="0"/>
    <xf numFmtId="0" fontId="130" fillId="0" borderId="0">
      <protection locked="0"/>
    </xf>
    <xf numFmtId="0" fontId="130" fillId="0" borderId="0">
      <protection locked="0"/>
    </xf>
    <xf numFmtId="44" fontId="111" fillId="0" borderId="0" applyFill="0" applyBorder="0" applyAlignment="0"/>
    <xf numFmtId="205" fontId="1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0" fontId="131" fillId="0" borderId="0" applyNumberFormat="0" applyAlignment="0">
      <alignment horizontal="left"/>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0" fontId="129" fillId="0" borderId="0">
      <protection locked="0"/>
    </xf>
    <xf numFmtId="2" fontId="8" fillId="0" borderId="0" applyFont="0" applyFill="0" applyBorder="0" applyAlignment="0" applyProtection="0"/>
    <xf numFmtId="9" fontId="132" fillId="0" borderId="0" applyFont="0" applyFill="0" applyBorder="0" applyAlignment="0" applyProtection="0"/>
    <xf numFmtId="38" fontId="133" fillId="66" borderId="0" applyNumberFormat="0" applyBorder="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26" fillId="0" borderId="0" applyNumberFormat="0" applyFill="0" applyBorder="0" applyAlignment="0" applyProtection="0"/>
    <xf numFmtId="198" fontId="114" fillId="0" borderId="0">
      <protection locked="0"/>
    </xf>
    <xf numFmtId="198" fontId="114" fillId="0" borderId="0">
      <protection locked="0"/>
    </xf>
    <xf numFmtId="0" fontId="136" fillId="0" borderId="35">
      <alignment horizontal="center"/>
    </xf>
    <xf numFmtId="0" fontId="136" fillId="0" borderId="0">
      <alignment horizontal="center"/>
    </xf>
    <xf numFmtId="0" fontId="137" fillId="0" borderId="36" applyNumberFormat="0" applyFill="0" applyAlignment="0" applyProtection="0"/>
    <xf numFmtId="0" fontId="138" fillId="0" borderId="0" applyNumberFormat="0" applyFill="0" applyBorder="0" applyAlignment="0" applyProtection="0">
      <alignment vertical="top"/>
      <protection locked="0"/>
    </xf>
    <xf numFmtId="10" fontId="133" fillId="67" borderId="1" applyNumberFormat="0" applyBorder="0" applyAlignment="0" applyProtection="0"/>
    <xf numFmtId="205" fontId="139" fillId="68" borderId="0"/>
    <xf numFmtId="0" fontId="26" fillId="0" borderId="37" applyBorder="0">
      <alignment horizontal="left" vertical="center"/>
    </xf>
    <xf numFmtId="49" fontId="140" fillId="0" borderId="37" applyBorder="0">
      <alignment horizontal="left" vertical="center" wrapText="1" indent="2"/>
    </xf>
    <xf numFmtId="44" fontId="111" fillId="0" borderId="0" applyFill="0" applyBorder="0" applyAlignment="0"/>
    <xf numFmtId="205" fontId="1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205" fontId="141" fillId="69" borderId="0"/>
    <xf numFmtId="188" fontId="8" fillId="0" borderId="0" applyFont="0" applyFill="0" applyBorder="0" applyAlignment="0" applyProtection="0"/>
    <xf numFmtId="189" fontId="8" fillId="0" borderId="0" applyFont="0" applyFill="0" applyBorder="0" applyAlignment="0" applyProtection="0"/>
    <xf numFmtId="184" fontId="8" fillId="0" borderId="0" applyFont="0" applyFill="0" applyBorder="0" applyAlignment="0" applyProtection="0"/>
    <xf numFmtId="204" fontId="8" fillId="0" borderId="0" applyFont="0" applyFill="0" applyBorder="0" applyAlignment="0" applyProtection="0"/>
    <xf numFmtId="208" fontId="27" fillId="0" borderId="0" applyFont="0" applyFill="0" applyBorder="0" applyAlignment="0" applyProtection="0"/>
    <xf numFmtId="202" fontId="27" fillId="0" borderId="0" applyFont="0" applyFill="0" applyBorder="0" applyAlignment="0" applyProtection="0"/>
    <xf numFmtId="203" fontId="8" fillId="0" borderId="0" applyFont="0" applyFill="0" applyBorder="0" applyAlignment="0" applyProtection="0"/>
    <xf numFmtId="192" fontId="8" fillId="0" borderId="0" applyFont="0" applyFill="0" applyBorder="0" applyAlignment="0" applyProtection="0"/>
    <xf numFmtId="44" fontId="142" fillId="70" borderId="0">
      <alignment vertical="top"/>
    </xf>
    <xf numFmtId="0" fontId="123" fillId="0" borderId="0"/>
    <xf numFmtId="37" fontId="143" fillId="0" borderId="0"/>
    <xf numFmtId="0" fontId="12" fillId="0" borderId="0"/>
    <xf numFmtId="187" fontId="144" fillId="0" borderId="0"/>
    <xf numFmtId="0" fontId="123" fillId="0" borderId="0"/>
    <xf numFmtId="38" fontId="145" fillId="0" borderId="38" applyFont="0" applyFill="0" applyBorder="0" applyAlignment="0">
      <alignment horizontal="center"/>
    </xf>
    <xf numFmtId="0" fontId="8" fillId="0" borderId="0" applyFont="0" applyFill="0" applyBorder="0" applyAlignment="0" applyProtection="0"/>
    <xf numFmtId="0" fontId="8" fillId="0" borderId="0" applyFont="0" applyFill="0" applyBorder="0" applyAlignment="0" applyProtection="0"/>
    <xf numFmtId="14" fontId="116" fillId="0" borderId="0">
      <alignment horizontal="center" wrapText="1"/>
      <protection locked="0"/>
    </xf>
    <xf numFmtId="210" fontId="11" fillId="0" borderId="0" applyFont="0" applyFill="0" applyBorder="0" applyAlignment="0" applyProtection="0"/>
    <xf numFmtId="212" fontId="11" fillId="0" borderId="0" applyFont="0" applyFill="0" applyBorder="0" applyAlignment="0" applyProtection="0"/>
    <xf numFmtId="10" fontId="8" fillId="0" borderId="0" applyFont="0" applyFill="0" applyBorder="0" applyAlignment="0" applyProtection="0"/>
    <xf numFmtId="44" fontId="111" fillId="0" borderId="0" applyFill="0" applyBorder="0" applyAlignment="0"/>
    <xf numFmtId="205" fontId="111" fillId="0" borderId="0" applyFill="0" applyBorder="0" applyAlignment="0"/>
    <xf numFmtId="44" fontId="111" fillId="0" borderId="0" applyFill="0" applyBorder="0" applyAlignment="0"/>
    <xf numFmtId="211" fontId="11" fillId="0" borderId="0" applyFill="0" applyBorder="0" applyAlignment="0"/>
    <xf numFmtId="205" fontId="111" fillId="0" borderId="0" applyFill="0" applyBorder="0" applyAlignment="0"/>
    <xf numFmtId="5" fontId="146" fillId="0" borderId="0"/>
    <xf numFmtId="0" fontId="32" fillId="0" borderId="0" applyNumberFormat="0" applyFont="0" applyFill="0" applyBorder="0" applyAlignment="0" applyProtection="0">
      <alignment horizontal="left"/>
    </xf>
    <xf numFmtId="15" fontId="32" fillId="0" borderId="0" applyFont="0" applyFill="0" applyBorder="0" applyAlignment="0" applyProtection="0"/>
    <xf numFmtId="4" fontId="32" fillId="0" borderId="0" applyFont="0" applyFill="0" applyBorder="0" applyAlignment="0" applyProtection="0"/>
    <xf numFmtId="0" fontId="120" fillId="0" borderId="35">
      <alignment horizontal="center"/>
    </xf>
    <xf numFmtId="3" fontId="32" fillId="0" borderId="0" applyFont="0" applyFill="0" applyBorder="0" applyAlignment="0" applyProtection="0"/>
    <xf numFmtId="0" fontId="32" fillId="71" borderId="0" applyNumberFormat="0" applyFont="0" applyBorder="0" applyAlignment="0" applyProtection="0"/>
    <xf numFmtId="0" fontId="121" fillId="0" borderId="0" applyNumberFormat="0" applyFont="0" applyFill="0" applyBorder="0" applyAlignment="0"/>
    <xf numFmtId="0" fontId="147" fillId="0" borderId="0"/>
    <xf numFmtId="0" fontId="148" fillId="72" borderId="0" applyNumberFormat="0" applyFont="0" applyBorder="0" applyAlignment="0">
      <alignment horizontal="center"/>
    </xf>
    <xf numFmtId="191" fontId="149" fillId="0" borderId="0" applyNumberFormat="0" applyFill="0" applyBorder="0" applyAlignment="0" applyProtection="0">
      <alignment horizontal="left"/>
    </xf>
    <xf numFmtId="0" fontId="150" fillId="73" borderId="39"/>
    <xf numFmtId="0" fontId="148" fillId="1" borderId="4" applyNumberFormat="0" applyFont="0" applyAlignment="0">
      <alignment horizontal="center"/>
    </xf>
    <xf numFmtId="0" fontId="128" fillId="0" borderId="0" applyNumberFormat="0" applyFill="0" applyBorder="0" applyAlignment="0">
      <alignment horizontal="center"/>
    </xf>
    <xf numFmtId="193" fontId="8" fillId="0" borderId="0">
      <alignment horizontal="center"/>
    </xf>
    <xf numFmtId="40" fontId="151" fillId="0" borderId="0" applyBorder="0">
      <alignment horizontal="right"/>
    </xf>
    <xf numFmtId="0" fontId="152" fillId="0" borderId="0"/>
    <xf numFmtId="214" fontId="11" fillId="0" borderId="0" applyFill="0" applyBorder="0" applyAlignment="0"/>
    <xf numFmtId="215" fontId="11" fillId="0" borderId="0" applyFill="0" applyBorder="0" applyAlignment="0"/>
    <xf numFmtId="0" fontId="8" fillId="0" borderId="40" applyNumberFormat="0" applyFont="0" applyFill="0" applyAlignment="0" applyProtection="0"/>
    <xf numFmtId="201" fontId="123" fillId="0" borderId="0" applyNumberFormat="0">
      <alignment horizontal="center"/>
    </xf>
    <xf numFmtId="0" fontId="153" fillId="0" borderId="0"/>
    <xf numFmtId="0" fontId="157" fillId="0" borderId="0"/>
    <xf numFmtId="40" fontId="154" fillId="0" borderId="0" applyFont="0" applyFill="0" applyBorder="0" applyAlignment="0" applyProtection="0"/>
    <xf numFmtId="38" fontId="154" fillId="0" borderId="0" applyFont="0" applyFill="0" applyBorder="0" applyAlignment="0" applyProtection="0"/>
    <xf numFmtId="0" fontId="156" fillId="0" borderId="0"/>
    <xf numFmtId="0" fontId="108" fillId="0" borderId="0"/>
    <xf numFmtId="0" fontId="154" fillId="0" borderId="0" applyFont="0" applyFill="0" applyBorder="0" applyAlignment="0" applyProtection="0"/>
    <xf numFmtId="0" fontId="154" fillId="0" borderId="0" applyFont="0" applyFill="0" applyBorder="0" applyAlignment="0" applyProtection="0"/>
    <xf numFmtId="10" fontId="8" fillId="0" borderId="0" applyFont="0" applyFill="0" applyBorder="0" applyAlignment="0" applyProtection="0"/>
    <xf numFmtId="0" fontId="155" fillId="0" borderId="0"/>
    <xf numFmtId="0" fontId="109"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09" fillId="0" borderId="0" applyFont="0" applyFill="0" applyBorder="0" applyAlignment="0" applyProtection="0"/>
    <xf numFmtId="0" fontId="109" fillId="0" borderId="0"/>
    <xf numFmtId="7" fontId="113" fillId="0" borderId="12"/>
    <xf numFmtId="7" fontId="8" fillId="0" borderId="32"/>
    <xf numFmtId="7" fontId="8" fillId="0" borderId="31"/>
    <xf numFmtId="7" fontId="113" fillId="0" borderId="0" applyBorder="0"/>
    <xf numFmtId="5" fontId="120" fillId="0" borderId="34" applyAlignment="0" applyProtection="0"/>
    <xf numFmtId="44" fontId="111" fillId="0" borderId="0" applyFill="0" applyBorder="0" applyAlignment="0"/>
    <xf numFmtId="44" fontId="111" fillId="0" borderId="0" applyFont="0" applyFill="0" applyBorder="0" applyAlignment="0" applyProtection="0"/>
    <xf numFmtId="44" fontId="111" fillId="0" borderId="0" applyFill="0" applyBorder="0" applyAlignment="0"/>
    <xf numFmtId="44" fontId="111" fillId="0" borderId="0" applyFill="0" applyBorder="0" applyAlignment="0"/>
    <xf numFmtId="44" fontId="111" fillId="0" borderId="0" applyFill="0" applyBorder="0" applyAlignment="0"/>
    <xf numFmtId="44" fontId="111" fillId="0" borderId="0" applyFill="0" applyBorder="0" applyAlignment="0"/>
    <xf numFmtId="44" fontId="142" fillId="70" borderId="0">
      <alignment vertical="top"/>
    </xf>
    <xf numFmtId="44" fontId="111" fillId="0" borderId="0" applyFill="0" applyBorder="0" applyAlignment="0"/>
    <xf numFmtId="44" fontId="111" fillId="0" borderId="0" applyFill="0" applyBorder="0" applyAlignment="0"/>
    <xf numFmtId="5" fontId="146" fillId="0" borderId="0"/>
    <xf numFmtId="43" fontId="19" fillId="0" borderId="0" applyFont="0" applyFill="0" applyBorder="0" applyAlignment="0" applyProtection="0">
      <alignment vertical="center"/>
    </xf>
    <xf numFmtId="43" fontId="19"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7" fontId="113" fillId="0" borderId="12"/>
    <xf numFmtId="7" fontId="8" fillId="0" borderId="32"/>
    <xf numFmtId="7" fontId="8" fillId="0" borderId="31"/>
    <xf numFmtId="7" fontId="113" fillId="0" borderId="0" applyBorder="0"/>
    <xf numFmtId="5" fontId="120" fillId="0" borderId="34" applyAlignment="0" applyProtection="0"/>
    <xf numFmtId="44" fontId="111" fillId="0" borderId="0" applyFill="0" applyBorder="0" applyAlignment="0"/>
    <xf numFmtId="44" fontId="111" fillId="0" borderId="0" applyFont="0" applyFill="0" applyBorder="0" applyAlignment="0" applyProtection="0"/>
    <xf numFmtId="44" fontId="111" fillId="0" borderId="0" applyFill="0" applyBorder="0" applyAlignment="0"/>
    <xf numFmtId="44" fontId="111" fillId="0" borderId="0" applyFill="0" applyBorder="0" applyAlignment="0"/>
    <xf numFmtId="44" fontId="111" fillId="0" borderId="0" applyFill="0" applyBorder="0" applyAlignment="0"/>
    <xf numFmtId="44" fontId="111" fillId="0" borderId="0" applyFill="0" applyBorder="0" applyAlignment="0"/>
    <xf numFmtId="44" fontId="142" fillId="70" borderId="0">
      <alignment vertical="top"/>
    </xf>
    <xf numFmtId="44" fontId="111" fillId="0" borderId="0" applyFill="0" applyBorder="0" applyAlignment="0"/>
    <xf numFmtId="44" fontId="111" fillId="0" borderId="0" applyFill="0" applyBorder="0" applyAlignment="0"/>
    <xf numFmtId="5" fontId="146" fillId="0" borderId="0"/>
    <xf numFmtId="7" fontId="113" fillId="0" borderId="12"/>
    <xf numFmtId="7" fontId="8" fillId="0" borderId="32"/>
    <xf numFmtId="7" fontId="8" fillId="0" borderId="31"/>
    <xf numFmtId="7" fontId="113" fillId="0" borderId="0" applyBorder="0"/>
    <xf numFmtId="5" fontId="120" fillId="0" borderId="34" applyAlignment="0" applyProtection="0"/>
    <xf numFmtId="44" fontId="111" fillId="0" borderId="0" applyFill="0" applyBorder="0" applyAlignment="0"/>
    <xf numFmtId="44" fontId="111" fillId="0" borderId="0" applyFont="0" applyFill="0" applyBorder="0" applyAlignment="0" applyProtection="0"/>
    <xf numFmtId="44" fontId="111" fillId="0" borderId="0" applyFill="0" applyBorder="0" applyAlignment="0"/>
    <xf numFmtId="44" fontId="111" fillId="0" borderId="0" applyFill="0" applyBorder="0" applyAlignment="0"/>
    <xf numFmtId="44" fontId="111" fillId="0" borderId="0" applyFill="0" applyBorder="0" applyAlignment="0"/>
    <xf numFmtId="44" fontId="111" fillId="0" borderId="0" applyFill="0" applyBorder="0" applyAlignment="0"/>
    <xf numFmtId="44" fontId="142" fillId="70" borderId="0">
      <alignment vertical="top"/>
    </xf>
    <xf numFmtId="44" fontId="111" fillId="0" borderId="0" applyFill="0" applyBorder="0" applyAlignment="0"/>
    <xf numFmtId="44" fontId="111" fillId="0" borderId="0" applyFill="0" applyBorder="0" applyAlignment="0"/>
    <xf numFmtId="5" fontId="146" fillId="0" borderId="0"/>
  </cellStyleXfs>
  <cellXfs count="214">
    <xf numFmtId="0" fontId="0" fillId="0" borderId="0" xfId="0"/>
    <xf numFmtId="0" fontId="14" fillId="0" borderId="0" xfId="1" applyFont="1" applyAlignment="1">
      <alignment horizontal="center" vertical="center"/>
    </xf>
    <xf numFmtId="0" fontId="14" fillId="0" borderId="0" xfId="0" applyFont="1" applyAlignment="1">
      <alignment horizontal="center" vertical="center" wrapText="1"/>
    </xf>
    <xf numFmtId="49" fontId="14" fillId="0" borderId="0" xfId="5" applyNumberFormat="1" applyFont="1" applyAlignment="1">
      <alignment horizontal="center" vertical="center" shrinkToFit="1"/>
    </xf>
    <xf numFmtId="49" fontId="14" fillId="0" borderId="0" xfId="0" applyNumberFormat="1" applyFont="1" applyAlignment="1">
      <alignment horizontal="left" vertical="center"/>
    </xf>
    <xf numFmtId="0" fontId="14" fillId="0" borderId="0" xfId="2" applyFont="1" applyAlignment="1">
      <alignment horizontal="center" vertical="center"/>
    </xf>
    <xf numFmtId="0" fontId="14" fillId="0" borderId="0" xfId="0" applyFont="1" applyAlignment="1">
      <alignment horizontal="center" vertical="center"/>
    </xf>
    <xf numFmtId="0" fontId="14" fillId="0" borderId="0" xfId="0" applyFont="1" applyAlignment="1">
      <alignment vertical="center"/>
    </xf>
    <xf numFmtId="0" fontId="17" fillId="0" borderId="0" xfId="0" applyFont="1" applyAlignment="1">
      <alignment horizontal="center" vertical="center"/>
    </xf>
    <xf numFmtId="0" fontId="17" fillId="0" borderId="0" xfId="0" applyFont="1"/>
    <xf numFmtId="0" fontId="14" fillId="2" borderId="1" xfId="2" applyFont="1" applyFill="1" applyBorder="1" applyAlignment="1">
      <alignment horizontal="center" vertical="center" wrapText="1"/>
    </xf>
    <xf numFmtId="0" fontId="21" fillId="0" borderId="1" xfId="0" applyFont="1" applyBorder="1" applyAlignment="1">
      <alignment horizontal="center" vertical="center"/>
    </xf>
    <xf numFmtId="14" fontId="21" fillId="0" borderId="1" xfId="0" applyNumberFormat="1" applyFont="1" applyBorder="1" applyAlignment="1">
      <alignment horizontal="center" vertical="center"/>
    </xf>
    <xf numFmtId="0" fontId="21" fillId="0" borderId="1" xfId="0" applyFont="1" applyBorder="1" applyAlignment="1">
      <alignment vertical="center" wrapText="1"/>
    </xf>
    <xf numFmtId="0" fontId="22" fillId="0" borderId="1" xfId="0" applyFont="1" applyBorder="1" applyAlignment="1">
      <alignment horizontal="left" vertical="center"/>
    </xf>
    <xf numFmtId="0" fontId="14" fillId="3" borderId="1" xfId="1" applyFont="1" applyFill="1" applyBorder="1" applyAlignment="1">
      <alignment horizontal="center" vertical="center"/>
    </xf>
    <xf numFmtId="0" fontId="14" fillId="0" borderId="0" xfId="7" applyFont="1" applyAlignment="1">
      <alignment horizontal="left" vertical="center"/>
    </xf>
    <xf numFmtId="0" fontId="14" fillId="0" borderId="0" xfId="7" applyFont="1" applyAlignment="1">
      <alignment horizontal="center" vertical="center"/>
    </xf>
    <xf numFmtId="0" fontId="14" fillId="0" borderId="0" xfId="0" applyFont="1" applyAlignment="1">
      <alignment horizontal="left" vertical="center"/>
    </xf>
    <xf numFmtId="0" fontId="16" fillId="4" borderId="1" xfId="7" applyFont="1" applyFill="1" applyBorder="1" applyAlignment="1">
      <alignment horizontal="center" vertical="center"/>
    </xf>
    <xf numFmtId="0" fontId="16" fillId="5" borderId="1" xfId="7" applyFont="1" applyFill="1" applyBorder="1" applyAlignment="1">
      <alignment horizontal="center" vertical="center"/>
    </xf>
    <xf numFmtId="0" fontId="17" fillId="0" borderId="0" xfId="0" applyFont="1" applyAlignment="1">
      <alignment horizontal="center" vertical="center" wrapText="1"/>
    </xf>
    <xf numFmtId="176" fontId="14" fillId="0" borderId="0" xfId="11" applyNumberFormat="1" applyFont="1" applyFill="1" applyBorder="1" applyAlignment="1">
      <alignment horizontal="left" vertical="center"/>
    </xf>
    <xf numFmtId="0" fontId="22" fillId="0" borderId="0" xfId="0" applyFont="1"/>
    <xf numFmtId="0" fontId="22" fillId="0" borderId="1" xfId="0" applyFont="1" applyBorder="1" applyAlignment="1">
      <alignment horizontal="center" vertical="center"/>
    </xf>
    <xf numFmtId="0" fontId="21" fillId="0" borderId="0" xfId="0" applyFont="1" applyAlignment="1">
      <alignment horizontal="center" vertical="center"/>
    </xf>
    <xf numFmtId="0" fontId="43" fillId="0" borderId="1" xfId="0" applyFont="1" applyBorder="1" applyAlignment="1">
      <alignment horizontal="center" vertical="center"/>
    </xf>
    <xf numFmtId="0" fontId="43" fillId="0" borderId="1" xfId="0" applyFont="1" applyBorder="1" applyAlignment="1">
      <alignment vertical="center"/>
    </xf>
    <xf numFmtId="0" fontId="43" fillId="0" borderId="1" xfId="0" applyFont="1" applyBorder="1" applyAlignment="1">
      <alignment horizontal="center" vertical="center" wrapText="1"/>
    </xf>
    <xf numFmtId="0" fontId="46" fillId="26" borderId="1" xfId="0" applyFont="1" applyFill="1" applyBorder="1" applyAlignment="1">
      <alignment horizontal="center" vertical="center" wrapText="1"/>
    </xf>
    <xf numFmtId="0" fontId="42" fillId="0" borderId="1" xfId="0" applyFont="1" applyBorder="1" applyAlignment="1">
      <alignment horizontal="center" vertical="center" wrapText="1"/>
    </xf>
    <xf numFmtId="0" fontId="48" fillId="0" borderId="0" xfId="137">
      <alignment vertical="center"/>
    </xf>
    <xf numFmtId="0" fontId="48" fillId="27" borderId="0" xfId="137" applyFill="1">
      <alignment vertical="center"/>
    </xf>
    <xf numFmtId="0" fontId="48" fillId="0" borderId="1" xfId="137" applyBorder="1">
      <alignment vertical="center"/>
    </xf>
    <xf numFmtId="0" fontId="22" fillId="0" borderId="1" xfId="137" applyFont="1" applyBorder="1">
      <alignment vertical="center"/>
    </xf>
    <xf numFmtId="0" fontId="48" fillId="27" borderId="1" xfId="137" applyFill="1" applyBorder="1">
      <alignment vertical="center"/>
    </xf>
    <xf numFmtId="0" fontId="48" fillId="2" borderId="1" xfId="137" applyFill="1" applyBorder="1">
      <alignment vertical="center"/>
    </xf>
    <xf numFmtId="0" fontId="48" fillId="28" borderId="1" xfId="137" applyFill="1" applyBorder="1">
      <alignment vertical="center"/>
    </xf>
    <xf numFmtId="0" fontId="48" fillId="28" borderId="0" xfId="137" applyFill="1">
      <alignment vertical="center"/>
    </xf>
    <xf numFmtId="0" fontId="22" fillId="0" borderId="0" xfId="7" applyFont="1" applyAlignment="1">
      <alignment horizontal="center" vertical="center"/>
    </xf>
    <xf numFmtId="0" fontId="43" fillId="0" borderId="8" xfId="2" applyFont="1" applyBorder="1" applyAlignment="1">
      <alignment horizontal="left" vertical="center" wrapText="1"/>
    </xf>
    <xf numFmtId="0" fontId="43" fillId="0" borderId="8" xfId="0" applyFont="1" applyBorder="1" applyAlignment="1">
      <alignment horizontal="center" vertical="center"/>
    </xf>
    <xf numFmtId="0" fontId="43" fillId="0" borderId="8" xfId="0" applyFont="1" applyBorder="1" applyAlignment="1">
      <alignment vertical="center"/>
    </xf>
    <xf numFmtId="0" fontId="21" fillId="0" borderId="1" xfId="0" applyFont="1" applyBorder="1" applyAlignment="1">
      <alignment vertical="center"/>
    </xf>
    <xf numFmtId="0" fontId="17" fillId="0" borderId="1" xfId="0" applyFont="1" applyBorder="1" applyAlignment="1">
      <alignment horizontal="center" vertical="center"/>
    </xf>
    <xf numFmtId="0" fontId="14" fillId="0" borderId="1" xfId="0" applyFont="1" applyBorder="1" applyAlignment="1">
      <alignment horizontal="center" vertical="center"/>
    </xf>
    <xf numFmtId="0" fontId="42" fillId="6" borderId="13" xfId="0" applyFont="1" applyFill="1" applyBorder="1" applyAlignment="1">
      <alignment horizontal="center" vertical="center"/>
    </xf>
    <xf numFmtId="49" fontId="21" fillId="0" borderId="1" xfId="5" applyNumberFormat="1" applyFont="1" applyBorder="1" applyAlignment="1">
      <alignment horizontal="left" vertical="center" shrinkToFit="1"/>
    </xf>
    <xf numFmtId="0" fontId="14" fillId="0" borderId="1" xfId="7" applyFont="1" applyBorder="1" applyAlignment="1">
      <alignment horizontal="center" vertical="center"/>
    </xf>
    <xf numFmtId="49" fontId="21" fillId="0" borderId="1" xfId="0" applyNumberFormat="1" applyFont="1" applyBorder="1" applyAlignment="1">
      <alignment horizontal="left" vertical="center"/>
    </xf>
    <xf numFmtId="0" fontId="21" fillId="0" borderId="1" xfId="0" applyFont="1" applyBorder="1" applyAlignment="1">
      <alignment horizontal="center"/>
    </xf>
    <xf numFmtId="0" fontId="22" fillId="4" borderId="13" xfId="0" applyFont="1" applyFill="1" applyBorder="1" applyAlignment="1">
      <alignment horizontal="center"/>
    </xf>
    <xf numFmtId="0" fontId="21" fillId="0" borderId="1" xfId="0" applyFont="1" applyBorder="1" applyAlignment="1">
      <alignment horizontal="center" vertical="center" wrapText="1"/>
    </xf>
    <xf numFmtId="0" fontId="21" fillId="0" borderId="1" xfId="0" applyFont="1" applyBorder="1" applyAlignment="1">
      <alignment wrapText="1"/>
    </xf>
    <xf numFmtId="0" fontId="21" fillId="0" borderId="1" xfId="7" applyFont="1" applyBorder="1" applyAlignment="1">
      <alignment horizontal="center" vertical="center"/>
    </xf>
    <xf numFmtId="0" fontId="22" fillId="0" borderId="1" xfId="0" applyFont="1" applyBorder="1" applyAlignment="1">
      <alignment horizontal="center" vertical="center" wrapText="1"/>
    </xf>
    <xf numFmtId="0" fontId="21" fillId="0" borderId="1" xfId="1" applyFont="1" applyBorder="1" applyAlignment="1">
      <alignment horizontal="center" vertical="center"/>
    </xf>
    <xf numFmtId="0" fontId="51" fillId="0" borderId="1" xfId="0" applyFont="1" applyBorder="1" applyAlignment="1">
      <alignment horizontal="center" vertical="center"/>
    </xf>
    <xf numFmtId="49" fontId="21" fillId="0" borderId="1" xfId="2" applyNumberFormat="1" applyFont="1" applyBorder="1" applyAlignment="1">
      <alignment horizontal="left" vertical="center"/>
    </xf>
    <xf numFmtId="0" fontId="21" fillId="0" borderId="1" xfId="3" applyFont="1" applyBorder="1" applyAlignment="1">
      <alignment horizontal="center" vertical="center"/>
    </xf>
    <xf numFmtId="0" fontId="50" fillId="0" borderId="9" xfId="0" applyFont="1" applyBorder="1" applyAlignment="1">
      <alignment horizontal="center" vertical="center"/>
    </xf>
    <xf numFmtId="0" fontId="21" fillId="0" borderId="1" xfId="10" applyFont="1" applyBorder="1" applyAlignment="1">
      <alignment horizontal="center" vertical="center"/>
    </xf>
    <xf numFmtId="0" fontId="21" fillId="0" borderId="10" xfId="0" applyFont="1" applyBorder="1" applyAlignment="1">
      <alignment horizontal="center" vertical="center"/>
    </xf>
    <xf numFmtId="0" fontId="21" fillId="0" borderId="9" xfId="0" applyFont="1" applyBorder="1" applyAlignment="1">
      <alignment horizontal="center" vertical="center"/>
    </xf>
    <xf numFmtId="0" fontId="42" fillId="0" borderId="1" xfId="0" applyFont="1" applyBorder="1" applyAlignment="1">
      <alignment horizontal="center" vertical="center"/>
    </xf>
    <xf numFmtId="0" fontId="99" fillId="0" borderId="1" xfId="0" applyFont="1" applyBorder="1" applyAlignment="1">
      <alignment horizontal="center" vertical="center" wrapText="1"/>
    </xf>
    <xf numFmtId="0" fontId="22" fillId="0" borderId="1" xfId="0" applyFont="1" applyBorder="1" applyAlignment="1">
      <alignment vertical="center"/>
    </xf>
    <xf numFmtId="0" fontId="99" fillId="0" borderId="1" xfId="0" applyFont="1" applyBorder="1" applyAlignment="1">
      <alignment horizontal="center" vertical="center"/>
    </xf>
    <xf numFmtId="0" fontId="50" fillId="0" borderId="1" xfId="0" applyFont="1" applyBorder="1" applyAlignment="1">
      <alignment horizontal="center" vertical="center"/>
    </xf>
    <xf numFmtId="0" fontId="21" fillId="0" borderId="13" xfId="0" applyFont="1" applyBorder="1" applyAlignment="1">
      <alignment horizontal="center" vertical="center"/>
    </xf>
    <xf numFmtId="0" fontId="14" fillId="0" borderId="1" xfId="7" applyFont="1" applyBorder="1" applyAlignment="1">
      <alignment horizontal="center" vertical="center" wrapText="1"/>
    </xf>
    <xf numFmtId="0" fontId="14" fillId="0" borderId="13" xfId="7" applyFont="1" applyBorder="1" applyAlignment="1">
      <alignment horizontal="center" vertical="center"/>
    </xf>
    <xf numFmtId="0" fontId="50" fillId="0" borderId="1" xfId="0" applyFont="1" applyBorder="1" applyAlignment="1">
      <alignment vertical="center" wrapText="1"/>
    </xf>
    <xf numFmtId="0" fontId="22" fillId="63" borderId="13" xfId="0" applyFont="1" applyFill="1" applyBorder="1" applyAlignment="1">
      <alignment horizontal="center"/>
    </xf>
    <xf numFmtId="0" fontId="100" fillId="0" borderId="0" xfId="0" applyFont="1"/>
    <xf numFmtId="0" fontId="22" fillId="64" borderId="13" xfId="0" applyFont="1" applyFill="1" applyBorder="1" applyAlignment="1">
      <alignment horizontal="center"/>
    </xf>
    <xf numFmtId="0" fontId="101" fillId="0" borderId="1" xfId="0" applyFont="1" applyBorder="1" applyAlignment="1">
      <alignment horizontal="center" vertical="center" wrapText="1"/>
    </xf>
    <xf numFmtId="0" fontId="102" fillId="0" borderId="1" xfId="0" applyFont="1" applyBorder="1" applyAlignment="1">
      <alignment horizontal="center" vertical="center"/>
    </xf>
    <xf numFmtId="0" fontId="102" fillId="0" borderId="1" xfId="0" applyFont="1" applyBorder="1" applyAlignment="1">
      <alignment vertical="center"/>
    </xf>
    <xf numFmtId="0" fontId="102" fillId="0" borderId="1" xfId="2" applyFont="1" applyBorder="1" applyAlignment="1">
      <alignment horizontal="left" vertical="center" wrapText="1"/>
    </xf>
    <xf numFmtId="0" fontId="102" fillId="0" borderId="1" xfId="0" applyFont="1" applyBorder="1" applyAlignment="1">
      <alignment horizontal="left" vertical="center" wrapText="1"/>
    </xf>
    <xf numFmtId="0" fontId="102" fillId="0" borderId="8" xfId="0" applyFont="1" applyBorder="1" applyAlignment="1">
      <alignment horizontal="center" vertical="center" wrapText="1"/>
    </xf>
    <xf numFmtId="49" fontId="14" fillId="0" borderId="1" xfId="0" applyNumberFormat="1" applyFont="1" applyBorder="1" applyAlignment="1">
      <alignment horizontal="left" vertical="center"/>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4" fillId="0" borderId="1" xfId="1" applyFont="1" applyBorder="1" applyAlignment="1">
      <alignment horizontal="center" vertical="center"/>
    </xf>
    <xf numFmtId="0" fontId="103" fillId="0" borderId="1" xfId="0" applyFont="1" applyBorder="1" applyAlignment="1">
      <alignment horizontal="center" vertical="center"/>
    </xf>
    <xf numFmtId="0" fontId="17" fillId="0" borderId="9" xfId="261" applyFont="1" applyBorder="1" applyAlignment="1">
      <alignment horizontal="center" wrapText="1"/>
    </xf>
    <xf numFmtId="0" fontId="22" fillId="2" borderId="13" xfId="0" applyFont="1" applyFill="1" applyBorder="1" applyAlignment="1">
      <alignment horizontal="center"/>
    </xf>
    <xf numFmtId="0" fontId="43" fillId="0" borderId="1" xfId="2" applyFont="1" applyBorder="1" applyAlignment="1">
      <alignment horizontal="left" vertical="center" wrapText="1"/>
    </xf>
    <xf numFmtId="0" fontId="22" fillId="3" borderId="1" xfId="261" applyFont="1" applyFill="1" applyBorder="1" applyAlignment="1">
      <alignment horizontal="center" vertical="center" wrapText="1"/>
    </xf>
    <xf numFmtId="0" fontId="22" fillId="0" borderId="1" xfId="261" applyFont="1" applyBorder="1" applyAlignment="1">
      <alignment horizontal="center" vertical="center" wrapText="1"/>
    </xf>
    <xf numFmtId="0" fontId="22" fillId="0" borderId="9" xfId="261" applyFont="1" applyBorder="1" applyAlignment="1">
      <alignment horizontal="center" vertical="center" wrapText="1"/>
    </xf>
    <xf numFmtId="0" fontId="22" fillId="0" borderId="1" xfId="3" applyFont="1" applyBorder="1" applyAlignment="1">
      <alignment horizontal="center" vertical="center"/>
    </xf>
    <xf numFmtId="0" fontId="22" fillId="0" borderId="1" xfId="7" applyFont="1" applyBorder="1" applyAlignment="1">
      <alignment horizontal="center" vertical="center"/>
    </xf>
    <xf numFmtId="0" fontId="21" fillId="0" borderId="9" xfId="0" applyFont="1" applyBorder="1" applyAlignment="1">
      <alignment vertical="center" wrapText="1"/>
    </xf>
    <xf numFmtId="0" fontId="50" fillId="0" borderId="1" xfId="0" applyFont="1" applyBorder="1" applyAlignment="1">
      <alignment horizontal="center" vertical="top" wrapText="1"/>
    </xf>
    <xf numFmtId="0" fontId="14" fillId="0" borderId="0" xfId="10" applyFont="1" applyAlignment="1">
      <alignment horizontal="left" vertical="center"/>
    </xf>
    <xf numFmtId="49" fontId="14" fillId="0" borderId="1" xfId="2" applyNumberFormat="1" applyFont="1" applyBorder="1" applyAlignment="1">
      <alignment horizontal="left" vertical="center"/>
    </xf>
    <xf numFmtId="0" fontId="14" fillId="0" borderId="1" xfId="10" applyFont="1" applyBorder="1" applyAlignment="1">
      <alignment horizontal="center" vertical="center"/>
    </xf>
    <xf numFmtId="0" fontId="14" fillId="0" borderId="9" xfId="0" applyFont="1" applyBorder="1" applyAlignment="1">
      <alignment vertical="center" wrapText="1"/>
    </xf>
    <xf numFmtId="0" fontId="14" fillId="0" borderId="10" xfId="0" applyFont="1" applyBorder="1" applyAlignment="1">
      <alignment horizontal="center" vertical="center"/>
    </xf>
    <xf numFmtId="0" fontId="14" fillId="0" borderId="9" xfId="0" applyFont="1" applyBorder="1" applyAlignment="1">
      <alignment horizontal="center" vertical="center" wrapText="1"/>
    </xf>
    <xf numFmtId="0" fontId="14" fillId="0" borderId="9" xfId="0" applyFont="1" applyBorder="1" applyAlignment="1">
      <alignment vertical="center"/>
    </xf>
    <xf numFmtId="0" fontId="14" fillId="0" borderId="9" xfId="0" applyFont="1" applyBorder="1" applyAlignment="1">
      <alignment horizontal="center" vertical="center"/>
    </xf>
    <xf numFmtId="49" fontId="21" fillId="0" borderId="0" xfId="5" applyNumberFormat="1" applyFont="1" applyAlignment="1">
      <alignment horizontal="left" vertical="center" shrinkToFit="1"/>
    </xf>
    <xf numFmtId="0" fontId="22" fillId="0" borderId="0" xfId="0" applyFont="1" applyAlignment="1">
      <alignment horizontal="center" vertical="center"/>
    </xf>
    <xf numFmtId="0" fontId="21" fillId="0" borderId="0" xfId="0" applyFont="1" applyAlignment="1">
      <alignment vertical="center" wrapText="1"/>
    </xf>
    <xf numFmtId="0" fontId="14" fillId="0" borderId="0" xfId="7" applyFont="1" applyAlignment="1">
      <alignment horizontal="center" vertical="center" wrapText="1"/>
    </xf>
    <xf numFmtId="0" fontId="17" fillId="0" borderId="0" xfId="261" applyFont="1" applyAlignment="1">
      <alignment horizontal="center" wrapText="1"/>
    </xf>
    <xf numFmtId="0" fontId="14" fillId="0" borderId="8" xfId="0" applyFont="1" applyBorder="1" applyAlignment="1">
      <alignment horizontal="center" vertical="center"/>
    </xf>
    <xf numFmtId="0" fontId="22" fillId="0" borderId="0" xfId="261" applyFont="1" applyAlignment="1">
      <alignment horizontal="center" vertical="center" wrapText="1"/>
    </xf>
    <xf numFmtId="0" fontId="17" fillId="0" borderId="1" xfId="261" applyFont="1" applyBorder="1" applyAlignment="1">
      <alignment horizontal="center" wrapText="1"/>
    </xf>
    <xf numFmtId="49" fontId="21" fillId="0" borderId="0" xfId="0" applyNumberFormat="1" applyFont="1" applyAlignment="1">
      <alignment horizontal="left" vertical="center"/>
    </xf>
    <xf numFmtId="0" fontId="21" fillId="0" borderId="0" xfId="1" applyFont="1" applyAlignment="1">
      <alignment horizontal="center" vertical="center"/>
    </xf>
    <xf numFmtId="0" fontId="21" fillId="0" borderId="0" xfId="0" applyFont="1" applyAlignment="1">
      <alignment vertical="center"/>
    </xf>
    <xf numFmtId="0" fontId="17" fillId="0" borderId="9" xfId="0" applyFont="1" applyBorder="1" applyAlignment="1">
      <alignment horizontal="center" vertical="top" wrapText="1"/>
    </xf>
    <xf numFmtId="0" fontId="21" fillId="0" borderId="0" xfId="0" applyFont="1" applyAlignment="1">
      <alignment horizontal="center"/>
    </xf>
    <xf numFmtId="0" fontId="51" fillId="0" borderId="0" xfId="0" applyFont="1" applyAlignment="1">
      <alignment horizontal="center" vertical="center"/>
    </xf>
    <xf numFmtId="0" fontId="17" fillId="5" borderId="1" xfId="0" applyFont="1" applyFill="1" applyBorder="1" applyAlignment="1">
      <alignment horizontal="center" vertical="center"/>
    </xf>
    <xf numFmtId="0" fontId="17" fillId="76" borderId="1" xfId="0" applyFont="1" applyFill="1" applyBorder="1" applyAlignment="1">
      <alignment horizontal="center" vertical="center"/>
    </xf>
    <xf numFmtId="0" fontId="17" fillId="75" borderId="1" xfId="0" applyFont="1" applyFill="1" applyBorder="1" applyAlignment="1">
      <alignment horizontal="center" vertical="center"/>
    </xf>
    <xf numFmtId="0" fontId="17" fillId="77" borderId="1" xfId="0" applyFont="1" applyFill="1" applyBorder="1" applyAlignment="1">
      <alignment horizontal="center" vertical="center"/>
    </xf>
    <xf numFmtId="0" fontId="104" fillId="5" borderId="1" xfId="0" applyFont="1" applyFill="1" applyBorder="1" applyAlignment="1">
      <alignment horizontal="center" vertical="center"/>
    </xf>
    <xf numFmtId="49" fontId="104" fillId="5" borderId="1" xfId="0" applyNumberFormat="1" applyFont="1" applyFill="1" applyBorder="1" applyAlignment="1">
      <alignment horizontal="left" vertical="center"/>
    </xf>
    <xf numFmtId="0" fontId="105" fillId="5" borderId="1" xfId="0" applyFont="1" applyFill="1" applyBorder="1" applyAlignment="1">
      <alignment horizontal="center" vertical="center" wrapText="1"/>
    </xf>
    <xf numFmtId="0" fontId="105" fillId="5" borderId="1" xfId="261" applyFont="1" applyFill="1" applyBorder="1" applyAlignment="1">
      <alignment horizontal="center" vertical="center" wrapText="1"/>
    </xf>
    <xf numFmtId="0" fontId="104" fillId="5" borderId="1" xfId="0" applyFont="1" applyFill="1" applyBorder="1" applyAlignment="1">
      <alignment vertical="center" wrapText="1"/>
    </xf>
    <xf numFmtId="0" fontId="105"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104" fillId="5" borderId="1" xfId="1" applyFont="1" applyFill="1" applyBorder="1" applyAlignment="1">
      <alignment horizontal="center" vertical="center"/>
    </xf>
    <xf numFmtId="49" fontId="104" fillId="5" borderId="1" xfId="2" applyNumberFormat="1" applyFont="1" applyFill="1" applyBorder="1" applyAlignment="1">
      <alignment horizontal="left" vertical="center"/>
    </xf>
    <xf numFmtId="0" fontId="159" fillId="5" borderId="9" xfId="0" applyFont="1" applyFill="1" applyBorder="1" applyAlignment="1">
      <alignment horizontal="center" vertical="top" wrapText="1"/>
    </xf>
    <xf numFmtId="0" fontId="104" fillId="5" borderId="1" xfId="0" applyFont="1" applyFill="1" applyBorder="1" applyAlignment="1">
      <alignment vertical="center"/>
    </xf>
    <xf numFmtId="0" fontId="16" fillId="5" borderId="1" xfId="0" applyFont="1" applyFill="1" applyBorder="1" applyAlignment="1">
      <alignment horizontal="center" vertical="center"/>
    </xf>
    <xf numFmtId="49" fontId="104" fillId="5" borderId="1" xfId="5" applyNumberFormat="1" applyFont="1" applyFill="1" applyBorder="1" applyAlignment="1">
      <alignment horizontal="left" vertical="center" shrinkToFit="1"/>
    </xf>
    <xf numFmtId="0" fontId="105" fillId="5" borderId="1" xfId="3" applyFont="1" applyFill="1" applyBorder="1" applyAlignment="1">
      <alignment horizontal="center" vertical="center"/>
    </xf>
    <xf numFmtId="0" fontId="105" fillId="5" borderId="1" xfId="7" applyFont="1" applyFill="1" applyBorder="1" applyAlignment="1">
      <alignment horizontal="center" vertical="center"/>
    </xf>
    <xf numFmtId="0" fontId="22" fillId="76" borderId="13" xfId="0" applyFont="1" applyFill="1" applyBorder="1" applyAlignment="1">
      <alignment horizontal="center"/>
    </xf>
    <xf numFmtId="0" fontId="22" fillId="74" borderId="13" xfId="0" applyFont="1" applyFill="1" applyBorder="1" applyAlignment="1">
      <alignment horizontal="center"/>
    </xf>
    <xf numFmtId="49" fontId="21" fillId="0" borderId="0" xfId="2" applyNumberFormat="1" applyFont="1" applyAlignment="1">
      <alignment horizontal="left" vertical="center"/>
    </xf>
    <xf numFmtId="0" fontId="21" fillId="0" borderId="0" xfId="0" applyFont="1" applyAlignment="1">
      <alignment horizontal="center" vertical="center" wrapText="1"/>
    </xf>
    <xf numFmtId="0" fontId="14" fillId="0" borderId="0" xfId="0" applyFont="1" applyAlignment="1">
      <alignment vertical="center" wrapText="1"/>
    </xf>
    <xf numFmtId="0" fontId="17" fillId="2" borderId="1" xfId="0" applyFont="1" applyFill="1" applyBorder="1" applyAlignment="1">
      <alignment horizontal="center" vertical="center"/>
    </xf>
    <xf numFmtId="0" fontId="104" fillId="5" borderId="1" xfId="0" applyFont="1" applyFill="1" applyBorder="1" applyAlignment="1">
      <alignment wrapText="1"/>
    </xf>
    <xf numFmtId="0" fontId="104" fillId="5" borderId="1" xfId="0" applyFont="1" applyFill="1" applyBorder="1" applyAlignment="1">
      <alignment horizontal="center"/>
    </xf>
    <xf numFmtId="0" fontId="104" fillId="5" borderId="1" xfId="0" applyFont="1" applyFill="1" applyBorder="1" applyAlignment="1">
      <alignment horizontal="center" vertical="center" wrapText="1"/>
    </xf>
    <xf numFmtId="0" fontId="104" fillId="5" borderId="13" xfId="0" applyFont="1" applyFill="1" applyBorder="1" applyAlignment="1">
      <alignment horizontal="center" vertical="center"/>
    </xf>
    <xf numFmtId="0" fontId="20" fillId="0" borderId="15" xfId="0" applyFont="1" applyBorder="1" applyAlignment="1">
      <alignment vertical="center"/>
    </xf>
    <xf numFmtId="49" fontId="16" fillId="5" borderId="1" xfId="0" applyNumberFormat="1" applyFont="1" applyFill="1" applyBorder="1" applyAlignment="1">
      <alignment horizontal="left" vertical="center"/>
    </xf>
    <xf numFmtId="0" fontId="159" fillId="5" borderId="9" xfId="261" applyFont="1" applyFill="1" applyBorder="1" applyAlignment="1">
      <alignment horizontal="center" wrapText="1"/>
    </xf>
    <xf numFmtId="0" fontId="16" fillId="5" borderId="1" xfId="0" applyFont="1" applyFill="1" applyBorder="1" applyAlignment="1">
      <alignment vertical="center" wrapText="1"/>
    </xf>
    <xf numFmtId="0" fontId="160" fillId="5" borderId="1" xfId="0" applyFont="1" applyFill="1" applyBorder="1" applyAlignment="1">
      <alignment horizontal="center" vertical="center"/>
    </xf>
    <xf numFmtId="49" fontId="104" fillId="5" borderId="1" xfId="0" applyNumberFormat="1" applyFont="1" applyFill="1" applyBorder="1" applyAlignment="1">
      <alignment horizontal="center" vertical="center"/>
    </xf>
    <xf numFmtId="49" fontId="104" fillId="5" borderId="1" xfId="2" applyNumberFormat="1" applyFont="1" applyFill="1" applyBorder="1" applyAlignment="1">
      <alignment horizontal="center" vertical="center"/>
    </xf>
    <xf numFmtId="0" fontId="46" fillId="81" borderId="1" xfId="0" applyFont="1" applyFill="1" applyBorder="1" applyAlignment="1">
      <alignment horizontal="center" vertical="center"/>
    </xf>
    <xf numFmtId="49" fontId="21" fillId="5" borderId="1" xfId="5" applyNumberFormat="1" applyFont="1" applyFill="1" applyBorder="1" applyAlignment="1">
      <alignment horizontal="left" vertical="center" shrinkToFit="1"/>
    </xf>
    <xf numFmtId="0" fontId="22" fillId="5" borderId="1" xfId="0" applyFont="1" applyFill="1" applyBorder="1" applyAlignment="1">
      <alignment horizontal="center" vertical="center"/>
    </xf>
    <xf numFmtId="0" fontId="22" fillId="5" borderId="1" xfId="3" applyFont="1" applyFill="1" applyBorder="1" applyAlignment="1">
      <alignment horizontal="center" vertical="center"/>
    </xf>
    <xf numFmtId="0" fontId="22" fillId="5" borderId="1" xfId="261" applyFont="1" applyFill="1" applyBorder="1" applyAlignment="1">
      <alignment horizontal="center" vertical="center" wrapText="1"/>
    </xf>
    <xf numFmtId="0" fontId="21" fillId="5" borderId="1" xfId="0" applyFont="1" applyFill="1" applyBorder="1" applyAlignment="1">
      <alignment vertical="center" wrapText="1"/>
    </xf>
    <xf numFmtId="0" fontId="22" fillId="5" borderId="1" xfId="0" applyFont="1" applyFill="1" applyBorder="1" applyAlignment="1">
      <alignment horizontal="center" vertical="center" wrapText="1"/>
    </xf>
    <xf numFmtId="0" fontId="22" fillId="5" borderId="1" xfId="7" applyFont="1" applyFill="1" applyBorder="1" applyAlignment="1">
      <alignment horizontal="center" vertical="center"/>
    </xf>
    <xf numFmtId="0" fontId="17" fillId="0" borderId="1" xfId="0" applyFont="1" applyBorder="1" applyAlignment="1">
      <alignment horizontal="center" vertical="center" wrapText="1"/>
    </xf>
    <xf numFmtId="0" fontId="21" fillId="0" borderId="1" xfId="0" applyFont="1" applyBorder="1" applyAlignment="1">
      <alignment horizontal="left" vertical="center" wrapText="1"/>
    </xf>
    <xf numFmtId="0" fontId="104" fillId="5" borderId="1" xfId="0" applyFont="1" applyFill="1" applyBorder="1" applyAlignment="1">
      <alignment horizontal="left"/>
    </xf>
    <xf numFmtId="0" fontId="20" fillId="0" borderId="14" xfId="0" applyFont="1" applyBorder="1" applyAlignment="1">
      <alignment horizontal="center" vertical="center"/>
    </xf>
    <xf numFmtId="0" fontId="20" fillId="0" borderId="3" xfId="0" applyFont="1" applyBorder="1" applyAlignment="1">
      <alignment horizontal="center" vertical="center"/>
    </xf>
    <xf numFmtId="0" fontId="20" fillId="0" borderId="15" xfId="0" applyFont="1" applyBorder="1" applyAlignment="1">
      <alignment horizontal="center" vertical="center"/>
    </xf>
    <xf numFmtId="0" fontId="17" fillId="74" borderId="1" xfId="0" applyFont="1" applyFill="1" applyBorder="1" applyAlignment="1">
      <alignment horizontal="center" vertical="center"/>
    </xf>
    <xf numFmtId="0" fontId="46" fillId="79" borderId="1" xfId="0" applyFont="1" applyFill="1" applyBorder="1" applyAlignment="1">
      <alignment horizontal="center" vertical="center"/>
    </xf>
    <xf numFmtId="0" fontId="17" fillId="76" borderId="1" xfId="0" applyFont="1" applyFill="1" applyBorder="1" applyAlignment="1">
      <alignment horizontal="center" vertical="center"/>
    </xf>
    <xf numFmtId="0" fontId="46" fillId="80" borderId="1" xfId="0" applyFont="1" applyFill="1" applyBorder="1" applyAlignment="1">
      <alignment horizontal="center" vertical="center"/>
    </xf>
    <xf numFmtId="0" fontId="46" fillId="78" borderId="11" xfId="0" applyFont="1" applyFill="1" applyBorder="1" applyAlignment="1">
      <alignment horizontal="center" vertical="center"/>
    </xf>
    <xf numFmtId="0" fontId="46" fillId="78" borderId="4" xfId="0" applyFont="1" applyFill="1" applyBorder="1" applyAlignment="1">
      <alignment horizontal="center" vertical="center"/>
    </xf>
    <xf numFmtId="0" fontId="46" fillId="78" borderId="12" xfId="0" applyFont="1" applyFill="1" applyBorder="1" applyAlignment="1">
      <alignment horizontal="center" vertical="center"/>
    </xf>
    <xf numFmtId="0" fontId="43" fillId="0" borderId="1" xfId="0" applyFont="1" applyBorder="1" applyAlignment="1">
      <alignment horizontal="center" vertical="center"/>
    </xf>
    <xf numFmtId="0" fontId="42" fillId="0" borderId="11" xfId="0" applyFont="1" applyBorder="1" applyAlignment="1">
      <alignment horizontal="center" vertical="center"/>
    </xf>
    <xf numFmtId="0" fontId="42" fillId="0" borderId="4" xfId="0" applyFont="1" applyBorder="1" applyAlignment="1">
      <alignment horizontal="center" vertical="center"/>
    </xf>
    <xf numFmtId="0" fontId="43" fillId="0" borderId="8" xfId="0" applyFont="1" applyBorder="1" applyAlignment="1">
      <alignment horizontal="center" vertical="center"/>
    </xf>
    <xf numFmtId="0" fontId="102" fillId="0" borderId="1" xfId="0" applyFont="1" applyBorder="1" applyAlignment="1">
      <alignment horizontal="center" vertical="center"/>
    </xf>
    <xf numFmtId="0" fontId="101" fillId="0" borderId="11" xfId="0" applyFont="1" applyBorder="1" applyAlignment="1">
      <alignment horizontal="center" vertical="center"/>
    </xf>
    <xf numFmtId="0" fontId="101" fillId="0" borderId="4" xfId="0" applyFont="1" applyBorder="1" applyAlignment="1">
      <alignment horizontal="center" vertical="center"/>
    </xf>
    <xf numFmtId="0" fontId="101" fillId="0" borderId="12" xfId="0" applyFont="1" applyBorder="1" applyAlignment="1">
      <alignment horizontal="center" vertical="center"/>
    </xf>
    <xf numFmtId="0" fontId="42" fillId="0" borderId="12" xfId="0" applyFont="1" applyBorder="1" applyAlignment="1">
      <alignment horizontal="center" vertical="center"/>
    </xf>
    <xf numFmtId="0" fontId="42" fillId="0" borderId="1" xfId="0" applyFont="1" applyBorder="1" applyAlignment="1">
      <alignment horizontal="center" vertical="center"/>
    </xf>
    <xf numFmtId="0" fontId="48" fillId="0" borderId="1" xfId="137" applyBorder="1" applyAlignment="1">
      <alignment horizontal="center" vertical="center"/>
    </xf>
    <xf numFmtId="0" fontId="49" fillId="0" borderId="1" xfId="137" applyFont="1" applyBorder="1" applyAlignment="1">
      <alignment horizontal="center" vertical="center"/>
    </xf>
    <xf numFmtId="0" fontId="48" fillId="27" borderId="1" xfId="137" applyFill="1" applyBorder="1" applyAlignment="1">
      <alignment horizontal="center" vertical="center"/>
    </xf>
    <xf numFmtId="9" fontId="48" fillId="27" borderId="1" xfId="137" applyNumberFormat="1" applyFill="1" applyBorder="1" applyAlignment="1">
      <alignment horizontal="center" vertical="center"/>
    </xf>
    <xf numFmtId="0" fontId="48" fillId="28" borderId="1" xfId="137" applyFill="1" applyBorder="1" applyAlignment="1">
      <alignment horizontal="center" vertical="center"/>
    </xf>
    <xf numFmtId="9" fontId="48" fillId="28" borderId="1" xfId="137" applyNumberFormat="1" applyFill="1" applyBorder="1" applyAlignment="1">
      <alignment horizontal="center" vertical="center"/>
    </xf>
    <xf numFmtId="9" fontId="48" fillId="0" borderId="1" xfId="137" applyNumberFormat="1" applyBorder="1" applyAlignment="1">
      <alignment horizontal="center" vertical="center"/>
    </xf>
    <xf numFmtId="0" fontId="21" fillId="82" borderId="1" xfId="0" applyFont="1" applyFill="1" applyBorder="1" applyAlignment="1">
      <alignment horizontal="center" vertical="center"/>
    </xf>
    <xf numFmtId="49" fontId="21" fillId="82" borderId="1" xfId="2" applyNumberFormat="1" applyFont="1" applyFill="1" applyBorder="1" applyAlignment="1">
      <alignment horizontal="left" vertical="center"/>
    </xf>
    <xf numFmtId="0" fontId="22" fillId="82" borderId="1" xfId="0" applyFont="1" applyFill="1" applyBorder="1" applyAlignment="1">
      <alignment horizontal="center" vertical="center"/>
    </xf>
    <xf numFmtId="0" fontId="22" fillId="82" borderId="1" xfId="261" applyFont="1" applyFill="1" applyBorder="1" applyAlignment="1">
      <alignment horizontal="center" vertical="center" wrapText="1"/>
    </xf>
    <xf numFmtId="0" fontId="14" fillId="82" borderId="1" xfId="7" applyFont="1" applyFill="1" applyBorder="1" applyAlignment="1">
      <alignment horizontal="center" vertical="center"/>
    </xf>
    <xf numFmtId="0" fontId="14" fillId="82" borderId="0" xfId="7" applyFont="1" applyFill="1" applyAlignment="1">
      <alignment horizontal="center" vertical="center"/>
    </xf>
    <xf numFmtId="0" fontId="21" fillId="82" borderId="1" xfId="0" applyFont="1" applyFill="1" applyBorder="1" applyAlignment="1">
      <alignment vertical="center" wrapText="1"/>
    </xf>
    <xf numFmtId="0" fontId="21" fillId="0" borderId="1" xfId="0" applyFont="1" applyFill="1" applyBorder="1" applyAlignment="1">
      <alignment horizontal="center" vertical="center"/>
    </xf>
    <xf numFmtId="49" fontId="21" fillId="0" borderId="1" xfId="2" applyNumberFormat="1" applyFont="1" applyFill="1" applyBorder="1" applyAlignment="1">
      <alignment horizontal="left" vertical="center"/>
    </xf>
    <xf numFmtId="0" fontId="22" fillId="0" borderId="1" xfId="0" applyFont="1" applyFill="1" applyBorder="1" applyAlignment="1">
      <alignment horizontal="center" vertical="center"/>
    </xf>
    <xf numFmtId="0" fontId="22" fillId="0" borderId="1" xfId="261" applyFont="1" applyFill="1" applyBorder="1" applyAlignment="1">
      <alignment horizontal="center" vertical="center" wrapText="1"/>
    </xf>
    <xf numFmtId="0" fontId="21" fillId="0" borderId="1" xfId="0" applyFont="1" applyFill="1" applyBorder="1" applyAlignment="1">
      <alignment vertical="center"/>
    </xf>
    <xf numFmtId="0" fontId="14" fillId="0" borderId="1" xfId="7" applyFont="1" applyFill="1" applyBorder="1" applyAlignment="1">
      <alignment horizontal="center" vertical="center"/>
    </xf>
    <xf numFmtId="0" fontId="14" fillId="0" borderId="0" xfId="7" applyFont="1" applyFill="1" applyAlignment="1">
      <alignment horizontal="center" vertical="center"/>
    </xf>
    <xf numFmtId="0" fontId="21" fillId="0" borderId="1" xfId="0" applyFont="1" applyFill="1" applyBorder="1" applyAlignment="1">
      <alignment vertical="center" wrapText="1"/>
    </xf>
    <xf numFmtId="0" fontId="22" fillId="0" borderId="1" xfId="0" applyFont="1" applyFill="1" applyBorder="1" applyAlignment="1">
      <alignment horizontal="center" vertical="center" wrapText="1"/>
    </xf>
    <xf numFmtId="0" fontId="22" fillId="0" borderId="1" xfId="0" applyFont="1" applyFill="1" applyBorder="1" applyAlignment="1">
      <alignment vertical="center"/>
    </xf>
    <xf numFmtId="0" fontId="21" fillId="0"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14" fillId="0" borderId="0" xfId="0" applyFont="1" applyFill="1" applyAlignment="1">
      <alignment horizontal="center" vertical="center"/>
    </xf>
    <xf numFmtId="0" fontId="21" fillId="83" borderId="1" xfId="0" applyFont="1" applyFill="1" applyBorder="1" applyAlignment="1">
      <alignment horizontal="center" vertical="center"/>
    </xf>
  </cellXfs>
  <cellStyles count="520">
    <cellStyle name="_x000d__x000a_JournalTemplate=C:\COMFO\CTALK\JOURSTD.TPL_x000d__x000a_LbStateAddress=3 3 0 251 1 89 2 311_x000d__x000a_LbStateJou" xfId="269" xr:uid="{7E26AC21-5C7F-4C1D-92AB-66314896C4A7}"/>
    <cellStyle name="??&amp;O?&amp;H?_x0008__x000f__x0007_?_x0007__x0001__x0001_" xfId="270" xr:uid="{8AD1EE56-41D1-4A10-8029-FCE0FC1CFB3A}"/>
    <cellStyle name="??&amp;O?&amp;H?_x0008_??_x0007__x0001__x0001_" xfId="271" xr:uid="{0A08FB7D-7645-4E40-9BDC-4C58C38095FA}"/>
    <cellStyle name="??_kc-elec system check list" xfId="272" xr:uid="{11AE3C3C-75D1-4A42-9186-7E9E5249D119}"/>
    <cellStyle name="_~4037151" xfId="273" xr:uid="{4886D6C8-AA97-4A5B-9C7D-4AEA4B5FAE3C}"/>
    <cellStyle name="_~6966255" xfId="274" xr:uid="{36BA72D6-3DF8-4ACE-9373-3E3B3689E8E3}"/>
    <cellStyle name="_~7694708" xfId="275" xr:uid="{8F6A278B-6B52-433C-9DD0-BC4DD709D972}"/>
    <cellStyle name="_~8856194" xfId="276" xr:uid="{9766AEDA-F3C2-4321-AF25-DE9CD17169AA}"/>
    <cellStyle name="_ACER PROJECT  DOCUMENT-leo" xfId="277" xr:uid="{1822009E-02D8-4CB9-892D-A693E89B4FAA}"/>
    <cellStyle name="_Book1" xfId="278" xr:uid="{BDDF27F5-FACE-435E-9F36-70063C9E9B82}"/>
    <cellStyle name="_Conn&amp;Cable分級分類及技朮欄位屬性定義" xfId="279" xr:uid="{3D1A4D20-2FC7-42E3-A4CC-01AAEF942CA4}"/>
    <cellStyle name="_CSD-機構供應商ROHS回復統計表_20051213" xfId="280" xr:uid="{538FDC82-99EC-45A5-9EF5-5FC892841B19}"/>
    <cellStyle name="_delday9902" xfId="281" xr:uid="{81A5B351-71AD-4DBD-BECF-4B0F22F906D1}"/>
    <cellStyle name="_DMD weekly update -- 0331'2005" xfId="282" xr:uid="{A739E2BB-41F9-4147-B86B-3E3E0D6DA837}"/>
    <cellStyle name="_EPD(V)組裝物料送檢明細10" xfId="283" xr:uid="{AD60D698-928C-40CE-89E4-C7EC80EA094A}"/>
    <cellStyle name="_IBM Forecast and PO Summary-0729" xfId="284" xr:uid="{39829E87-6440-4AEE-9362-6ED609A77F7D}"/>
    <cellStyle name="_IBM Project Document Checklist-(from RD to Mfg)-011306" xfId="285" xr:uid="{0C64911D-8C12-4CE9-AAB9-C9EBCDF82969}"/>
    <cellStyle name="_L5" xfId="286" xr:uid="{DF477B9B-4C0C-4299-B792-926BF687910A}"/>
    <cellStyle name="_L5分級分類及Commodity Code定義1116" xfId="287" xr:uid="{568481D6-729C-4F1B-82D4-4065D7342C50}"/>
    <cellStyle name="_LV,LVI &amp; LX 分級分類  20051115b" xfId="288" xr:uid="{42AD0935-9D85-4CA9-861D-F0FC4F0C69F5}"/>
    <cellStyle name="_LV分級分類" xfId="289" xr:uid="{E51D94AB-CED3-459D-8684-EEB5FF07FA8E}"/>
    <cellStyle name="_Maple issues tracking report0808" xfId="290" xr:uid="{F2BDB94F-A2CB-45C5-952A-236F058C1D8C}"/>
    <cellStyle name="_Module Naming Rule List 2005-9-24" xfId="291" xr:uid="{A809B424-2531-48A6-845C-27A7139F59D0}"/>
    <cellStyle name="_MP Mat'l Status 0729" xfId="292" xr:uid="{C9E52547-2702-4AAF-BC1B-0FE86DB0A44E}"/>
    <cellStyle name="_PCEBG-副資材盤點及分類 v0106'06" xfId="293" xr:uid="{FDD23B04-4B2B-4922-90F0-848BB99D193C}"/>
    <cellStyle name="_PCEBG機構類供應商列表_LVI&amp;X_20051207" xfId="294" xr:uid="{CB873D23-8A65-4771-850F-F80635960B73}"/>
    <cellStyle name="_PM Weekly Report  wk13" xfId="295" xr:uid="{577C0C02-EB37-42A7-80EB-0589551BE28A}"/>
    <cellStyle name="_RYG  WW6" xfId="296" xr:uid="{5E558B99-6302-48B5-845F-D4D69C26BA06}"/>
    <cellStyle name="_ship plan  MB 0910 for material and capacity" xfId="297" xr:uid="{4268681C-2D69-4991-89C0-47DCC83DEB37}"/>
    <cellStyle name="_supplier databank----MPE BJ" xfId="298" xr:uid="{3C58804F-D030-40BE-AD05-A6D51EF75E8C}"/>
    <cellStyle name="_Tazbot  ship paln" xfId="299" xr:uid="{3C56B8DA-5458-4595-9F0C-CEAD4D427842}"/>
    <cellStyle name="_transfer job list" xfId="300" xr:uid="{73D233B6-14B5-4DE3-8D6E-4F0F25BD7660}"/>
    <cellStyle name="_金屬原材料明細表" xfId="301" xr:uid="{270C447F-7ABD-4349-82A6-743C77E807A5}"/>
    <cellStyle name="_新增Microsoft Excel 工作表" xfId="302" xr:uid="{AFE2C41B-0073-461F-AB37-BC92D0E80894}"/>
    <cellStyle name="’Ê‰Ý [0.00]_laroux" xfId="303" xr:uid="{5FCFA4C5-88C4-40A0-B370-A30639F83D02}"/>
    <cellStyle name="’Ê‰Ý_laroux" xfId="304" xr:uid="{BCC1B4E3-F7C8-4644-BA4F-296B910F1E0F}"/>
    <cellStyle name="•W_laroux" xfId="305" xr:uid="{76CDF072-B7B5-4208-858C-6D2C9CC364FB}"/>
    <cellStyle name=" 2" xfId="1" xr:uid="{00000000-0005-0000-0000-000000000000}"/>
    <cellStyle name=" 2 2" xfId="18" xr:uid="{00000000-0005-0000-0000-000001000000}"/>
    <cellStyle name="1" xfId="306" xr:uid="{C66291C5-72EF-4262-BD32-B1335EB0F15D}"/>
    <cellStyle name="2" xfId="307" xr:uid="{E4E70272-E8C4-438A-837C-AB27639AE53B}"/>
    <cellStyle name="20% - 强调文字颜色 1" xfId="20" xr:uid="{00000000-0005-0000-0000-000002000000}"/>
    <cellStyle name="20% - 强调文字颜色 1 2" xfId="107" xr:uid="{00000000-0005-0000-0000-000003000000}"/>
    <cellStyle name="20% - 强调文字颜色 2" xfId="21" xr:uid="{00000000-0005-0000-0000-000004000000}"/>
    <cellStyle name="20% - 强调文字颜色 2 2" xfId="108" xr:uid="{00000000-0005-0000-0000-000005000000}"/>
    <cellStyle name="20% - 强调文字颜色 3" xfId="22" xr:uid="{00000000-0005-0000-0000-000006000000}"/>
    <cellStyle name="20% - 强调文字颜色 3 2" xfId="109" xr:uid="{00000000-0005-0000-0000-000007000000}"/>
    <cellStyle name="20% - 强调文字颜色 4" xfId="23" xr:uid="{00000000-0005-0000-0000-000008000000}"/>
    <cellStyle name="20% - 强调文字颜色 4 2" xfId="110" xr:uid="{00000000-0005-0000-0000-000009000000}"/>
    <cellStyle name="20% - 强调文字颜色 5" xfId="24" xr:uid="{00000000-0005-0000-0000-00000A000000}"/>
    <cellStyle name="20% - 强调文字颜色 5 2" xfId="111" xr:uid="{00000000-0005-0000-0000-00000B000000}"/>
    <cellStyle name="20% - 强调文字颜色 6" xfId="25" xr:uid="{00000000-0005-0000-0000-00000C000000}"/>
    <cellStyle name="20% - 强调文字颜色 6 2" xfId="112" xr:uid="{00000000-0005-0000-0000-00000D000000}"/>
    <cellStyle name="20% - 輔色1" xfId="167" builtinId="30" customBuiltin="1"/>
    <cellStyle name="20% - 輔色1 2" xfId="26" xr:uid="{00000000-0005-0000-0000-00000E000000}"/>
    <cellStyle name="20% - 輔色1 3" xfId="240" xr:uid="{78DFF07A-BD19-4374-B071-17A223798A72}"/>
    <cellStyle name="20% - 輔色2" xfId="171" builtinId="34" customBuiltin="1"/>
    <cellStyle name="20% - 輔色2 2" xfId="27" xr:uid="{00000000-0005-0000-0000-00000F000000}"/>
    <cellStyle name="20% - 輔色2 3" xfId="243" xr:uid="{92ECAADD-1069-45B7-A9D0-314A5397F4DF}"/>
    <cellStyle name="20% - 輔色3" xfId="175" builtinId="38" customBuiltin="1"/>
    <cellStyle name="20% - 輔色3 2" xfId="28" xr:uid="{00000000-0005-0000-0000-000010000000}"/>
    <cellStyle name="20% - 輔色3 3" xfId="246" xr:uid="{FA9D25B8-A15C-4115-B813-8E847B2EC03E}"/>
    <cellStyle name="20% - 輔色4" xfId="179" builtinId="42" customBuiltin="1"/>
    <cellStyle name="20% - 輔色4 2" xfId="29" xr:uid="{00000000-0005-0000-0000-000011000000}"/>
    <cellStyle name="20% - 輔色4 3" xfId="249" xr:uid="{C90EC008-0FD4-4104-866B-F908078C2B19}"/>
    <cellStyle name="20% - 輔色5" xfId="183" builtinId="46" customBuiltin="1"/>
    <cellStyle name="20% - 輔色5 2" xfId="30" xr:uid="{00000000-0005-0000-0000-000012000000}"/>
    <cellStyle name="20% - 輔色5 3" xfId="252" xr:uid="{4C0B2458-5C44-4E90-99AE-225C429013D1}"/>
    <cellStyle name="20% - 輔色6" xfId="187" builtinId="50" customBuiltin="1"/>
    <cellStyle name="20% - 輔色6 2" xfId="31" xr:uid="{00000000-0005-0000-0000-000013000000}"/>
    <cellStyle name="20% - 輔色6 3" xfId="255" xr:uid="{B6032DB3-A03B-438D-B6F2-FDF7C089D52F}"/>
    <cellStyle name="3" xfId="308" xr:uid="{B5C54F69-FCAE-48ED-87DF-065CA00B70EC}"/>
    <cellStyle name="3 2" xfId="470" xr:uid="{A6A4A128-8200-436E-8163-B8938BE57FA0}"/>
    <cellStyle name="3 2 2" xfId="505" xr:uid="{64F8AC7A-1ABE-4938-BD5A-5A42BE511620}"/>
    <cellStyle name="3 3" xfId="490" xr:uid="{28EC73A9-6807-4EEA-A305-AF4874ABCB49}"/>
    <cellStyle name="4" xfId="309" xr:uid="{5804B32F-5484-4963-9C6F-6FCA250B4CA2}"/>
    <cellStyle name="40% - 强调文字颜色 1" xfId="32" xr:uid="{00000000-0005-0000-0000-000014000000}"/>
    <cellStyle name="40% - 强调文字颜色 1 2" xfId="113" xr:uid="{00000000-0005-0000-0000-000015000000}"/>
    <cellStyle name="40% - 强调文字颜色 2" xfId="33" xr:uid="{00000000-0005-0000-0000-000016000000}"/>
    <cellStyle name="40% - 强调文字颜色 2 2" xfId="114" xr:uid="{00000000-0005-0000-0000-000017000000}"/>
    <cellStyle name="40% - 强调文字颜色 3" xfId="34" xr:uid="{00000000-0005-0000-0000-000018000000}"/>
    <cellStyle name="40% - 强调文字颜色 3 2" xfId="115" xr:uid="{00000000-0005-0000-0000-000019000000}"/>
    <cellStyle name="40% - 强调文字颜色 4" xfId="35" xr:uid="{00000000-0005-0000-0000-00001A000000}"/>
    <cellStyle name="40% - 强调文字颜色 4 2" xfId="116" xr:uid="{00000000-0005-0000-0000-00001B000000}"/>
    <cellStyle name="40% - 强调文字颜色 5" xfId="36" xr:uid="{00000000-0005-0000-0000-00001C000000}"/>
    <cellStyle name="40% - 强调文字颜色 5 2" xfId="117" xr:uid="{00000000-0005-0000-0000-00001D000000}"/>
    <cellStyle name="40% - 强调文字颜色 6" xfId="37" xr:uid="{00000000-0005-0000-0000-00001E000000}"/>
    <cellStyle name="40% - 强调文字颜色 6 2" xfId="118" xr:uid="{00000000-0005-0000-0000-00001F000000}"/>
    <cellStyle name="40% - 輔色1" xfId="168" builtinId="31" customBuiltin="1"/>
    <cellStyle name="40% - 輔色1 2" xfId="38" xr:uid="{00000000-0005-0000-0000-000020000000}"/>
    <cellStyle name="40% - 輔色1 3" xfId="241" xr:uid="{EA2F46F4-6FF8-49EC-8082-976CE34F7BDC}"/>
    <cellStyle name="40% - 輔色2" xfId="172" builtinId="35" customBuiltin="1"/>
    <cellStyle name="40% - 輔色2 2" xfId="39" xr:uid="{00000000-0005-0000-0000-000021000000}"/>
    <cellStyle name="40% - 輔色2 3" xfId="244" xr:uid="{354029E7-E374-4651-B81B-BDF400AC28C0}"/>
    <cellStyle name="40% - 輔色3" xfId="176" builtinId="39" customBuiltin="1"/>
    <cellStyle name="40% - 輔色3 2" xfId="40" xr:uid="{00000000-0005-0000-0000-000022000000}"/>
    <cellStyle name="40% - 輔色3 3" xfId="247" xr:uid="{9E8E101E-34C1-4C80-9671-0EEA6FA050D6}"/>
    <cellStyle name="40% - 輔色4" xfId="180" builtinId="43" customBuiltin="1"/>
    <cellStyle name="40% - 輔色4 2" xfId="41" xr:uid="{00000000-0005-0000-0000-000023000000}"/>
    <cellStyle name="40% - 輔色4 3" xfId="250" xr:uid="{70D68BF2-0BCD-4CF1-A904-30B61D920640}"/>
    <cellStyle name="40% - 輔色5" xfId="184" builtinId="47" customBuiltin="1"/>
    <cellStyle name="40% - 輔色5 2" xfId="42" xr:uid="{00000000-0005-0000-0000-000024000000}"/>
    <cellStyle name="40% - 輔色5 3" xfId="253" xr:uid="{737157F0-127A-497A-B5EB-53BF853929C5}"/>
    <cellStyle name="40% - 輔色6" xfId="188" builtinId="51" customBuiltin="1"/>
    <cellStyle name="40% - 輔色6 2" xfId="43" xr:uid="{00000000-0005-0000-0000-000025000000}"/>
    <cellStyle name="40% - 輔色6 3" xfId="256" xr:uid="{DA3AD279-0A0F-4299-A66C-D937C07CDC33}"/>
    <cellStyle name="5" xfId="310" xr:uid="{495308D0-E338-4804-85D5-CEDCEBB92955}"/>
    <cellStyle name="5 2" xfId="471" xr:uid="{4F2E5CCE-3B37-4AF6-8F81-267B6EA3C0C7}"/>
    <cellStyle name="5 2 2" xfId="506" xr:uid="{66504724-B7F5-41DF-89DE-5EEDB9DAFF84}"/>
    <cellStyle name="5 3" xfId="491" xr:uid="{4CAA1F26-83B1-4445-B108-F42D4E86DCC8}"/>
    <cellStyle name="6" xfId="311" xr:uid="{F95668FF-92B0-4247-B750-D5418126E885}"/>
    <cellStyle name="60% - 强调文字颜色 1" xfId="44" xr:uid="{00000000-0005-0000-0000-000026000000}"/>
    <cellStyle name="60% - 强调文字颜色 2" xfId="45" xr:uid="{00000000-0005-0000-0000-000027000000}"/>
    <cellStyle name="60% - 强调文字颜色 3" xfId="46" xr:uid="{00000000-0005-0000-0000-000028000000}"/>
    <cellStyle name="60% - 强调文字颜色 4" xfId="47" xr:uid="{00000000-0005-0000-0000-000029000000}"/>
    <cellStyle name="60% - 强调文字颜色 5" xfId="48" xr:uid="{00000000-0005-0000-0000-00002A000000}"/>
    <cellStyle name="60% - 强调文字颜色 6" xfId="49" xr:uid="{00000000-0005-0000-0000-00002B000000}"/>
    <cellStyle name="60% - 輔色1" xfId="169" builtinId="32" customBuiltin="1"/>
    <cellStyle name="60% - 輔色1 2" xfId="119" xr:uid="{00000000-0005-0000-0000-00002C000000}"/>
    <cellStyle name="60% - 輔色1 3" xfId="242" xr:uid="{F7DB4D77-562C-4A60-8F36-489D16DC4241}"/>
    <cellStyle name="60% - 輔色2" xfId="173" builtinId="36" customBuiltin="1"/>
    <cellStyle name="60% - 輔色2 2" xfId="120" xr:uid="{00000000-0005-0000-0000-00002D000000}"/>
    <cellStyle name="60% - 輔色2 3" xfId="245" xr:uid="{CDC74B58-C16F-4196-BAAE-C40544689CF1}"/>
    <cellStyle name="60% - 輔色3" xfId="177" builtinId="40" customBuiltin="1"/>
    <cellStyle name="60% - 輔色3 2" xfId="121" xr:uid="{00000000-0005-0000-0000-00002E000000}"/>
    <cellStyle name="60% - 輔色3 3" xfId="248" xr:uid="{4303D4A7-2EF5-4AA5-B4AB-058E2C740401}"/>
    <cellStyle name="60% - 輔色4" xfId="181" builtinId="44" customBuiltin="1"/>
    <cellStyle name="60% - 輔色4 2" xfId="122" xr:uid="{00000000-0005-0000-0000-00002F000000}"/>
    <cellStyle name="60% - 輔色4 3" xfId="251" xr:uid="{6A691264-550A-4B82-842C-0D63323F20D0}"/>
    <cellStyle name="60% - 輔色5" xfId="185" builtinId="48" customBuiltin="1"/>
    <cellStyle name="60% - 輔色5 2" xfId="123" xr:uid="{00000000-0005-0000-0000-000030000000}"/>
    <cellStyle name="60% - 輔色5 3" xfId="254" xr:uid="{2409D044-A65E-47AB-A7F1-98D668FE81FC}"/>
    <cellStyle name="60% - 輔色6" xfId="189" builtinId="52" customBuiltin="1"/>
    <cellStyle name="60% - 輔色6 2" xfId="124" xr:uid="{00000000-0005-0000-0000-000031000000}"/>
    <cellStyle name="60% - 輔色6 3" xfId="257" xr:uid="{797AF068-C0B3-42D0-8E90-8B5CD446E0C1}"/>
    <cellStyle name="7" xfId="312" xr:uid="{E3790CB6-B4E1-4CAC-9EE1-C6236EF4814B}"/>
    <cellStyle name="7 2" xfId="472" xr:uid="{62EC0D88-B321-4ECE-8AC0-93E87BE1DD8A}"/>
    <cellStyle name="7 2 2" xfId="507" xr:uid="{17C8E4F2-5AA3-4DCB-B12D-A4C0C50B6DCC}"/>
    <cellStyle name="7 3" xfId="492" xr:uid="{ABBD8819-8106-45F6-95B3-367013173C7A}"/>
    <cellStyle name="8" xfId="313" xr:uid="{CA65CAF1-5D44-403C-80B7-163971C96866}"/>
    <cellStyle name="A" xfId="314" xr:uid="{88097E07-4ED2-4A27-9F49-01F1FE38A5C3}"/>
    <cellStyle name="A 2" xfId="473" xr:uid="{25A1F573-409E-4F48-965E-61B4EA6F9EE0}"/>
    <cellStyle name="A 2 2" xfId="508" xr:uid="{7E296811-57A9-44FD-BABC-157AC0C6E6DA}"/>
    <cellStyle name="A 3" xfId="493" xr:uid="{88DAFE87-CD12-4FFA-B642-C1B98CAE4D06}"/>
    <cellStyle name="Actual Date" xfId="315" xr:uid="{3C1EEAFE-5C98-4B09-9C67-69BE3C46AAFB}"/>
    <cellStyle name="AeE­ [0]_INQUIRY ¿μ¾÷AßAø " xfId="316" xr:uid="{CC22ECC2-FDAF-4CB2-9EFE-B58D3668AB22}"/>
    <cellStyle name="AeE­_INQUIRY ¿μ¾÷AßAø " xfId="317" xr:uid="{925A0DB2-7905-4316-B75B-6CDF81FB234E}"/>
    <cellStyle name="args.style" xfId="318" xr:uid="{46C74701-469B-4218-B9C2-98762DEC2377}"/>
    <cellStyle name="AÞ¸¶ [0]_INQUIRY ¿?¾÷AßAø " xfId="319" xr:uid="{8C3A6F05-ACE4-435C-95B1-3CCF49DE510B}"/>
    <cellStyle name="AÞ¸¶_INQUIRY ¿?¾÷AßAø " xfId="320" xr:uid="{83FA3E8E-CA2F-4AAA-A507-0B3D690F66A6}"/>
    <cellStyle name="b" xfId="321" xr:uid="{A3B5939C-BD63-4527-BA39-7825F53F1DF2}"/>
    <cellStyle name="Blue,Bold,12pt" xfId="322" xr:uid="{32677BAC-4BEC-435D-8422-E125AB48507A}"/>
    <cellStyle name="Blue,Bold,14pt" xfId="323" xr:uid="{1B1EE7BC-73AD-42FB-B1D5-717CF299137B}"/>
    <cellStyle name="Bold,10pt" xfId="324" xr:uid="{60FAA8D9-4C36-457F-9A38-9E16F22345FE}"/>
    <cellStyle name="Border" xfId="325" xr:uid="{00D5E90B-67E2-471B-8B13-D1779482FB89}"/>
    <cellStyle name="Border 2" xfId="474" xr:uid="{46CFABE9-CAE6-4D2F-82C3-6905FD004FC9}"/>
    <cellStyle name="Border 2 2" xfId="509" xr:uid="{7BD57D98-933A-4091-B4F2-7A8F6ED1057E}"/>
    <cellStyle name="Border 3" xfId="494" xr:uid="{B79D53BD-FC0B-42B5-9C52-A87085EB2116}"/>
    <cellStyle name="C?AØ_¿?¾÷CoE² " xfId="326" xr:uid="{AD688954-FD57-4B45-A3F3-A9A2211DA82F}"/>
    <cellStyle name="C￥AØ_¿μ¾÷CoE² " xfId="327" xr:uid="{149D9AE6-9E9F-4885-BAEF-0B71448924F2}"/>
    <cellStyle name="Calc Currency (0)" xfId="50" xr:uid="{00000000-0005-0000-0000-000032000000}"/>
    <cellStyle name="Calc Currency (0) 2" xfId="328" xr:uid="{ADF3FA85-5057-4F9B-A441-287EAE3205B8}"/>
    <cellStyle name="Calc Currency (2)" xfId="51" xr:uid="{00000000-0005-0000-0000-000033000000}"/>
    <cellStyle name="Calc Currency (2) 2" xfId="329" xr:uid="{A433D0D8-C0A2-4570-8D61-BD6BF27EC0EC}"/>
    <cellStyle name="Calc Percent (0)" xfId="52" xr:uid="{00000000-0005-0000-0000-000034000000}"/>
    <cellStyle name="Calc Percent (0) 2" xfId="330" xr:uid="{876D568D-DDAE-4340-9C2A-B2522E5100C4}"/>
    <cellStyle name="Calc Percent (1)" xfId="53" xr:uid="{00000000-0005-0000-0000-000035000000}"/>
    <cellStyle name="Calc Percent (1) 2" xfId="331" xr:uid="{42B1FF2D-CE89-4F99-A89D-22CA04BECECE}"/>
    <cellStyle name="Calc Percent (2)" xfId="54" xr:uid="{00000000-0005-0000-0000-000036000000}"/>
    <cellStyle name="Calc Percent (2) 2" xfId="332" xr:uid="{BF9145F6-9C5D-4C7C-88AF-0E67A8B87C68}"/>
    <cellStyle name="Calc Units (0)" xfId="55" xr:uid="{00000000-0005-0000-0000-000037000000}"/>
    <cellStyle name="Calc Units (0) 2" xfId="475" xr:uid="{9FF84CF6-F650-42DE-9038-9BDAE64DFB86}"/>
    <cellStyle name="Calc Units (0) 2 2" xfId="510" xr:uid="{29AE26BB-2690-4813-A701-945CCB47AE75}"/>
    <cellStyle name="Calc Units (0) 3" xfId="333" xr:uid="{B3960683-3BF2-4003-BCBC-8252068E176F}"/>
    <cellStyle name="Calc Units (0) 3 2" xfId="495" xr:uid="{8BD27A03-7F02-44E0-9BCA-049CE55229E2}"/>
    <cellStyle name="Calc Units (1)" xfId="56" xr:uid="{00000000-0005-0000-0000-000038000000}"/>
    <cellStyle name="Calc Units (1) 2" xfId="334" xr:uid="{2A3EF08E-56C2-44FD-A75C-0D7D38276DE7}"/>
    <cellStyle name="Calc Units (2)" xfId="57" xr:uid="{00000000-0005-0000-0000-000039000000}"/>
    <cellStyle name="Calc Units (2) 2" xfId="335" xr:uid="{4AF4399F-5A06-4FC9-ADF2-100445BFF0DE}"/>
    <cellStyle name="category" xfId="336" xr:uid="{E533FC3A-2C92-4A99-A717-22307A7F5824}"/>
    <cellStyle name="Comma  - Style1" xfId="337" xr:uid="{21E9C08C-7EF9-4BA3-A9CE-3E4B500C50CF}"/>
    <cellStyle name="Comma  - Style2" xfId="338" xr:uid="{B4384EBB-FFD6-4308-B809-8BC894DF46DB}"/>
    <cellStyle name="Comma  - Style3" xfId="339" xr:uid="{3E8A4004-0EA9-4E3D-8F08-6696DE8A2576}"/>
    <cellStyle name="Comma  - Style4" xfId="340" xr:uid="{B266A8CB-599C-42F4-9676-012D9F001DBF}"/>
    <cellStyle name="Comma  - Style5" xfId="341" xr:uid="{755770BD-B867-4A94-9B37-D9760814A5E1}"/>
    <cellStyle name="Comma  - Style6" xfId="342" xr:uid="{6AE07835-E62A-43FE-8568-CAE010F44F34}"/>
    <cellStyle name="Comma  - Style7" xfId="343" xr:uid="{C7A2BB93-7A14-45D1-BA6F-D038721846A7}"/>
    <cellStyle name="Comma  - Style8" xfId="344" xr:uid="{911BF8BE-85D4-4501-8A91-391CB9EC05B9}"/>
    <cellStyle name="Comma [0]_!!!GO" xfId="345" xr:uid="{34259763-504D-4958-A0DA-30568D84A24D}"/>
    <cellStyle name="Comma [00]" xfId="58" xr:uid="{00000000-0005-0000-0000-00003B000000}"/>
    <cellStyle name="Comma [00] 2" xfId="476" xr:uid="{2EE7DAE6-2455-4F1D-97B5-E3A671C5A4DC}"/>
    <cellStyle name="Comma [00] 2 2" xfId="511" xr:uid="{1F965651-A464-4AD8-942E-8067840D4EDC}"/>
    <cellStyle name="Comma [00] 3" xfId="346" xr:uid="{45FB4D0A-B631-4C1D-A3A1-EAC9ABC6FB7B}"/>
    <cellStyle name="Comma [00] 3 2" xfId="496" xr:uid="{7A6CFE75-A765-47E0-B39C-F6638D5DE9EE}"/>
    <cellStyle name="comma zerodec" xfId="347" xr:uid="{B615B2D4-83EA-4CCC-BE3A-E26B57FDC01C}"/>
    <cellStyle name="Comma_!!!GO" xfId="348" xr:uid="{C3A55817-6497-4A4F-902D-4F3E6281F691}"/>
    <cellStyle name="Comma0" xfId="349" xr:uid="{6A7D27F1-21B6-4405-96EC-C5B06ED16174}"/>
    <cellStyle name="Comma0 - Modelo1" xfId="350" xr:uid="{F6DDA9C5-757B-4C95-83A5-2C858E7F3E68}"/>
    <cellStyle name="Comma0 - Style1" xfId="351" xr:uid="{713DBBFB-A6C5-4EB7-8F05-0E5B70F150C9}"/>
    <cellStyle name="Comma0_Book1" xfId="352" xr:uid="{A42FAAB2-3C5A-42B8-AAB3-E7089D579147}"/>
    <cellStyle name="Comma1 - Modelo2" xfId="353" xr:uid="{740A2FB1-F90F-4E94-BCE8-0901F378B87A}"/>
    <cellStyle name="Comma1 - Style2" xfId="354" xr:uid="{2DE98C2B-16EE-4F14-8EE9-8B1E83E25E7C}"/>
    <cellStyle name="Copied" xfId="355" xr:uid="{F259E70D-2B25-4F46-A388-0BEAABE359FA}"/>
    <cellStyle name="COST1" xfId="356" xr:uid="{3004AEAD-6CFE-4657-87DC-9E301ADBC8DA}"/>
    <cellStyle name="Currency [0]_!!!GO" xfId="357" xr:uid="{2F8B56E1-B3AE-4A76-8A54-DC9C499827C7}"/>
    <cellStyle name="Currency [00]" xfId="59" xr:uid="{00000000-0005-0000-0000-00003E000000}"/>
    <cellStyle name="Currency [00] 2" xfId="358" xr:uid="{CBC5D649-7E2B-4227-A8E2-5C3DFFCE855E}"/>
    <cellStyle name="Currency_!!!GO" xfId="359" xr:uid="{618FA8C4-F122-42E1-A9E8-9590182262C3}"/>
    <cellStyle name="Currency0" xfId="360" xr:uid="{BE86E59F-0762-404F-8F93-78E3AFA5CC46}"/>
    <cellStyle name="Currency1" xfId="361" xr:uid="{C164503C-8A7A-45E8-94D0-151030C7EFD5}"/>
    <cellStyle name="custom" xfId="362" xr:uid="{801D5933-FAD6-476A-AE65-82A216973D60}"/>
    <cellStyle name="Cyndie" xfId="363" xr:uid="{9AF1A36A-DE03-41AF-BCB9-DA42AFC36561}"/>
    <cellStyle name="Date" xfId="364" xr:uid="{7FFDF8F2-0D88-4E35-8DDE-38A41C36DB72}"/>
    <cellStyle name="Date Short" xfId="60" xr:uid="{00000000-0005-0000-0000-000040000000}"/>
    <cellStyle name="Date_Book1" xfId="365" xr:uid="{7AE4BD9F-AA04-4244-BC74-6790A8192973}"/>
    <cellStyle name="DELTA" xfId="61" xr:uid="{00000000-0005-0000-0000-000041000000}"/>
    <cellStyle name="DESKTOP - ME" xfId="366" xr:uid="{6DC1A78A-FA62-49A9-9643-20E77AF056D3}"/>
    <cellStyle name="Dia" xfId="367" xr:uid="{ABA2BF3E-7581-465D-B246-A33269784E87}"/>
    <cellStyle name="Dollar (zero dec)" xfId="368" xr:uid="{14130809-562D-4F3C-8538-FB1E269F92D1}"/>
    <cellStyle name="Encabez1" xfId="369" xr:uid="{D94FAAC0-31F8-4F93-9BC8-FFDB88AFD868}"/>
    <cellStyle name="Encabez2" xfId="370" xr:uid="{0D7328A8-07C5-43D0-8B35-377BFA51960F}"/>
    <cellStyle name="Enter Currency (0)" xfId="62" xr:uid="{00000000-0005-0000-0000-000042000000}"/>
    <cellStyle name="Enter Currency (0) 2" xfId="477" xr:uid="{186D4953-120F-41D0-8FB8-1C98CD0FAAD8}"/>
    <cellStyle name="Enter Currency (0) 2 2" xfId="512" xr:uid="{F526D40A-E2E9-4F5D-AD67-1D676078C82B}"/>
    <cellStyle name="Enter Currency (0) 3" xfId="371" xr:uid="{978DD7F7-1331-4032-9089-7C200C7CFCB8}"/>
    <cellStyle name="Enter Currency (0) 3 2" xfId="497" xr:uid="{A1260941-D306-4FCA-86EF-A9AA41201D75}"/>
    <cellStyle name="Enter Currency (2)" xfId="63" xr:uid="{00000000-0005-0000-0000-000043000000}"/>
    <cellStyle name="Enter Currency (2) 2" xfId="372" xr:uid="{0F9DC3B4-F562-429E-8148-A42849A371FD}"/>
    <cellStyle name="Enter Units (0)" xfId="64" xr:uid="{00000000-0005-0000-0000-000044000000}"/>
    <cellStyle name="Enter Units (0) 2" xfId="478" xr:uid="{5AFE0493-0679-44A7-ABE5-7ED0D0D97976}"/>
    <cellStyle name="Enter Units (0) 2 2" xfId="513" xr:uid="{95E912B7-946B-4E38-A761-C27DA831848C}"/>
    <cellStyle name="Enter Units (0) 3" xfId="373" xr:uid="{68A596CC-5CF8-487D-85A1-91C1D8695528}"/>
    <cellStyle name="Enter Units (0) 3 2" xfId="498" xr:uid="{FE690994-7725-4FC7-9FCB-57F9127107B3}"/>
    <cellStyle name="Enter Units (1)" xfId="65" xr:uid="{00000000-0005-0000-0000-000045000000}"/>
    <cellStyle name="Enter Units (1) 2" xfId="374" xr:uid="{8956D9A2-CECB-430B-8515-7CC200A01314}"/>
    <cellStyle name="Enter Units (2)" xfId="66" xr:uid="{00000000-0005-0000-0000-000046000000}"/>
    <cellStyle name="Enter Units (2) 2" xfId="375" xr:uid="{4740766C-D478-4D10-B7E5-1550A58809AA}"/>
    <cellStyle name="Entered" xfId="376" xr:uid="{8D359C69-876E-4196-9C0A-BA314FFE143A}"/>
    <cellStyle name="F2" xfId="377" xr:uid="{E4F8471D-B57E-4CDB-8D32-E7BE4CFE8583}"/>
    <cellStyle name="F3" xfId="378" xr:uid="{157A8EBF-E64E-4AE4-9CA4-1C72D57580BD}"/>
    <cellStyle name="F4" xfId="379" xr:uid="{A987A6B7-6507-420D-8192-482C1023E6E1}"/>
    <cellStyle name="F5" xfId="380" xr:uid="{217BA3E0-D691-434D-85B1-29F72DCB318B}"/>
    <cellStyle name="F6" xfId="381" xr:uid="{C0AEA62C-86E6-4708-9C6A-19AC4091F2F7}"/>
    <cellStyle name="F7" xfId="382" xr:uid="{95BB2FC0-C3CF-4AEC-ACBD-3C5450E98D99}"/>
    <cellStyle name="F8" xfId="383" xr:uid="{A28D7AA5-05DB-475C-BDE0-0D71A55BA0B4}"/>
    <cellStyle name="Fijo" xfId="384" xr:uid="{5B459AB1-AD67-4FF2-9BFA-C9D7FB1967E0}"/>
    <cellStyle name="Financiero" xfId="385" xr:uid="{AC501D0F-328C-4F89-8193-8E907A0FCFB4}"/>
    <cellStyle name="Fixed" xfId="386" xr:uid="{7DF3EC84-5B73-4626-99CE-5EE859BD145C}"/>
    <cellStyle name="ƒp[ƒZƒ“ƒg_pldt" xfId="387" xr:uid="{AFA53BF0-B7ED-4772-B18C-3EC33E8132A5}"/>
    <cellStyle name="Grey" xfId="388" xr:uid="{74EA4A3A-D557-47A9-A002-6805B47CBCE9}"/>
    <cellStyle name="HEADER" xfId="389" xr:uid="{63AC6560-D7A5-4146-9C06-EAEF078F356F}"/>
    <cellStyle name="Header1" xfId="67" xr:uid="{00000000-0005-0000-0000-000047000000}"/>
    <cellStyle name="Header2" xfId="68" xr:uid="{00000000-0005-0000-0000-000048000000}"/>
    <cellStyle name="Header2 2" xfId="221" xr:uid="{76E7ECBF-4A3F-43CA-98ED-19DB0168564E}"/>
    <cellStyle name="Heading 1" xfId="390" xr:uid="{6399C30B-B7F9-4A2E-A079-AD05EC2DA79F}"/>
    <cellStyle name="Heading 2" xfId="391" xr:uid="{434524A5-8CD1-4622-85F7-2C58FE82CF90}"/>
    <cellStyle name="Heading1" xfId="392" xr:uid="{C803F7BC-7E54-488D-A72A-D76A5912886B}"/>
    <cellStyle name="Heading2" xfId="393" xr:uid="{171EDD1C-0363-4FBD-BD31-F9F223E86FBA}"/>
    <cellStyle name="HEADINGS" xfId="394" xr:uid="{21602B09-C904-4EDD-A2BE-AA7E96787D75}"/>
    <cellStyle name="HEADINGSTOP" xfId="395" xr:uid="{DD66919D-0851-4E52-8B3D-34FE2BE4426F}"/>
    <cellStyle name="HIGHLIGHT" xfId="396" xr:uid="{F1ACD05C-FDA3-4792-AB9F-6653DF8DEE55}"/>
    <cellStyle name="Hyperlink_PERSONAL" xfId="397" xr:uid="{B62C7662-8DFD-4A6B-A51A-ECDA4BE29C9D}"/>
    <cellStyle name="Input [yellow]" xfId="398" xr:uid="{0FDD8CC1-DD62-4C23-867C-53983FD25C35}"/>
    <cellStyle name="Input Cells" xfId="399" xr:uid="{8C729FA3-9D8B-4534-8FE4-E20908EB39B5}"/>
    <cellStyle name="Item Title" xfId="400" xr:uid="{614C5221-8F50-4B19-8D9F-20E0C870C51F}"/>
    <cellStyle name="Item1" xfId="401" xr:uid="{28162FC9-0244-4492-8886-D159044F6F66}"/>
    <cellStyle name="Link Currency (0)" xfId="69" xr:uid="{00000000-0005-0000-0000-00004A000000}"/>
    <cellStyle name="Link Currency (0) 2" xfId="479" xr:uid="{97D5B19C-9C35-4AFE-B003-392BCE623507}"/>
    <cellStyle name="Link Currency (0) 2 2" xfId="514" xr:uid="{FF273AC4-35CA-4DA1-9903-F6B0EF8350D5}"/>
    <cellStyle name="Link Currency (0) 3" xfId="402" xr:uid="{A7AF36E9-5C95-48D8-88ED-BF1F2F6E9ECC}"/>
    <cellStyle name="Link Currency (0) 3 2" xfId="499" xr:uid="{62C37170-A5B0-4AD3-8932-FEA33EFB31CB}"/>
    <cellStyle name="Link Currency (2)" xfId="70" xr:uid="{00000000-0005-0000-0000-00004B000000}"/>
    <cellStyle name="Link Currency (2) 2" xfId="403" xr:uid="{E3D390BF-E16D-4F56-9EFC-45FE91CC0F61}"/>
    <cellStyle name="Link Units (0)" xfId="71" xr:uid="{00000000-0005-0000-0000-00004C000000}"/>
    <cellStyle name="Link Units (0) 2" xfId="480" xr:uid="{921EAE28-21FE-4792-82C6-CCBA0CC69BEF}"/>
    <cellStyle name="Link Units (0) 2 2" xfId="515" xr:uid="{C68C84A5-75D7-4536-8A92-F0302DFD574E}"/>
    <cellStyle name="Link Units (0) 3" xfId="404" xr:uid="{9F53A381-C818-426C-A0E1-D7AE68FDF64C}"/>
    <cellStyle name="Link Units (0) 3 2" xfId="500" xr:uid="{239A686B-24C2-4A8E-BBC0-4A6EA7B63DC5}"/>
    <cellStyle name="Link Units (1)" xfId="72" xr:uid="{00000000-0005-0000-0000-00004D000000}"/>
    <cellStyle name="Link Units (1) 2" xfId="405" xr:uid="{C3419944-0736-47B4-A89A-E5C1D8B9B820}"/>
    <cellStyle name="Link Units (2)" xfId="73" xr:uid="{00000000-0005-0000-0000-00004E000000}"/>
    <cellStyle name="Link Units (2) 2" xfId="406" xr:uid="{A2177B4C-2EB2-4BA8-BAEE-CEB6F85F26E3}"/>
    <cellStyle name="Linked Cells" xfId="407" xr:uid="{7C352425-88EA-48DE-A912-0A9324798627}"/>
    <cellStyle name="Millares [0]_10 AVERIAS MASIVAS + ANT" xfId="408" xr:uid="{95855566-BDE6-4E0D-A201-A6B0ADD1CBAB}"/>
    <cellStyle name="Millares_10 AVERIAS MASIVAS + ANT" xfId="409" xr:uid="{5D1018CA-F165-4772-A5A4-49F8AE16A0C9}"/>
    <cellStyle name="Milliers [0]_!!!GO" xfId="410" xr:uid="{25021FE6-C56C-45DA-A71B-3CCD742E3116}"/>
    <cellStyle name="Milliers_!!!GO" xfId="411" xr:uid="{C3E527F8-0572-4B58-AC7B-67B543089968}"/>
    <cellStyle name="Moneda [0]_10 AVERIAS MASIVAS + ANT" xfId="412" xr:uid="{60225EFC-2726-4A2B-8895-0C334DA774CB}"/>
    <cellStyle name="Moneda_10 AVERIAS MASIVAS + ANT" xfId="413" xr:uid="{E9037112-B06A-417D-9359-EF19CD4B5E67}"/>
    <cellStyle name="Monétaire [0]_!!!GO" xfId="414" xr:uid="{FD3E6F27-F1FC-45CE-8E4C-F8153BEE59F2}"/>
    <cellStyle name="Monétaire_!!!GO" xfId="415" xr:uid="{ADDF5B0B-A138-462F-AF33-600DD1317306}"/>
    <cellStyle name="Needs Work" xfId="416" xr:uid="{87EC33D4-AEF3-4981-9AB9-0CAE88BFF0EB}"/>
    <cellStyle name="Needs Work 2" xfId="481" xr:uid="{1D8D0998-F536-4B72-8E98-702F8B83D055}"/>
    <cellStyle name="Needs Work 2 2" xfId="516" xr:uid="{8C12AAC1-CD17-4103-9970-EF58C79C7B62}"/>
    <cellStyle name="Needs Work 3" xfId="501" xr:uid="{44203B00-CA99-460A-99CC-B565F71A6D37}"/>
    <cellStyle name="New Times Roman" xfId="417" xr:uid="{EB0333A4-CD38-4ED0-AEBF-EA2B70051034}"/>
    <cellStyle name="no dec" xfId="418" xr:uid="{9ED56311-1D89-4D30-A139-BA714C70784D}"/>
    <cellStyle name="Norm੎੎" xfId="142" xr:uid="{A3EB3118-37ED-4137-8543-733C0424FC55}"/>
    <cellStyle name="Norm੎੎ 2" xfId="2" xr:uid="{00000000-0005-0000-0000-00004F000000}"/>
    <cellStyle name="Norm੎੎ 3" xfId="419" xr:uid="{EBB421BB-03AB-4B0A-8999-72F886086B42}"/>
    <cellStyle name="Normal - Style1" xfId="74" xr:uid="{00000000-0005-0000-0000-000050000000}"/>
    <cellStyle name="Normal - Style1 2" xfId="420" xr:uid="{F93C7893-310E-4C18-A37D-1F62E8D7A039}"/>
    <cellStyle name="Normal 1" xfId="75" xr:uid="{00000000-0005-0000-0000-000051000000}"/>
    <cellStyle name="Normal_!!!GO" xfId="421" xr:uid="{A136A883-DC9B-4551-A3CE-B9336F3F315A}"/>
    <cellStyle name="number-red" xfId="422" xr:uid="{F6A18FE6-0A07-47ED-8D30-EC66D2AACE09}"/>
    <cellStyle name="Œ…‹æØ‚è [0.00]_laroux" xfId="423" xr:uid="{2B0A482B-F22C-435C-97FE-07E9D700AE02}"/>
    <cellStyle name="Œ…‹æØ‚è_laroux" xfId="424" xr:uid="{17A44413-A60B-4C5F-8B21-84578D8732CC}"/>
    <cellStyle name="per.style" xfId="425" xr:uid="{767B0FC2-791E-4AA8-87BF-109A9C78E687}"/>
    <cellStyle name="Percent [0]" xfId="76" xr:uid="{00000000-0005-0000-0000-000053000000}"/>
    <cellStyle name="Percent [0] 2" xfId="426" xr:uid="{3096F9A3-55C1-4191-99D0-765926E21FEB}"/>
    <cellStyle name="Percent [00]" xfId="77" xr:uid="{00000000-0005-0000-0000-000054000000}"/>
    <cellStyle name="Percent [00] 2" xfId="427" xr:uid="{7006AF8C-CCCC-4A96-863E-6C98B0A10FC1}"/>
    <cellStyle name="Percent [2]" xfId="428" xr:uid="{450F5DC6-8631-4196-8BC8-5888EA67186A}"/>
    <cellStyle name="Percent_#6 Temps &amp; Contractors" xfId="78" xr:uid="{00000000-0005-0000-0000-000055000000}"/>
    <cellStyle name="PrePop Currency (0)" xfId="79" xr:uid="{00000000-0005-0000-0000-000056000000}"/>
    <cellStyle name="PrePop Currency (0) 2" xfId="482" xr:uid="{975A7207-99C7-42C5-8161-9D8E150BE92A}"/>
    <cellStyle name="PrePop Currency (0) 2 2" xfId="517" xr:uid="{154B39F5-86AA-4DF0-A667-754101E0FEEF}"/>
    <cellStyle name="PrePop Currency (0) 3" xfId="429" xr:uid="{9438FACD-E196-4114-BF83-2A725F1AE71E}"/>
    <cellStyle name="PrePop Currency (0) 3 2" xfId="502" xr:uid="{6F11AF86-AF2E-4724-96B5-6EFE6EB6E0BA}"/>
    <cellStyle name="PrePop Currency (2)" xfId="80" xr:uid="{00000000-0005-0000-0000-000057000000}"/>
    <cellStyle name="PrePop Currency (2) 2" xfId="430" xr:uid="{45142DF9-FA33-445E-A90C-2C632F111FF0}"/>
    <cellStyle name="PrePop Units (0)" xfId="81" xr:uid="{00000000-0005-0000-0000-000058000000}"/>
    <cellStyle name="PrePop Units (0) 2" xfId="483" xr:uid="{16006807-DA6C-4ACB-8320-898A71030F57}"/>
    <cellStyle name="PrePop Units (0) 2 2" xfId="518" xr:uid="{23A407E9-11BD-4F07-919A-FF80BE88A14C}"/>
    <cellStyle name="PrePop Units (0) 3" xfId="431" xr:uid="{76BC3FB5-E669-481C-88B9-C69DA6C80F6C}"/>
    <cellStyle name="PrePop Units (0) 3 2" xfId="503" xr:uid="{1C053365-4F02-4100-A43F-8A3E757D7A65}"/>
    <cellStyle name="PrePop Units (1)" xfId="82" xr:uid="{00000000-0005-0000-0000-000059000000}"/>
    <cellStyle name="PrePop Units (1) 2" xfId="432" xr:uid="{A5F8C49A-77DC-44A2-BD7F-383FD29C4462}"/>
    <cellStyle name="PrePop Units (2)" xfId="83" xr:uid="{00000000-0005-0000-0000-00005A000000}"/>
    <cellStyle name="PrePop Units (2) 2" xfId="433" xr:uid="{7881FDDD-BF94-40C1-B3EE-C60CE2510E02}"/>
    <cellStyle name="pricing" xfId="434" xr:uid="{8C6C489C-6B49-4D75-B55E-6780B0D640F2}"/>
    <cellStyle name="pricing 2" xfId="484" xr:uid="{659B667B-7546-4163-BB85-42A1A7B26402}"/>
    <cellStyle name="pricing 2 2" xfId="519" xr:uid="{5622ED27-FA7A-48CC-92A3-28FC341A9057}"/>
    <cellStyle name="pricing 3" xfId="504" xr:uid="{ADDD75F6-760E-4AE8-895A-EC684D19F341}"/>
    <cellStyle name="PSChar" xfId="435" xr:uid="{D2911BF5-2892-482C-B6F5-14E699FCEDBF}"/>
    <cellStyle name="PSDate" xfId="436" xr:uid="{677A3FC0-A7EE-4D48-9997-0FE21523D123}"/>
    <cellStyle name="PSDec" xfId="437" xr:uid="{82CB2858-5F7B-41C3-A430-F90147F92B71}"/>
    <cellStyle name="PSHeading" xfId="438" xr:uid="{5FB12DAC-496F-49EA-B47A-95A22E68188D}"/>
    <cellStyle name="PSInt" xfId="439" xr:uid="{000F02CF-C75E-42F9-846B-191A77F01B05}"/>
    <cellStyle name="PSSpacer" xfId="440" xr:uid="{F34709A3-CDC9-4431-A015-993137D50CA5}"/>
    <cellStyle name="QDF" xfId="441" xr:uid="{8C0FF2C7-2678-4A75-B035-593BF97EF84E}"/>
    <cellStyle name="Red,Bold,12pt" xfId="442" xr:uid="{F429CB9D-6A2E-46A5-8F8D-02F19E3CD5B1}"/>
    <cellStyle name="regstoresfromspecstores" xfId="443" xr:uid="{E422F710-BBD5-4333-B1E8-717675ED818B}"/>
    <cellStyle name="RevList" xfId="444" xr:uid="{3E01282D-16A6-403B-923B-0B303EE2BCB4}"/>
    <cellStyle name="shade" xfId="445" xr:uid="{5D65EDE3-0F5A-4E22-BEA8-88DD72384331}"/>
    <cellStyle name="SHADEDSTORES" xfId="446" xr:uid="{BEF369F6-D88A-4987-9117-8543E3029ED4}"/>
    <cellStyle name="specstores" xfId="447" xr:uid="{6B163CF4-40BC-4FC8-80BF-C61949F57F0A}"/>
    <cellStyle name="STANDARD" xfId="448" xr:uid="{74D21C4F-D223-42C1-831C-DDA1AFDF0A23}"/>
    <cellStyle name="Subtotal" xfId="449" xr:uid="{F7883766-746D-4584-B358-6F591706EC7E}"/>
    <cellStyle name="taples Plaza" xfId="450" xr:uid="{99768645-ED13-4B7E-9188-CC0845533349}"/>
    <cellStyle name="Text Indent A" xfId="84" xr:uid="{00000000-0005-0000-0000-00005B000000}"/>
    <cellStyle name="Text Indent B" xfId="85" xr:uid="{00000000-0005-0000-0000-00005C000000}"/>
    <cellStyle name="Text Indent B 2" xfId="451" xr:uid="{28A778DA-3E4D-464A-BB9E-5B103AE90C1D}"/>
    <cellStyle name="Text Indent C" xfId="86" xr:uid="{00000000-0005-0000-0000-00005D000000}"/>
    <cellStyle name="Text Indent C 2" xfId="452" xr:uid="{8A1AB5C7-F854-4191-8920-2B5C4D92272C}"/>
    <cellStyle name="Total" xfId="453" xr:uid="{F79C24A7-A4EC-494B-A290-EF0A287A2DC7}"/>
    <cellStyle name="UP" xfId="454" xr:uid="{C72A4CD1-2B86-4D3A-8A9C-E6AB6B772994}"/>
    <cellStyle name="一般" xfId="0" builtinId="0"/>
    <cellStyle name="一般 10" xfId="190" xr:uid="{CADB9BAE-BBE8-45A2-B850-9D8059BAF442}"/>
    <cellStyle name="一般 11" xfId="261" xr:uid="{DFEE1687-2F00-4FAA-A01E-F909AADD8805}"/>
    <cellStyle name="一般 2" xfId="3" xr:uid="{00000000-0005-0000-0000-00005F000000}"/>
    <cellStyle name="一般 2 2" xfId="10" xr:uid="{00000000-0005-0000-0000-000060000000}"/>
    <cellStyle name="一般 2 2 2" xfId="136" xr:uid="{00000000-0005-0000-0000-000061000000}"/>
    <cellStyle name="一般 2 2 3" xfId="106" xr:uid="{00000000-0005-0000-0000-000062000000}"/>
    <cellStyle name="一般 2 2 4" xfId="230" xr:uid="{B135502F-4C30-4FCD-9A84-0C1CCF22BD1B}"/>
    <cellStyle name="一般 2 3" xfId="14" xr:uid="{00000000-0005-0000-0000-000063000000}"/>
    <cellStyle name="一般 2 3 2" xfId="125" xr:uid="{00000000-0005-0000-0000-000064000000}"/>
    <cellStyle name="一般 2 3 3" xfId="231" xr:uid="{E0A35916-869F-479E-8F82-A7A3B3B175F0}"/>
    <cellStyle name="一般 2 3 3 2" xfId="260" xr:uid="{A3E15C40-6D29-4722-8867-B5E7F03FBA4F}"/>
    <cellStyle name="一般 2 4" xfId="145" xr:uid="{3F9B1122-A37E-4BB9-BA6F-A87B1F28C5B5}"/>
    <cellStyle name="一般 2 4 2" xfId="265" xr:uid="{4511B824-F0D9-451E-B18B-120B38D8766D}"/>
    <cellStyle name="一般 2 5" xfId="139" xr:uid="{355B2E87-12FD-4B6C-B34E-DC4385390C25}"/>
    <cellStyle name="一般 2 6" xfId="192" xr:uid="{5B62CA05-93FC-4D12-8793-FE634FBF2F74}"/>
    <cellStyle name="一般 3" xfId="4" xr:uid="{00000000-0005-0000-0000-000065000000}"/>
    <cellStyle name="一般 3 2" xfId="17" xr:uid="{00000000-0005-0000-0000-000066000000}"/>
    <cellStyle name="一般 3 3" xfId="87" xr:uid="{00000000-0005-0000-0000-000067000000}"/>
    <cellStyle name="一般 3 3 2" xfId="146" xr:uid="{F5E683A6-EC0E-43D5-BF72-72926187ED2D}"/>
    <cellStyle name="一般 3 4" xfId="140" xr:uid="{1EFAC49F-01B4-496F-9A59-6034716EDFB8}"/>
    <cellStyle name="一般 3 5" xfId="191" xr:uid="{9E93C43C-6AC1-411F-B9C4-1397BBB11841}"/>
    <cellStyle name="一般 4" xfId="8" xr:uid="{00000000-0005-0000-0000-000068000000}"/>
    <cellStyle name="一般 4 2" xfId="15" xr:uid="{00000000-0005-0000-0000-000069000000}"/>
    <cellStyle name="一般 4 3" xfId="147" xr:uid="{F10F9575-71A1-4E08-97F4-220FFB553C14}"/>
    <cellStyle name="一般 4 4" xfId="143" xr:uid="{13D3D6EB-EF71-444D-ACA9-E5AA98B0EA2B}"/>
    <cellStyle name="一般 5" xfId="9" xr:uid="{00000000-0005-0000-0000-00006A000000}"/>
    <cellStyle name="一般 6" xfId="12" xr:uid="{00000000-0005-0000-0000-00006B000000}"/>
    <cellStyle name="一般 7" xfId="19" xr:uid="{00000000-0005-0000-0000-00006C000000}"/>
    <cellStyle name="一般 7 2" xfId="144" xr:uid="{260EF768-A606-4E20-92DE-F171777148EB}"/>
    <cellStyle name="一般 7 2 2" xfId="266" xr:uid="{4AAC5D96-4848-4401-8054-B4655AFA86F2}"/>
    <cellStyle name="一般 7 2 3" xfId="488" xr:uid="{8BCE575F-F238-4645-8057-26C12407DF4D}"/>
    <cellStyle name="一般 7 3" xfId="219" xr:uid="{79758356-61B8-4A26-94E1-37DCE07BB1EB}"/>
    <cellStyle name="一般 7 3 2" xfId="258" xr:uid="{F9FCAF1E-AF9F-497B-BF25-CD2DAB3E410E}"/>
    <cellStyle name="一般 7 3 3" xfId="267" xr:uid="{20F993DB-62CF-44C0-BB2D-56FF435B0487}"/>
    <cellStyle name="一般 7 3 4" xfId="489" xr:uid="{581DDDA3-33F8-42C9-94B8-BE9E41707FF3}"/>
    <cellStyle name="一般 7 4" xfId="236" xr:uid="{223924A1-6CDD-4F7F-A17E-486D5BFD403C}"/>
    <cellStyle name="一般 7 5" xfId="264" xr:uid="{AAF9A007-D36A-4FA8-A3DD-1664FC77E9B0}"/>
    <cellStyle name="一般 7 6" xfId="487" xr:uid="{4ADAE6AC-EB0F-476C-A289-DEE82F76FD7B}"/>
    <cellStyle name="一般 8" xfId="137" xr:uid="{00000000-0005-0000-0000-00006D000000}"/>
    <cellStyle name="一般 8 2" xfId="268" xr:uid="{B576EE5B-5106-4A20-9DA5-7C40B19D4BDD}"/>
    <cellStyle name="一般 9" xfId="138" xr:uid="{162B1CB7-D0AF-4215-A0B1-ECC14E91AB88}"/>
    <cellStyle name="一般 9 2" xfId="237" xr:uid="{50B11000-1464-42D1-8EFE-F5351D8C9FF5}"/>
    <cellStyle name="一般_S_BOMP_BomForm_~6274372 2 2" xfId="5" xr:uid="{00000000-0005-0000-0000-00006F000000}"/>
    <cellStyle name="千分位" xfId="11" builtinId="3"/>
    <cellStyle name="千分位 2" xfId="13" xr:uid="{00000000-0005-0000-0000-000071000000}"/>
    <cellStyle name="千分位 2 2" xfId="149" xr:uid="{5320D9D5-80F0-4874-A305-8B843A8B2319}"/>
    <cellStyle name="千分位 2 2 2" xfId="239" xr:uid="{E0C609F5-A133-4337-B28E-84DF7A279C45}"/>
    <cellStyle name="千分位 2 3" xfId="235" xr:uid="{DC56023D-9C60-474E-BA2F-2123E682BB99}"/>
    <cellStyle name="千分位 2 4" xfId="263" xr:uid="{17433B2D-3A5E-4D65-AE61-7FAA4CCCCC42}"/>
    <cellStyle name="千分位 2 5" xfId="486" xr:uid="{D86304DE-FFFF-4205-8EF9-256044982B98}"/>
    <cellStyle name="千分位 3" xfId="148" xr:uid="{365B29A8-04EB-4A96-850A-2A108C254E63}"/>
    <cellStyle name="千分位 3 2" xfId="238" xr:uid="{510130E4-ADC1-49B0-B856-9E0B2EF6E197}"/>
    <cellStyle name="千分位 4" xfId="234" xr:uid="{6B046485-A802-4FE0-9D8A-FA7AF2E1ECD6}"/>
    <cellStyle name="千分位 5" xfId="262" xr:uid="{87302A85-3E00-40CF-A966-AACBC5720A67}"/>
    <cellStyle name="千分位 6" xfId="485" xr:uid="{B8A784AF-42F1-466B-8535-DEF1E22D75BF}"/>
    <cellStyle name="中等" xfId="157" builtinId="28" customBuiltin="1"/>
    <cellStyle name="中等 2" xfId="193" xr:uid="{511B69AE-4D11-4097-94D7-37545FE4F284}"/>
    <cellStyle name="计算" xfId="194" xr:uid="{287B4750-29D7-497D-AA73-C5F36FA59ABE}"/>
    <cellStyle name="计算 2" xfId="222" xr:uid="{1B9311BB-8276-464E-AEBF-CD6615F32346}"/>
    <cellStyle name="未定義" xfId="455" xr:uid="{868DE4B2-B287-4FCD-B317-4C6ABCB2D605}"/>
    <cellStyle name="汇总" xfId="88" xr:uid="{00000000-0005-0000-0000-000090000000}"/>
    <cellStyle name="汇总 2" xfId="223" xr:uid="{5F5B296C-81E5-478C-B62B-2B9B14641211}"/>
    <cellStyle name="合計" xfId="165" builtinId="25" customBuiltin="1"/>
    <cellStyle name="合計 2" xfId="126" xr:uid="{00000000-0005-0000-0000-000072000000}"/>
    <cellStyle name="合計 3" xfId="224" xr:uid="{D012F0F6-3706-44FA-B080-C431F3966733}"/>
    <cellStyle name="好" xfId="155" builtinId="26" customBuiltin="1"/>
    <cellStyle name="好 2" xfId="127" xr:uid="{00000000-0005-0000-0000-000073000000}"/>
    <cellStyle name="昗弨_4.13 J88" xfId="456" xr:uid="{8EFA3754-CB1E-467B-857B-72088FF4CF9A}"/>
    <cellStyle name="注释" xfId="89" xr:uid="{00000000-0005-0000-0000-000074000000}"/>
    <cellStyle name="注释 2" xfId="225" xr:uid="{C4EBA0C3-6D8C-4F35-8D79-C233451AB4D1}"/>
    <cellStyle name="标题" xfId="195" xr:uid="{3225B9F7-C36C-4EAD-A018-59AEA5B5F0B1}"/>
    <cellStyle name="标题 1" xfId="196" xr:uid="{96E12B80-C7C5-4082-854E-20EFFF05759C}"/>
    <cellStyle name="标题 2" xfId="197" xr:uid="{64C3759B-E320-421E-9CF4-A06E723208DC}"/>
    <cellStyle name="标题 3" xfId="198" xr:uid="{C6F0704F-8B45-4C88-BECA-139DBD930C7E}"/>
    <cellStyle name="标题 4" xfId="199" xr:uid="{0D86D5B5-B86B-4A2F-BA92-3C33D71B1433}"/>
    <cellStyle name="計算方式" xfId="160" builtinId="22" customBuiltin="1"/>
    <cellStyle name="計算方式 2" xfId="200" xr:uid="{1E8DE50E-BBCD-4E1A-8BD8-55B912F0DC56}"/>
    <cellStyle name="計算方式 3" xfId="226" xr:uid="{A0B6DF31-0D76-4A50-9076-AA3F3BF7AD13}"/>
    <cellStyle name="差" xfId="201" xr:uid="{4B68423A-A70D-4AE1-B5E7-AE702B942C32}"/>
    <cellStyle name="样式 1" xfId="90" xr:uid="{00000000-0005-0000-0000-000075000000}"/>
    <cellStyle name="桁?切? [0.00]_PERSONAL" xfId="91" xr:uid="{00000000-0005-0000-0000-000076000000}"/>
    <cellStyle name="桁?切?_PERSONAL" xfId="92" xr:uid="{00000000-0005-0000-0000-000077000000}"/>
    <cellStyle name="适中" xfId="202" xr:uid="{E198CC90-44FB-445A-9FD8-D330B6D491E2}"/>
    <cellStyle name="常规 2" xfId="6" xr:uid="{00000000-0005-0000-0000-000078000000}"/>
    <cellStyle name="常规 2 2" xfId="93" xr:uid="{00000000-0005-0000-0000-000079000000}"/>
    <cellStyle name="常规 3" xfId="7" xr:uid="{00000000-0005-0000-0000-00007A000000}"/>
    <cellStyle name="常规 6" xfId="16" xr:uid="{00000000-0005-0000-0000-00007B000000}"/>
    <cellStyle name="检查单元格" xfId="203" xr:uid="{51512DBD-82FC-48DD-B62D-AAE2B1EF6B94}"/>
    <cellStyle name="貨幣[0]_laroux" xfId="94" xr:uid="{00000000-0005-0000-0000-00007C000000}"/>
    <cellStyle name="通貨 [0.00]_PERSONAL" xfId="95" xr:uid="{00000000-0005-0000-0000-00007D000000}"/>
    <cellStyle name="通貨_PERSONAL" xfId="96" xr:uid="{00000000-0005-0000-0000-00007E000000}"/>
    <cellStyle name="連結的儲存格" xfId="161" builtinId="24" customBuiltin="1"/>
    <cellStyle name="連結的儲存格 2" xfId="128" xr:uid="{00000000-0005-0000-0000-00007F000000}"/>
    <cellStyle name="똿뗦먛귟 [0.00]_PRODUCT DETAIL Q1" xfId="457" xr:uid="{CAD430E7-1662-4DEB-8FCD-490CDD14ECA3}"/>
    <cellStyle name="똿뗦먛귟_PRODUCT DETAIL Q1" xfId="458" xr:uid="{34FB6D90-91D7-4E50-A578-8C1589C7F08B}"/>
    <cellStyle name="備註 2" xfId="129" xr:uid="{00000000-0005-0000-0000-000080000000}"/>
    <cellStyle name="備註 2 2" xfId="220" xr:uid="{1D614F91-F361-4BEB-8F5E-0AE4E0360A18}"/>
    <cellStyle name="備註 2 2 2" xfId="259" xr:uid="{F50EB2B0-D3D2-49F8-A764-E55B1C2CB8B2}"/>
    <cellStyle name="備註 3" xfId="227" xr:uid="{F0A580A3-E888-4E07-B09C-7D6B0A381A10}"/>
    <cellStyle name="强调文字颜色 1" xfId="97" xr:uid="{00000000-0005-0000-0000-000081000000}"/>
    <cellStyle name="强调文字颜色 2" xfId="98" xr:uid="{00000000-0005-0000-0000-000082000000}"/>
    <cellStyle name="强调文字颜色 3" xfId="99" xr:uid="{00000000-0005-0000-0000-000083000000}"/>
    <cellStyle name="强调文字颜色 4" xfId="100" xr:uid="{00000000-0005-0000-0000-000084000000}"/>
    <cellStyle name="强调文字颜色 5" xfId="101" xr:uid="{00000000-0005-0000-0000-000085000000}"/>
    <cellStyle name="强调文字颜色 6" xfId="102" xr:uid="{00000000-0005-0000-0000-000086000000}"/>
    <cellStyle name="链接单元格" xfId="103" xr:uid="{00000000-0005-0000-0000-000091000000}"/>
    <cellStyle name="解释性文本" xfId="204" xr:uid="{1C211A6C-4DC4-4273-ABA4-635617515375}"/>
    <cellStyle name="输入" xfId="205" xr:uid="{CDF73716-8734-4E5A-AECA-D31EDAE089A2}"/>
    <cellStyle name="输入 2" xfId="228" xr:uid="{523F668A-41CF-4D11-98BC-AD48DDDEB7B6}"/>
    <cellStyle name="输出" xfId="206" xr:uid="{BA743C03-CC58-48EC-A7AB-9B2C1B0BD37E}"/>
    <cellStyle name="输出 2" xfId="229" xr:uid="{BB41CA6E-B0D1-473F-8DA4-BB9172FE2A75}"/>
    <cellStyle name="說明文字" xfId="164" builtinId="53" customBuiltin="1"/>
    <cellStyle name="說明文字 2" xfId="207" xr:uid="{85C8B8D7-9A81-4CF7-9123-EC5F04B8BA88}"/>
    <cellStyle name="輔色1" xfId="166" builtinId="29" customBuiltin="1"/>
    <cellStyle name="輔色1 2" xfId="130" xr:uid="{00000000-0005-0000-0000-000087000000}"/>
    <cellStyle name="輔色2" xfId="170" builtinId="33" customBuiltin="1"/>
    <cellStyle name="輔色2 2" xfId="131" xr:uid="{00000000-0005-0000-0000-000088000000}"/>
    <cellStyle name="輔色3" xfId="174" builtinId="37" customBuiltin="1"/>
    <cellStyle name="輔色3 2" xfId="132" xr:uid="{00000000-0005-0000-0000-000089000000}"/>
    <cellStyle name="輔色4" xfId="178" builtinId="41" customBuiltin="1"/>
    <cellStyle name="輔色4 2" xfId="133" xr:uid="{00000000-0005-0000-0000-00008A000000}"/>
    <cellStyle name="輔色5" xfId="182" builtinId="45" customBuiltin="1"/>
    <cellStyle name="輔色5 2" xfId="134" xr:uid="{00000000-0005-0000-0000-00008B000000}"/>
    <cellStyle name="輔色6" xfId="186" builtinId="49" customBuiltin="1"/>
    <cellStyle name="輔色6 2" xfId="135" xr:uid="{00000000-0005-0000-0000-00008C000000}"/>
    <cellStyle name="標準_4.13 J88" xfId="459" xr:uid="{A88B9587-B3B7-48C7-BECF-34A175E4A10D}"/>
    <cellStyle name="標題" xfId="150" builtinId="15" customBuiltin="1"/>
    <cellStyle name="標題 1" xfId="151" builtinId="16" customBuiltin="1"/>
    <cellStyle name="標題 1 2" xfId="209" xr:uid="{234DD8A5-0DBC-45C8-8938-B63CE050D8F5}"/>
    <cellStyle name="標題 2" xfId="152" builtinId="17" customBuiltin="1"/>
    <cellStyle name="標題 2 2" xfId="210" xr:uid="{69391B22-0A3C-449D-B370-3059F2CF39A9}"/>
    <cellStyle name="標題 3" xfId="153" builtinId="18" customBuiltin="1"/>
    <cellStyle name="標題 3 2" xfId="211" xr:uid="{843F8CCB-1E18-4F69-A010-659189121CF1}"/>
    <cellStyle name="標題 4" xfId="154" builtinId="19" customBuiltin="1"/>
    <cellStyle name="標題 4 2" xfId="212" xr:uid="{CB5A6887-D33D-4F5F-8024-C98D15D2D463}"/>
    <cellStyle name="標題 5" xfId="208" xr:uid="{CD2B5273-6920-4938-B5F3-8FE791EA3C6B}"/>
    <cellStyle name="樣式 1" xfId="141" xr:uid="{3F8DCDD1-013B-4C97-AFA1-DF76905CB1C9}"/>
    <cellStyle name="樣式 1 2" xfId="460" xr:uid="{57A3DCB0-201A-4043-8D31-346174326BBC}"/>
    <cellStyle name="艎" xfId="104" xr:uid="{00000000-0005-0000-0000-00008E000000}"/>
    <cellStyle name="艎 2" xfId="105" xr:uid="{00000000-0005-0000-0000-00008F000000}"/>
    <cellStyle name="輸入" xfId="158" builtinId="20" customBuiltin="1"/>
    <cellStyle name="輸入 2" xfId="213" xr:uid="{CA06EC38-8590-4DA9-9A9A-1EB5C9C86976}"/>
    <cellStyle name="輸入 3" xfId="232" xr:uid="{CF8E11E1-8521-42CA-9788-BF53BE6BBA53}"/>
    <cellStyle name="輸出" xfId="159" builtinId="21" customBuiltin="1"/>
    <cellStyle name="輸出 2" xfId="214" xr:uid="{EC07977F-39FC-47FB-A95F-EB6152895E66}"/>
    <cellStyle name="輸出 3" xfId="233" xr:uid="{73EABA27-BC22-4932-8331-9F5CA0EEAB25}"/>
    <cellStyle name="檢查儲存格" xfId="162" builtinId="23" customBuiltin="1"/>
    <cellStyle name="檢查儲存格 2" xfId="215" xr:uid="{32FAE180-C75D-4EBD-ADD4-C99EF70D0AD6}"/>
    <cellStyle name="믅됞 [0.00]_PRODUCT DETAIL Q1" xfId="461" xr:uid="{B4455FCC-8B6D-451B-95D6-1CB34AA0C5A5}"/>
    <cellStyle name="믅됞_PRODUCT DETAIL Q1" xfId="462" xr:uid="{82A9DC56-DD3B-4C2E-89B5-C1A7D0E1CCAA}"/>
    <cellStyle name="백분율_HOBONG" xfId="463" xr:uid="{93670359-5B2E-4441-8AB6-07CBA6F07DB2}"/>
    <cellStyle name="壞" xfId="156" builtinId="27" customBuiltin="1"/>
    <cellStyle name="壞 2" xfId="216" xr:uid="{F2EB0D7D-2A1F-4F46-BBE3-A0DB24CB6506}"/>
    <cellStyle name="뷭?_BOOKSHIP" xfId="464" xr:uid="{E066B4CD-0045-450A-851C-52DCB40232BC}"/>
    <cellStyle name="警告文本" xfId="217" xr:uid="{695682BF-C4A2-429F-A51A-FF3CAA1E2825}"/>
    <cellStyle name="警告文字" xfId="163" builtinId="11" customBuiltin="1"/>
    <cellStyle name="警告文字 2" xfId="218" xr:uid="{A64CB316-7304-44D1-ADC7-4F679CCBB637}"/>
    <cellStyle name="콤마 [0]_  종  합  " xfId="465" xr:uid="{2CD511F5-AAB9-40A4-ADCB-9EBCAED875D1}"/>
    <cellStyle name="콤마_  종  합  " xfId="466" xr:uid="{AF683285-7027-4AEF-B6A7-091CA3EB1F72}"/>
    <cellStyle name="통화 [0]_  종  합  " xfId="467" xr:uid="{6777D1AE-08D9-4C0C-8FD3-7A1BF87EA70F}"/>
    <cellStyle name="통화_  종  합  " xfId="468" xr:uid="{9EEA95FC-4861-467E-A81C-D13E3215A67B}"/>
    <cellStyle name="표준_  종  합  " xfId="469" xr:uid="{E736C1CD-CB96-40A7-934B-96AF61C2D8F4}"/>
  </cellStyles>
  <dxfs count="900">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0" tint="-0.34998626667073579"/>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4" tint="0.39994506668294322"/>
        </patternFill>
      </fill>
    </dxf>
    <dxf>
      <fill>
        <patternFill>
          <bgColor theme="6" tint="0.79998168889431442"/>
        </patternFill>
      </fill>
    </dxf>
    <dxf>
      <fill>
        <patternFill>
          <bgColor theme="4"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0" tint="-0.34998626667073579"/>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4" tint="0.39994506668294322"/>
        </patternFill>
      </fill>
    </dxf>
    <dxf>
      <fill>
        <patternFill>
          <bgColor theme="6" tint="0.79998168889431442"/>
        </patternFill>
      </fill>
    </dxf>
    <dxf>
      <fill>
        <patternFill>
          <bgColor theme="4"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6" tint="0.79998168889431442"/>
        </patternFill>
      </fill>
    </dxf>
    <dxf>
      <fill>
        <patternFill>
          <bgColor theme="4" tint="0.79998168889431442"/>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4" tint="0.39994506668294322"/>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4" tint="0.79998168889431442"/>
        </patternFill>
      </fill>
    </dxf>
    <dxf>
      <fill>
        <patternFill>
          <bgColor theme="4" tint="0.39994506668294322"/>
        </patternFill>
      </fill>
    </dxf>
    <dxf>
      <fill>
        <patternFill>
          <bgColor theme="6" tint="0.79998168889431442"/>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4" tint="0.39994506668294322"/>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4" tint="0.79998168889431442"/>
        </patternFill>
      </fill>
    </dxf>
    <dxf>
      <fill>
        <patternFill>
          <bgColor theme="4" tint="0.39994506668294322"/>
        </patternFill>
      </fill>
    </dxf>
    <dxf>
      <fill>
        <patternFill>
          <bgColor theme="6" tint="0.79998168889431442"/>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4" tint="0.39994506668294322"/>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4" tint="0.39994506668294322"/>
        </patternFill>
      </fill>
    </dxf>
    <dxf>
      <fill>
        <patternFill>
          <bgColor theme="0" tint="-0.34998626667073579"/>
        </patternFill>
      </fill>
    </dxf>
    <dxf>
      <fill>
        <patternFill>
          <bgColor theme="6" tint="0.79998168889431442"/>
        </patternFill>
      </fill>
    </dxf>
    <dxf>
      <fill>
        <patternFill>
          <bgColor theme="4" tint="0.79998168889431442"/>
        </patternFill>
      </fill>
    </dxf>
    <dxf>
      <fill>
        <patternFill>
          <bgColor rgb="FFFFFF00"/>
        </patternFill>
      </fill>
    </dxf>
    <dxf>
      <fill>
        <patternFill>
          <bgColor rgb="FFFFFF00"/>
        </patternFill>
      </fill>
    </dxf>
    <dxf>
      <fill>
        <patternFill>
          <bgColor rgb="FFFFFF00"/>
        </patternFill>
      </fill>
    </dxf>
    <dxf>
      <fill>
        <patternFill>
          <bgColor theme="0" tint="-0.34998626667073579"/>
        </patternFill>
      </fill>
    </dxf>
    <dxf>
      <fill>
        <patternFill>
          <bgColor theme="4" tint="0.39994506668294322"/>
        </patternFill>
      </fill>
    </dxf>
    <dxf>
      <fill>
        <patternFill>
          <bgColor theme="4" tint="0.79998168889431442"/>
        </patternFill>
      </fill>
    </dxf>
    <dxf>
      <fill>
        <patternFill>
          <bgColor theme="6"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4" tint="0.39994506668294322"/>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0" tint="-0.34998626667073579"/>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0" tint="-0.34998626667073579"/>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0" tint="-0.34998626667073579"/>
        </patternFill>
      </fill>
    </dxf>
    <dxf>
      <fill>
        <patternFill>
          <bgColor theme="4" tint="0.3999450666829432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4" tint="0.39994506668294322"/>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79998168889431442"/>
        </patternFill>
      </fill>
    </dxf>
    <dxf>
      <fill>
        <patternFill>
          <bgColor theme="4" tint="0.39994506668294322"/>
        </patternFill>
      </fill>
    </dxf>
    <dxf>
      <fill>
        <patternFill>
          <bgColor theme="0" tint="-0.34998626667073579"/>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theme="6" tint="0.79998168889431442"/>
        </patternFill>
      </fill>
    </dxf>
    <dxf>
      <fill>
        <patternFill>
          <bgColor theme="4" tint="0.39994506668294322"/>
        </patternFill>
      </fill>
    </dxf>
    <dxf>
      <fill>
        <patternFill>
          <bgColor theme="0" tint="-0.34998626667073579"/>
        </patternFill>
      </fill>
    </dxf>
    <dxf>
      <fill>
        <patternFill>
          <bgColor theme="4" tint="0.79998168889431442"/>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Medium9"/>
  <colors>
    <mruColors>
      <color rgb="FF0000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72390</xdr:colOff>
      <xdr:row>0</xdr:row>
      <xdr:rowOff>0</xdr:rowOff>
    </xdr:from>
    <xdr:to>
      <xdr:col>22</xdr:col>
      <xdr:colOff>549471</xdr:colOff>
      <xdr:row>34</xdr:row>
      <xdr:rowOff>56113</xdr:rowOff>
    </xdr:to>
    <xdr:pic>
      <xdr:nvPicPr>
        <xdr:cNvPr id="2" name="圖片 1">
          <a:extLst>
            <a:ext uri="{FF2B5EF4-FFF2-40B4-BE49-F238E27FC236}">
              <a16:creationId xmlns:a16="http://schemas.microsoft.com/office/drawing/2014/main" id="{B6D7B0AB-5359-454E-8D02-F3E3FAD29D70}"/>
            </a:ext>
          </a:extLst>
        </xdr:cNvPr>
        <xdr:cNvPicPr>
          <a:picLocks noChangeAspect="1"/>
        </xdr:cNvPicPr>
      </xdr:nvPicPr>
      <xdr:blipFill>
        <a:blip xmlns:r="http://schemas.openxmlformats.org/officeDocument/2006/relationships" r:embed="rId1"/>
        <a:stretch>
          <a:fillRect/>
        </a:stretch>
      </xdr:blipFill>
      <xdr:spPr>
        <a:xfrm>
          <a:off x="12600940" y="0"/>
          <a:ext cx="5963481" cy="6317213"/>
        </a:xfrm>
        <a:prstGeom prst="rect">
          <a:avLst/>
        </a:prstGeom>
      </xdr:spPr>
    </xdr:pic>
    <xdr:clientData/>
  </xdr:twoCellAnchor>
  <xdr:twoCellAnchor editAs="oneCell">
    <xdr:from>
      <xdr:col>6</xdr:col>
      <xdr:colOff>87630</xdr:colOff>
      <xdr:row>0</xdr:row>
      <xdr:rowOff>17720</xdr:rowOff>
    </xdr:from>
    <xdr:to>
      <xdr:col>12</xdr:col>
      <xdr:colOff>588645</xdr:colOff>
      <xdr:row>6</xdr:row>
      <xdr:rowOff>25201</xdr:rowOff>
    </xdr:to>
    <xdr:pic>
      <xdr:nvPicPr>
        <xdr:cNvPr id="3" name="圖片 2">
          <a:extLst>
            <a:ext uri="{FF2B5EF4-FFF2-40B4-BE49-F238E27FC236}">
              <a16:creationId xmlns:a16="http://schemas.microsoft.com/office/drawing/2014/main" id="{211E9F3F-F1D4-464F-ACD0-7FEF4AA2C0C7}"/>
            </a:ext>
          </a:extLst>
        </xdr:cNvPr>
        <xdr:cNvPicPr>
          <a:picLocks noChangeAspect="1"/>
        </xdr:cNvPicPr>
      </xdr:nvPicPr>
      <xdr:blipFill>
        <a:blip xmlns:r="http://schemas.openxmlformats.org/officeDocument/2006/relationships" r:embed="rId2"/>
        <a:stretch>
          <a:fillRect/>
        </a:stretch>
      </xdr:blipFill>
      <xdr:spPr>
        <a:xfrm>
          <a:off x="8348980" y="17720"/>
          <a:ext cx="4158615" cy="11123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
  <sheetViews>
    <sheetView zoomScale="115" zoomScaleNormal="115" workbookViewId="0">
      <pane ySplit="2" topLeftCell="A21" activePane="bottomLeft" state="frozen"/>
      <selection activeCell="C17" sqref="C17"/>
      <selection pane="bottomLeft" activeCell="K32" sqref="K32"/>
    </sheetView>
  </sheetViews>
  <sheetFormatPr defaultColWidth="8.90625" defaultRowHeight="15.5"/>
  <cols>
    <col min="1" max="1" width="4.90625" style="9" bestFit="1" customWidth="1"/>
    <col min="2" max="2" width="10.08984375" style="9" bestFit="1" customWidth="1"/>
    <col min="3" max="3" width="70.36328125" style="9" customWidth="1"/>
    <col min="4" max="4" width="7.7265625" style="9" bestFit="1" customWidth="1"/>
    <col min="5" max="5" width="10.90625" style="9" bestFit="1" customWidth="1"/>
    <col min="6" max="6" width="4.7265625" style="9" bestFit="1" customWidth="1"/>
    <col min="7" max="7" width="27.7265625" style="9" bestFit="1" customWidth="1"/>
    <col min="8" max="8" width="27.36328125" style="9" bestFit="1" customWidth="1"/>
    <col min="9" max="9" width="14.90625" style="9" bestFit="1" customWidth="1"/>
    <col min="10" max="10" width="11.7265625" style="9" customWidth="1"/>
    <col min="11" max="11" width="4.90625" style="9" bestFit="1" customWidth="1"/>
    <col min="12" max="12" width="27" style="9" hidden="1" customWidth="1"/>
    <col min="13" max="16384" width="8.90625" style="9"/>
  </cols>
  <sheetData>
    <row r="1" spans="1:12" ht="19" thickBot="1">
      <c r="A1" s="166" t="s">
        <v>28</v>
      </c>
      <c r="B1" s="167"/>
      <c r="C1" s="167"/>
      <c r="D1" s="167"/>
      <c r="E1" s="167"/>
      <c r="F1" s="167"/>
      <c r="G1" s="167"/>
      <c r="H1" s="167"/>
      <c r="I1" s="167"/>
      <c r="J1" s="167"/>
      <c r="K1" s="168"/>
      <c r="L1" s="148"/>
    </row>
    <row r="2" spans="1:12" s="23" customFormat="1" ht="14.5">
      <c r="A2" s="46" t="s">
        <v>23</v>
      </c>
      <c r="B2" s="46" t="s">
        <v>24</v>
      </c>
      <c r="C2" s="46" t="s">
        <v>25</v>
      </c>
      <c r="D2" s="46" t="s">
        <v>26</v>
      </c>
      <c r="E2" s="46" t="s">
        <v>27</v>
      </c>
      <c r="F2" s="46" t="s">
        <v>33</v>
      </c>
      <c r="G2" s="139" t="s">
        <v>307</v>
      </c>
      <c r="H2" s="138" t="s">
        <v>695</v>
      </c>
      <c r="I2" s="88" t="s">
        <v>472</v>
      </c>
      <c r="J2" s="75" t="s">
        <v>352</v>
      </c>
      <c r="K2" s="73" t="s">
        <v>350</v>
      </c>
      <c r="L2" s="51" t="s">
        <v>180</v>
      </c>
    </row>
    <row r="3" spans="1:12" s="23" customFormat="1" ht="14.5">
      <c r="A3" s="11" t="s">
        <v>126</v>
      </c>
      <c r="B3" s="12">
        <v>45645</v>
      </c>
      <c r="C3" s="13" t="s">
        <v>160</v>
      </c>
      <c r="D3" s="11" t="s">
        <v>32</v>
      </c>
      <c r="E3" s="11" t="s">
        <v>130</v>
      </c>
      <c r="F3" s="14"/>
      <c r="G3" s="24"/>
      <c r="H3" s="24"/>
      <c r="I3" s="24"/>
      <c r="J3" s="24"/>
      <c r="K3" s="24"/>
      <c r="L3" s="24"/>
    </row>
    <row r="4" spans="1:12" s="23" customFormat="1" ht="116">
      <c r="A4" s="11" t="s">
        <v>177</v>
      </c>
      <c r="B4" s="12">
        <v>45651</v>
      </c>
      <c r="C4" s="13" t="s">
        <v>182</v>
      </c>
      <c r="D4" s="11" t="s">
        <v>32</v>
      </c>
      <c r="E4" s="11" t="s">
        <v>178</v>
      </c>
      <c r="F4" s="14"/>
      <c r="G4" s="24" t="s">
        <v>181</v>
      </c>
      <c r="H4" s="24"/>
      <c r="I4" s="24"/>
      <c r="J4" s="24"/>
      <c r="K4" s="24"/>
      <c r="L4" s="24" t="s">
        <v>181</v>
      </c>
    </row>
    <row r="5" spans="1:12" s="23" customFormat="1" ht="145">
      <c r="A5" s="11" t="s">
        <v>228</v>
      </c>
      <c r="B5" s="12">
        <v>45653</v>
      </c>
      <c r="C5" s="13" t="s">
        <v>227</v>
      </c>
      <c r="D5" s="11" t="s">
        <v>32</v>
      </c>
      <c r="E5" s="11" t="s">
        <v>178</v>
      </c>
      <c r="F5" s="14"/>
      <c r="G5" s="24" t="s">
        <v>181</v>
      </c>
      <c r="H5" s="24"/>
      <c r="I5" s="24"/>
      <c r="J5" s="24"/>
      <c r="K5" s="24"/>
      <c r="L5" s="24" t="s">
        <v>181</v>
      </c>
    </row>
    <row r="6" spans="1:12" s="23" customFormat="1" ht="43.5">
      <c r="A6" s="11" t="s">
        <v>229</v>
      </c>
      <c r="B6" s="12">
        <v>45659</v>
      </c>
      <c r="C6" s="13" t="s">
        <v>261</v>
      </c>
      <c r="D6" s="11" t="s">
        <v>32</v>
      </c>
      <c r="E6" s="11" t="s">
        <v>178</v>
      </c>
      <c r="F6" s="14"/>
      <c r="G6" s="24" t="s">
        <v>181</v>
      </c>
      <c r="H6" s="24"/>
      <c r="I6" s="24"/>
      <c r="J6" s="24"/>
      <c r="K6" s="24"/>
      <c r="L6" s="24"/>
    </row>
    <row r="7" spans="1:12" s="23" customFormat="1" ht="29">
      <c r="A7" s="11" t="s">
        <v>266</v>
      </c>
      <c r="B7" s="12">
        <v>45660</v>
      </c>
      <c r="C7" s="13" t="s">
        <v>282</v>
      </c>
      <c r="D7" s="11" t="s">
        <v>32</v>
      </c>
      <c r="E7" s="11" t="s">
        <v>178</v>
      </c>
      <c r="F7" s="14"/>
      <c r="G7" s="24" t="s">
        <v>181</v>
      </c>
      <c r="H7" s="24"/>
      <c r="I7" s="24"/>
      <c r="J7" s="24"/>
      <c r="K7" s="24"/>
      <c r="L7" s="24"/>
    </row>
    <row r="8" spans="1:12" s="23" customFormat="1" ht="116">
      <c r="A8" s="11" t="s">
        <v>283</v>
      </c>
      <c r="B8" s="12">
        <v>45664</v>
      </c>
      <c r="C8" s="13" t="s">
        <v>708</v>
      </c>
      <c r="D8" s="11" t="s">
        <v>32</v>
      </c>
      <c r="E8" s="11" t="s">
        <v>178</v>
      </c>
      <c r="F8" s="14"/>
      <c r="G8" s="24" t="s">
        <v>181</v>
      </c>
      <c r="H8" s="24" t="s">
        <v>181</v>
      </c>
      <c r="I8" s="24"/>
      <c r="J8" s="24"/>
      <c r="K8" s="24"/>
      <c r="L8" s="24"/>
    </row>
    <row r="9" spans="1:12" s="23" customFormat="1" ht="58">
      <c r="A9" s="11" t="s">
        <v>319</v>
      </c>
      <c r="B9" s="12">
        <v>45666</v>
      </c>
      <c r="C9" s="13" t="s">
        <v>324</v>
      </c>
      <c r="D9" s="11" t="s">
        <v>32</v>
      </c>
      <c r="E9" s="11" t="s">
        <v>178</v>
      </c>
      <c r="F9" s="14"/>
      <c r="G9" s="24" t="s">
        <v>181</v>
      </c>
      <c r="H9" s="24" t="s">
        <v>181</v>
      </c>
      <c r="I9" s="24"/>
      <c r="J9" s="24"/>
      <c r="K9" s="24"/>
      <c r="L9" s="24"/>
    </row>
    <row r="10" spans="1:12" s="23" customFormat="1" ht="87">
      <c r="A10" s="11" t="s">
        <v>325</v>
      </c>
      <c r="B10" s="12">
        <v>45672</v>
      </c>
      <c r="C10" s="13" t="s">
        <v>340</v>
      </c>
      <c r="D10" s="11" t="s">
        <v>32</v>
      </c>
      <c r="E10" s="11" t="s">
        <v>178</v>
      </c>
      <c r="F10" s="14"/>
      <c r="G10" s="24" t="s">
        <v>181</v>
      </c>
      <c r="H10" s="24" t="s">
        <v>181</v>
      </c>
      <c r="I10" s="24"/>
      <c r="J10" s="24"/>
      <c r="K10" s="24"/>
      <c r="L10" s="24"/>
    </row>
    <row r="11" spans="1:12" s="23" customFormat="1" ht="14.5">
      <c r="A11" s="11" t="s">
        <v>342</v>
      </c>
      <c r="B11" s="12">
        <v>45673</v>
      </c>
      <c r="C11" s="13" t="s">
        <v>349</v>
      </c>
      <c r="D11" s="11" t="s">
        <v>32</v>
      </c>
      <c r="E11" s="11" t="s">
        <v>178</v>
      </c>
      <c r="F11" s="14"/>
      <c r="G11" s="24" t="s">
        <v>181</v>
      </c>
      <c r="H11" s="24" t="s">
        <v>181</v>
      </c>
      <c r="I11" s="24"/>
      <c r="J11" s="24"/>
      <c r="K11" s="24" t="s">
        <v>181</v>
      </c>
      <c r="L11" s="24"/>
    </row>
    <row r="12" spans="1:12" s="23" customFormat="1" ht="72.5">
      <c r="A12" s="11" t="s">
        <v>351</v>
      </c>
      <c r="B12" s="12">
        <v>45674</v>
      </c>
      <c r="C12" s="13" t="s">
        <v>417</v>
      </c>
      <c r="D12" s="11" t="s">
        <v>32</v>
      </c>
      <c r="E12" s="11" t="s">
        <v>178</v>
      </c>
      <c r="F12" s="14"/>
      <c r="G12" s="24" t="s">
        <v>181</v>
      </c>
      <c r="H12" s="24" t="s">
        <v>181</v>
      </c>
      <c r="I12" s="24"/>
      <c r="J12" s="24" t="s">
        <v>181</v>
      </c>
      <c r="K12" s="24"/>
      <c r="L12" s="24"/>
    </row>
    <row r="13" spans="1:12" s="23" customFormat="1" ht="72.5">
      <c r="A13" s="11" t="s">
        <v>419</v>
      </c>
      <c r="B13" s="12">
        <v>45680</v>
      </c>
      <c r="C13" s="13" t="s">
        <v>598</v>
      </c>
      <c r="D13" s="11" t="s">
        <v>32</v>
      </c>
      <c r="E13" s="11" t="s">
        <v>178</v>
      </c>
      <c r="F13" s="14"/>
      <c r="G13" s="24" t="s">
        <v>181</v>
      </c>
      <c r="H13" s="24" t="s">
        <v>181</v>
      </c>
      <c r="I13" s="24" t="s">
        <v>181</v>
      </c>
      <c r="J13" s="24" t="s">
        <v>181</v>
      </c>
      <c r="K13" s="24"/>
      <c r="L13" s="24"/>
    </row>
    <row r="14" spans="1:12" s="23" customFormat="1" ht="159.5">
      <c r="A14" s="11" t="s">
        <v>498</v>
      </c>
      <c r="B14" s="12">
        <v>45694</v>
      </c>
      <c r="C14" s="13" t="s">
        <v>597</v>
      </c>
      <c r="D14" s="11" t="s">
        <v>32</v>
      </c>
      <c r="E14" s="11" t="s">
        <v>178</v>
      </c>
      <c r="F14" s="14"/>
      <c r="G14" s="24" t="s">
        <v>181</v>
      </c>
      <c r="H14" s="24" t="s">
        <v>181</v>
      </c>
      <c r="I14" s="24" t="s">
        <v>181</v>
      </c>
      <c r="J14" s="24"/>
      <c r="K14" s="24"/>
      <c r="L14" s="24"/>
    </row>
    <row r="15" spans="1:12" s="23" customFormat="1" ht="101.5">
      <c r="A15" s="11" t="s">
        <v>531</v>
      </c>
      <c r="B15" s="12">
        <v>45695</v>
      </c>
      <c r="C15" s="13" t="s">
        <v>568</v>
      </c>
      <c r="D15" s="11" t="s">
        <v>32</v>
      </c>
      <c r="E15" s="11" t="s">
        <v>178</v>
      </c>
      <c r="F15" s="14"/>
      <c r="G15" s="24" t="s">
        <v>181</v>
      </c>
      <c r="H15" s="24" t="s">
        <v>181</v>
      </c>
      <c r="I15" s="24" t="s">
        <v>181</v>
      </c>
      <c r="J15" s="24"/>
      <c r="K15" s="24"/>
      <c r="L15" s="24"/>
    </row>
    <row r="16" spans="1:12" s="23" customFormat="1" ht="130.5">
      <c r="A16" s="11" t="s">
        <v>590</v>
      </c>
      <c r="B16" s="12">
        <v>45696</v>
      </c>
      <c r="C16" s="13" t="s">
        <v>641</v>
      </c>
      <c r="D16" s="11" t="s">
        <v>32</v>
      </c>
      <c r="E16" s="11" t="s">
        <v>178</v>
      </c>
      <c r="F16" s="14"/>
      <c r="G16" s="24" t="s">
        <v>181</v>
      </c>
      <c r="H16" s="24" t="s">
        <v>181</v>
      </c>
      <c r="I16" s="24" t="s">
        <v>181</v>
      </c>
      <c r="J16" s="24"/>
      <c r="K16" s="24" t="s">
        <v>181</v>
      </c>
      <c r="L16" s="24"/>
    </row>
    <row r="17" spans="1:12" s="23" customFormat="1" ht="58">
      <c r="A17" s="11" t="s">
        <v>630</v>
      </c>
      <c r="B17" s="12">
        <v>45699</v>
      </c>
      <c r="C17" s="13" t="s">
        <v>636</v>
      </c>
      <c r="D17" s="11" t="s">
        <v>32</v>
      </c>
      <c r="E17" s="11" t="s">
        <v>178</v>
      </c>
      <c r="F17" s="14"/>
      <c r="G17" s="24" t="s">
        <v>181</v>
      </c>
      <c r="H17" s="24" t="s">
        <v>181</v>
      </c>
      <c r="I17" s="24"/>
      <c r="J17" s="24"/>
      <c r="K17" s="24" t="s">
        <v>181</v>
      </c>
      <c r="L17" s="24"/>
    </row>
    <row r="18" spans="1:12" s="23" customFormat="1" ht="72.5">
      <c r="A18" s="11" t="s">
        <v>640</v>
      </c>
      <c r="B18" s="12">
        <v>45702</v>
      </c>
      <c r="C18" s="13" t="s">
        <v>678</v>
      </c>
      <c r="D18" s="11" t="s">
        <v>32</v>
      </c>
      <c r="E18" s="11" t="s">
        <v>178</v>
      </c>
      <c r="F18" s="14"/>
      <c r="G18" s="24" t="s">
        <v>181</v>
      </c>
      <c r="H18" s="24" t="s">
        <v>181</v>
      </c>
      <c r="I18" s="24"/>
      <c r="J18" s="24"/>
      <c r="K18" s="24" t="s">
        <v>181</v>
      </c>
      <c r="L18" s="24"/>
    </row>
    <row r="19" spans="1:12" s="23" customFormat="1" ht="101.5">
      <c r="A19" s="11" t="s">
        <v>696</v>
      </c>
      <c r="B19" s="12">
        <v>45706</v>
      </c>
      <c r="C19" s="13" t="s">
        <v>707</v>
      </c>
      <c r="D19" s="11" t="s">
        <v>32</v>
      </c>
      <c r="E19" s="11" t="s">
        <v>178</v>
      </c>
      <c r="F19" s="14"/>
      <c r="G19" s="24" t="s">
        <v>181</v>
      </c>
      <c r="H19" s="24" t="s">
        <v>181</v>
      </c>
      <c r="I19" s="24"/>
      <c r="J19" s="24"/>
      <c r="K19" s="24"/>
      <c r="L19" s="24"/>
    </row>
    <row r="20" spans="1:12" s="23" customFormat="1" ht="58">
      <c r="A20" s="11" t="s">
        <v>709</v>
      </c>
      <c r="B20" s="12">
        <v>45708</v>
      </c>
      <c r="C20" s="13" t="s">
        <v>741</v>
      </c>
      <c r="D20" s="11" t="s">
        <v>32</v>
      </c>
      <c r="E20" s="11" t="s">
        <v>178</v>
      </c>
      <c r="F20" s="14"/>
      <c r="G20" s="24" t="s">
        <v>181</v>
      </c>
      <c r="H20" s="24" t="s">
        <v>181</v>
      </c>
      <c r="I20" s="24" t="s">
        <v>181</v>
      </c>
      <c r="J20" s="24" t="s">
        <v>181</v>
      </c>
      <c r="K20" s="24"/>
      <c r="L20" s="24"/>
    </row>
    <row r="21" spans="1:12" s="23" customFormat="1" ht="72.5">
      <c r="A21" s="11" t="s">
        <v>742</v>
      </c>
      <c r="B21" s="12">
        <v>45720</v>
      </c>
      <c r="C21" s="13" t="s">
        <v>766</v>
      </c>
      <c r="D21" s="11" t="s">
        <v>32</v>
      </c>
      <c r="E21" s="11" t="s">
        <v>178</v>
      </c>
      <c r="F21" s="14"/>
      <c r="G21" s="24" t="s">
        <v>181</v>
      </c>
      <c r="H21" s="24" t="s">
        <v>181</v>
      </c>
      <c r="I21" s="24"/>
      <c r="J21" s="24"/>
      <c r="K21" s="24"/>
      <c r="L21" s="24"/>
    </row>
    <row r="22" spans="1:12" s="23" customFormat="1" ht="14.5">
      <c r="A22" s="11" t="s">
        <v>767</v>
      </c>
      <c r="B22" s="12">
        <v>45723</v>
      </c>
      <c r="C22" s="13" t="s">
        <v>768</v>
      </c>
      <c r="D22" s="11" t="s">
        <v>32</v>
      </c>
      <c r="E22" s="11" t="s">
        <v>178</v>
      </c>
      <c r="F22" s="14"/>
      <c r="G22" s="24" t="s">
        <v>181</v>
      </c>
      <c r="H22" s="24" t="s">
        <v>181</v>
      </c>
      <c r="I22" s="24"/>
      <c r="J22" s="24"/>
      <c r="K22" s="24"/>
      <c r="L22" s="24"/>
    </row>
    <row r="23" spans="1:12" s="23" customFormat="1" ht="58">
      <c r="A23" s="11" t="s">
        <v>774</v>
      </c>
      <c r="B23" s="12">
        <v>45729</v>
      </c>
      <c r="C23" s="13" t="s">
        <v>776</v>
      </c>
      <c r="D23" s="11" t="s">
        <v>32</v>
      </c>
      <c r="E23" s="11" t="s">
        <v>178</v>
      </c>
      <c r="F23" s="14"/>
      <c r="G23" s="24" t="s">
        <v>181</v>
      </c>
      <c r="H23" s="24" t="s">
        <v>181</v>
      </c>
      <c r="I23" s="24"/>
      <c r="J23" s="24"/>
      <c r="K23" s="24"/>
      <c r="L23" s="24"/>
    </row>
    <row r="24" spans="1:12" s="23" customFormat="1" ht="58">
      <c r="A24" s="11" t="s">
        <v>777</v>
      </c>
      <c r="B24" s="12">
        <v>45734</v>
      </c>
      <c r="C24" s="13" t="s">
        <v>794</v>
      </c>
      <c r="D24" s="11" t="s">
        <v>32</v>
      </c>
      <c r="E24" s="11" t="s">
        <v>178</v>
      </c>
      <c r="F24" s="14"/>
      <c r="G24" s="24" t="s">
        <v>181</v>
      </c>
      <c r="H24" s="24" t="s">
        <v>181</v>
      </c>
      <c r="I24" s="24"/>
      <c r="J24" s="24"/>
      <c r="K24" s="24"/>
      <c r="L24" s="24"/>
    </row>
    <row r="25" spans="1:12" s="23" customFormat="1" ht="29">
      <c r="A25" s="11" t="s">
        <v>795</v>
      </c>
      <c r="B25" s="12">
        <v>45735</v>
      </c>
      <c r="C25" s="13" t="s">
        <v>809</v>
      </c>
      <c r="D25" s="11" t="s">
        <v>32</v>
      </c>
      <c r="E25" s="11" t="s">
        <v>178</v>
      </c>
      <c r="F25" s="14"/>
      <c r="G25" s="24" t="s">
        <v>181</v>
      </c>
      <c r="H25" s="24" t="s">
        <v>181</v>
      </c>
      <c r="I25" s="24" t="s">
        <v>181</v>
      </c>
      <c r="J25" s="24" t="s">
        <v>181</v>
      </c>
      <c r="K25" s="24" t="s">
        <v>181</v>
      </c>
      <c r="L25" s="24"/>
    </row>
  </sheetData>
  <mergeCells count="1">
    <mergeCell ref="A1:K1"/>
  </mergeCells>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7F707-5F93-4FA5-ABB7-A0E8CA4B02FA}">
  <dimension ref="A1:O7"/>
  <sheetViews>
    <sheetView zoomScale="115" zoomScaleNormal="115" workbookViewId="0">
      <selection activeCell="J17" sqref="J17"/>
    </sheetView>
  </sheetViews>
  <sheetFormatPr defaultColWidth="9" defaultRowHeight="15.5"/>
  <cols>
    <col min="1" max="1" width="16.6328125" style="8" bestFit="1" customWidth="1"/>
    <col min="2" max="2" width="9.08984375" style="8" bestFit="1" customWidth="1"/>
    <col min="3" max="3" width="17.26953125" style="8" bestFit="1" customWidth="1"/>
    <col min="4" max="5" width="18" style="8" bestFit="1" customWidth="1"/>
    <col min="6" max="6" width="20.26953125" style="8" bestFit="1" customWidth="1"/>
    <col min="7" max="8" width="21.08984375" style="8" bestFit="1" customWidth="1"/>
    <col min="9" max="9" width="24.08984375" style="8" bestFit="1" customWidth="1"/>
    <col min="10" max="10" width="17.453125" style="8" bestFit="1" customWidth="1"/>
    <col min="11" max="12" width="17.6328125" style="8" bestFit="1" customWidth="1"/>
    <col min="13" max="13" width="20.453125" style="8" bestFit="1" customWidth="1"/>
    <col min="14" max="15" width="20.6328125" style="8" bestFit="1" customWidth="1"/>
    <col min="16" max="16384" width="9" style="8"/>
  </cols>
  <sheetData>
    <row r="1" spans="1:15">
      <c r="C1" s="173" t="s">
        <v>654</v>
      </c>
      <c r="D1" s="174"/>
      <c r="E1" s="174"/>
      <c r="F1" s="174"/>
      <c r="G1" s="174"/>
      <c r="H1" s="174"/>
      <c r="I1" s="174"/>
      <c r="J1" s="174"/>
      <c r="K1" s="174"/>
      <c r="L1" s="174"/>
      <c r="M1" s="174"/>
      <c r="N1" s="174"/>
      <c r="O1" s="175"/>
    </row>
    <row r="2" spans="1:15">
      <c r="C2" s="169" t="s">
        <v>655</v>
      </c>
      <c r="D2" s="169"/>
      <c r="E2" s="169"/>
      <c r="F2" s="170" t="s">
        <v>658</v>
      </c>
      <c r="G2" s="170"/>
      <c r="H2" s="170"/>
      <c r="I2" s="155" t="s">
        <v>711</v>
      </c>
      <c r="J2" s="171" t="s">
        <v>659</v>
      </c>
      <c r="K2" s="171"/>
      <c r="L2" s="171"/>
      <c r="M2" s="172" t="s">
        <v>660</v>
      </c>
      <c r="N2" s="172"/>
      <c r="O2" s="172"/>
    </row>
    <row r="3" spans="1:15">
      <c r="B3" s="121" t="s">
        <v>656</v>
      </c>
      <c r="C3" s="44" t="s">
        <v>644</v>
      </c>
      <c r="D3" s="44" t="s">
        <v>661</v>
      </c>
      <c r="E3" s="44" t="s">
        <v>662</v>
      </c>
      <c r="F3" s="44" t="s">
        <v>665</v>
      </c>
      <c r="G3" s="44" t="s">
        <v>666</v>
      </c>
      <c r="H3" s="44" t="s">
        <v>667</v>
      </c>
      <c r="I3" s="44" t="s">
        <v>712</v>
      </c>
      <c r="J3" s="44" t="s">
        <v>322</v>
      </c>
      <c r="K3" s="44" t="s">
        <v>663</v>
      </c>
      <c r="L3" s="44" t="s">
        <v>664</v>
      </c>
      <c r="M3" s="44" t="s">
        <v>668</v>
      </c>
      <c r="N3" s="44" t="s">
        <v>669</v>
      </c>
      <c r="O3" s="44" t="s">
        <v>670</v>
      </c>
    </row>
    <row r="4" spans="1:15">
      <c r="B4" s="121" t="s">
        <v>657</v>
      </c>
      <c r="C4" s="44" t="s">
        <v>671</v>
      </c>
      <c r="D4" s="44" t="s">
        <v>672</v>
      </c>
      <c r="E4" s="44" t="s">
        <v>673</v>
      </c>
      <c r="F4" s="44" t="s">
        <v>671</v>
      </c>
      <c r="G4" s="44" t="s">
        <v>672</v>
      </c>
      <c r="H4" s="44" t="s">
        <v>673</v>
      </c>
      <c r="I4" s="163" t="s">
        <v>784</v>
      </c>
      <c r="J4" s="143" t="s">
        <v>34</v>
      </c>
      <c r="K4" s="143" t="s">
        <v>34</v>
      </c>
      <c r="L4" s="143" t="s">
        <v>34</v>
      </c>
      <c r="M4" s="143" t="s">
        <v>34</v>
      </c>
      <c r="N4" s="143" t="s">
        <v>34</v>
      </c>
      <c r="O4" s="143" t="s">
        <v>34</v>
      </c>
    </row>
    <row r="5" spans="1:15">
      <c r="A5" s="121" t="s">
        <v>651</v>
      </c>
      <c r="B5" s="119" t="s">
        <v>650</v>
      </c>
      <c r="C5" s="119" t="s">
        <v>674</v>
      </c>
      <c r="D5" s="44"/>
      <c r="E5" s="44"/>
      <c r="F5" s="119" t="s">
        <v>674</v>
      </c>
      <c r="G5" s="44"/>
      <c r="H5" s="44"/>
      <c r="I5" s="119" t="s">
        <v>674</v>
      </c>
      <c r="J5" s="119" t="s">
        <v>674</v>
      </c>
      <c r="K5" s="44"/>
      <c r="L5" s="44"/>
      <c r="M5" s="119" t="s">
        <v>674</v>
      </c>
      <c r="N5" s="44"/>
      <c r="O5" s="44"/>
    </row>
    <row r="6" spans="1:15">
      <c r="B6" s="120" t="s">
        <v>652</v>
      </c>
      <c r="C6" s="44"/>
      <c r="D6" s="120" t="s">
        <v>674</v>
      </c>
      <c r="E6" s="44"/>
      <c r="F6" s="44"/>
      <c r="G6" s="120" t="s">
        <v>674</v>
      </c>
      <c r="H6" s="44"/>
      <c r="I6" s="44"/>
      <c r="J6" s="44"/>
      <c r="K6" s="120" t="s">
        <v>674</v>
      </c>
      <c r="L6" s="44"/>
      <c r="M6" s="44"/>
      <c r="N6" s="120" t="s">
        <v>674</v>
      </c>
      <c r="O6" s="44"/>
    </row>
    <row r="7" spans="1:15">
      <c r="B7" s="122" t="s">
        <v>653</v>
      </c>
      <c r="C7" s="44"/>
      <c r="D7" s="44"/>
      <c r="E7" s="122" t="s">
        <v>674</v>
      </c>
      <c r="F7" s="44"/>
      <c r="G7" s="44"/>
      <c r="H7" s="122" t="s">
        <v>674</v>
      </c>
      <c r="I7" s="44"/>
      <c r="J7" s="44"/>
      <c r="K7" s="44"/>
      <c r="L7" s="122" t="s">
        <v>674</v>
      </c>
      <c r="M7" s="44"/>
      <c r="N7" s="44"/>
      <c r="O7" s="122" t="s">
        <v>674</v>
      </c>
    </row>
  </sheetData>
  <mergeCells count="5">
    <mergeCell ref="C2:E2"/>
    <mergeCell ref="F2:H2"/>
    <mergeCell ref="J2:L2"/>
    <mergeCell ref="M2:O2"/>
    <mergeCell ref="C1:O1"/>
  </mergeCells>
  <phoneticPr fontId="18"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59999389629810485"/>
  </sheetPr>
  <dimension ref="A1:AU90"/>
  <sheetViews>
    <sheetView zoomScale="70" zoomScaleNormal="70" workbookViewId="0">
      <pane ySplit="5" topLeftCell="A39" activePane="bottomLeft" state="frozen"/>
      <selection activeCell="H46" sqref="H46"/>
      <selection pane="bottomLeft" activeCell="H46" sqref="H46"/>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26953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40.36328125" style="6" customWidth="1"/>
    <col min="15" max="16" width="18.72656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30" t="str">
        <f>C6</f>
        <v>1A72BSJ00-600-G</v>
      </c>
      <c r="D3" s="26" t="s">
        <v>1</v>
      </c>
      <c r="E3" s="27" t="s">
        <v>14</v>
      </c>
      <c r="F3" s="26"/>
      <c r="G3" s="26"/>
      <c r="H3" s="26"/>
      <c r="I3" s="26"/>
      <c r="J3" s="26"/>
      <c r="K3" s="26"/>
      <c r="L3" s="26"/>
      <c r="M3" s="26"/>
      <c r="N3" s="44"/>
      <c r="O3" s="26"/>
      <c r="P3" s="26"/>
    </row>
    <row r="4" spans="1:16" s="8" customFormat="1">
      <c r="A4" s="176" t="s">
        <v>8</v>
      </c>
      <c r="B4" s="176"/>
      <c r="C4" s="89" t="str">
        <f>E6</f>
        <v>01-101139</v>
      </c>
      <c r="D4" s="26" t="s">
        <v>9</v>
      </c>
      <c r="E4" s="27" t="s">
        <v>14</v>
      </c>
      <c r="F4" s="26" t="s">
        <v>10</v>
      </c>
      <c r="G4" s="13" t="str">
        <f>G6</f>
        <v>Maxwell Mercury_L10 Compute Tray Assy_MGX-OCP, Samsung</v>
      </c>
      <c r="H4" s="26"/>
      <c r="I4" s="26"/>
      <c r="J4" s="26"/>
      <c r="K4" s="26"/>
      <c r="L4" s="26"/>
      <c r="M4" s="26"/>
      <c r="N4" s="44"/>
      <c r="O4" s="26"/>
      <c r="P4" s="26"/>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 t="shared" ref="A6:A34" si="0">ROW(A6)-5</f>
        <v>1</v>
      </c>
      <c r="B6" s="49" t="s">
        <v>36</v>
      </c>
      <c r="C6" s="52" t="s">
        <v>644</v>
      </c>
      <c r="D6" s="11" t="s">
        <v>17</v>
      </c>
      <c r="E6" s="91" t="s">
        <v>675</v>
      </c>
      <c r="F6" s="11" t="s">
        <v>14</v>
      </c>
      <c r="G6" s="13" t="s">
        <v>679</v>
      </c>
      <c r="H6" s="11" t="s">
        <v>20</v>
      </c>
      <c r="I6" s="52" t="str">
        <f>C6</f>
        <v>1A72BSJ00-600-G</v>
      </c>
      <c r="J6" s="11" t="s">
        <v>14</v>
      </c>
      <c r="K6" s="11">
        <v>1</v>
      </c>
      <c r="L6" s="11" t="s">
        <v>800</v>
      </c>
      <c r="M6" s="11" t="s">
        <v>30</v>
      </c>
      <c r="N6" s="83"/>
      <c r="O6" s="11" t="s">
        <v>14</v>
      </c>
      <c r="P6" s="11" t="s">
        <v>802</v>
      </c>
    </row>
    <row r="7" spans="1:16" ht="62">
      <c r="A7" s="11">
        <f t="shared" si="0"/>
        <v>2</v>
      </c>
      <c r="B7" s="49" t="s">
        <v>29</v>
      </c>
      <c r="C7" s="55" t="s">
        <v>218</v>
      </c>
      <c r="D7" s="11" t="s">
        <v>17</v>
      </c>
      <c r="E7" s="91" t="s">
        <v>34</v>
      </c>
      <c r="F7" s="11" t="s">
        <v>14</v>
      </c>
      <c r="G7" s="13" t="s">
        <v>189</v>
      </c>
      <c r="H7" s="11" t="s">
        <v>40</v>
      </c>
      <c r="I7" s="24" t="s">
        <v>216</v>
      </c>
      <c r="J7" s="11" t="s">
        <v>14</v>
      </c>
      <c r="K7" s="11">
        <v>1</v>
      </c>
      <c r="L7" s="11" t="s">
        <v>800</v>
      </c>
      <c r="M7" s="11" t="s">
        <v>30</v>
      </c>
      <c r="N7" s="83" t="s">
        <v>460</v>
      </c>
      <c r="O7" s="11" t="s">
        <v>42</v>
      </c>
      <c r="P7" s="11" t="s">
        <v>803</v>
      </c>
    </row>
    <row r="8" spans="1:16" ht="62">
      <c r="A8" s="11">
        <f t="shared" si="0"/>
        <v>3</v>
      </c>
      <c r="B8" s="49" t="s">
        <v>37</v>
      </c>
      <c r="C8" s="55" t="s">
        <v>343</v>
      </c>
      <c r="D8" s="11" t="s">
        <v>17</v>
      </c>
      <c r="E8" s="91" t="s">
        <v>34</v>
      </c>
      <c r="F8" s="11" t="s">
        <v>14</v>
      </c>
      <c r="G8" s="13" t="s">
        <v>232</v>
      </c>
      <c r="H8" s="11" t="s">
        <v>40</v>
      </c>
      <c r="I8" s="55" t="s">
        <v>344</v>
      </c>
      <c r="J8" s="11" t="s">
        <v>14</v>
      </c>
      <c r="K8" s="11">
        <v>2</v>
      </c>
      <c r="L8" s="11" t="s">
        <v>800</v>
      </c>
      <c r="M8" s="11" t="s">
        <v>30</v>
      </c>
      <c r="N8" s="83" t="s">
        <v>685</v>
      </c>
      <c r="O8" s="11" t="s">
        <v>42</v>
      </c>
      <c r="P8" s="11" t="s">
        <v>803</v>
      </c>
    </row>
    <row r="9" spans="1:16" ht="31">
      <c r="A9" s="11">
        <f t="shared" si="0"/>
        <v>4</v>
      </c>
      <c r="B9" s="49" t="s">
        <v>117</v>
      </c>
      <c r="C9" s="11" t="s">
        <v>313</v>
      </c>
      <c r="D9" s="56" t="s">
        <v>30</v>
      </c>
      <c r="E9" s="91" t="s">
        <v>594</v>
      </c>
      <c r="F9" s="11" t="s">
        <v>14</v>
      </c>
      <c r="G9" s="13" t="s">
        <v>58</v>
      </c>
      <c r="H9" s="11" t="s">
        <v>40</v>
      </c>
      <c r="I9" s="24" t="s">
        <v>309</v>
      </c>
      <c r="J9" s="56" t="s">
        <v>30</v>
      </c>
      <c r="K9" s="11">
        <v>2</v>
      </c>
      <c r="L9" s="11" t="s">
        <v>800</v>
      </c>
      <c r="M9" s="11" t="s">
        <v>30</v>
      </c>
      <c r="N9" s="83" t="s">
        <v>505</v>
      </c>
      <c r="O9" s="11" t="s">
        <v>41</v>
      </c>
      <c r="P9" s="11" t="s">
        <v>803</v>
      </c>
    </row>
    <row r="10" spans="1:16" ht="46.5">
      <c r="A10" s="11">
        <f t="shared" si="0"/>
        <v>5</v>
      </c>
      <c r="B10" s="49" t="s">
        <v>118</v>
      </c>
      <c r="C10" s="24" t="s">
        <v>219</v>
      </c>
      <c r="D10" s="56" t="s">
        <v>30</v>
      </c>
      <c r="E10" s="91" t="s">
        <v>595</v>
      </c>
      <c r="F10" s="11" t="s">
        <v>14</v>
      </c>
      <c r="G10" s="13" t="s">
        <v>59</v>
      </c>
      <c r="H10" s="11" t="s">
        <v>40</v>
      </c>
      <c r="I10" s="24" t="s">
        <v>217</v>
      </c>
      <c r="J10" s="56" t="s">
        <v>30</v>
      </c>
      <c r="K10" s="11">
        <v>1</v>
      </c>
      <c r="L10" s="11" t="s">
        <v>800</v>
      </c>
      <c r="M10" s="11" t="s">
        <v>30</v>
      </c>
      <c r="N10" s="83" t="s">
        <v>329</v>
      </c>
      <c r="O10" s="11" t="s">
        <v>41</v>
      </c>
      <c r="P10" s="11"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223</v>
      </c>
      <c r="D14" s="56" t="s">
        <v>30</v>
      </c>
      <c r="E14" s="91" t="s">
        <v>470</v>
      </c>
      <c r="F14" s="11" t="s">
        <v>14</v>
      </c>
      <c r="G14" s="13" t="s">
        <v>188</v>
      </c>
      <c r="H14" s="11" t="s">
        <v>136</v>
      </c>
      <c r="I14" s="11" t="s">
        <v>143</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 t="shared" si="0"/>
        <v>14</v>
      </c>
      <c r="B19" s="58" t="s">
        <v>174</v>
      </c>
      <c r="C19" s="68" t="s">
        <v>151</v>
      </c>
      <c r="D19" s="61" t="s">
        <v>14</v>
      </c>
      <c r="E19" s="91" t="s">
        <v>526</v>
      </c>
      <c r="F19" s="11" t="s">
        <v>14</v>
      </c>
      <c r="G19" s="13" t="s">
        <v>532</v>
      </c>
      <c r="H19" s="11" t="s">
        <v>51</v>
      </c>
      <c r="I19" s="68" t="s">
        <v>151</v>
      </c>
      <c r="J19" s="11" t="s">
        <v>30</v>
      </c>
      <c r="K19" s="11">
        <v>1</v>
      </c>
      <c r="L19" s="11" t="s">
        <v>800</v>
      </c>
      <c r="M19" s="11" t="s">
        <v>30</v>
      </c>
      <c r="N19" s="64" t="s">
        <v>530</v>
      </c>
      <c r="O19" s="11" t="s">
        <v>159</v>
      </c>
      <c r="P19" s="11" t="s">
        <v>802</v>
      </c>
    </row>
    <row r="20" spans="1:16">
      <c r="A20" s="11">
        <f t="shared" si="0"/>
        <v>15</v>
      </c>
      <c r="B20" s="58" t="s">
        <v>131</v>
      </c>
      <c r="C20" s="11" t="s">
        <v>152</v>
      </c>
      <c r="D20" s="11" t="s">
        <v>14</v>
      </c>
      <c r="E20" s="91" t="s">
        <v>477</v>
      </c>
      <c r="F20" s="11" t="s">
        <v>14</v>
      </c>
      <c r="G20" s="13" t="s">
        <v>183</v>
      </c>
      <c r="H20" s="11" t="s">
        <v>51</v>
      </c>
      <c r="I20" s="11" t="str">
        <f>C20</f>
        <v>1A72BTD00-600-G</v>
      </c>
      <c r="J20" s="11" t="s">
        <v>14</v>
      </c>
      <c r="K20" s="11">
        <v>1</v>
      </c>
      <c r="L20" s="11" t="s">
        <v>800</v>
      </c>
      <c r="M20" s="11" t="s">
        <v>30</v>
      </c>
      <c r="N20" s="45" t="s">
        <v>304</v>
      </c>
      <c r="O20" s="11" t="s">
        <v>41</v>
      </c>
      <c r="P20" s="11" t="s">
        <v>802</v>
      </c>
    </row>
    <row r="21" spans="1:16">
      <c r="A21" s="11">
        <f t="shared" si="0"/>
        <v>16</v>
      </c>
      <c r="B21" s="58" t="s">
        <v>175</v>
      </c>
      <c r="C21" s="24" t="s">
        <v>162</v>
      </c>
      <c r="D21" s="11" t="s">
        <v>14</v>
      </c>
      <c r="E21" s="91" t="s">
        <v>473</v>
      </c>
      <c r="F21" s="11" t="s">
        <v>14</v>
      </c>
      <c r="G21" s="43" t="s">
        <v>161</v>
      </c>
      <c r="H21" s="11" t="s">
        <v>51</v>
      </c>
      <c r="I21" s="11" t="s">
        <v>162</v>
      </c>
      <c r="J21" s="11" t="s">
        <v>14</v>
      </c>
      <c r="K21" s="11">
        <v>1</v>
      </c>
      <c r="L21" s="11" t="s">
        <v>800</v>
      </c>
      <c r="M21" s="11" t="s">
        <v>30</v>
      </c>
      <c r="N21" s="45" t="s">
        <v>304</v>
      </c>
      <c r="O21" s="11" t="s">
        <v>41</v>
      </c>
      <c r="P21" s="11" t="s">
        <v>802</v>
      </c>
    </row>
    <row r="22" spans="1:16">
      <c r="A22" s="11">
        <f t="shared" si="0"/>
        <v>17</v>
      </c>
      <c r="B22" s="58" t="s">
        <v>310</v>
      </c>
      <c r="C22" s="24"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308</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1">
        <f t="shared" si="0"/>
        <v>19</v>
      </c>
      <c r="B24" s="58" t="s">
        <v>279</v>
      </c>
      <c r="C24" s="24" t="s">
        <v>278</v>
      </c>
      <c r="D24" s="11" t="s">
        <v>30</v>
      </c>
      <c r="E24" s="116" t="s">
        <v>593</v>
      </c>
      <c r="F24" s="11" t="s">
        <v>30</v>
      </c>
      <c r="G24" s="43" t="s">
        <v>276</v>
      </c>
      <c r="H24" s="11" t="s">
        <v>274</v>
      </c>
      <c r="I24" s="11" t="s">
        <v>275</v>
      </c>
      <c r="J24" s="11" t="s">
        <v>14</v>
      </c>
      <c r="K24" s="11">
        <v>2</v>
      </c>
      <c r="L24" s="11" t="s">
        <v>800</v>
      </c>
      <c r="M24" s="11" t="s">
        <v>30</v>
      </c>
      <c r="N24" s="45" t="s">
        <v>277</v>
      </c>
      <c r="O24" s="11" t="s">
        <v>273</v>
      </c>
      <c r="P24" s="11" t="s">
        <v>803</v>
      </c>
    </row>
    <row r="25" spans="1:16">
      <c r="A25" s="11">
        <f t="shared" si="0"/>
        <v>20</v>
      </c>
      <c r="B25" s="58" t="s">
        <v>280</v>
      </c>
      <c r="C25" s="24" t="s">
        <v>330</v>
      </c>
      <c r="D25" s="11" t="s">
        <v>14</v>
      </c>
      <c r="E25" s="91" t="s">
        <v>478</v>
      </c>
      <c r="F25" s="11" t="s">
        <v>14</v>
      </c>
      <c r="G25" s="43" t="s">
        <v>287</v>
      </c>
      <c r="H25" s="52" t="s">
        <v>418</v>
      </c>
      <c r="I25" s="65" t="s">
        <v>330</v>
      </c>
      <c r="J25" s="11" t="s">
        <v>14</v>
      </c>
      <c r="K25" s="11">
        <v>1</v>
      </c>
      <c r="L25" s="11" t="s">
        <v>800</v>
      </c>
      <c r="M25" s="11" t="s">
        <v>30</v>
      </c>
      <c r="N25" s="45" t="s">
        <v>331</v>
      </c>
      <c r="O25" s="11" t="s">
        <v>44</v>
      </c>
      <c r="P25" s="11" t="s">
        <v>802</v>
      </c>
    </row>
    <row r="26" spans="1:16">
      <c r="A26" s="11">
        <f t="shared" si="0"/>
        <v>21</v>
      </c>
      <c r="B26" s="58" t="s">
        <v>281</v>
      </c>
      <c r="C26" s="24" t="s">
        <v>286</v>
      </c>
      <c r="D26" s="11" t="s">
        <v>14</v>
      </c>
      <c r="E26" s="91" t="s">
        <v>34</v>
      </c>
      <c r="F26" s="11" t="s">
        <v>14</v>
      </c>
      <c r="G26" s="66" t="s">
        <v>285</v>
      </c>
      <c r="H26" s="52" t="s">
        <v>418</v>
      </c>
      <c r="I26" s="11" t="s">
        <v>286</v>
      </c>
      <c r="J26" s="11" t="s">
        <v>14</v>
      </c>
      <c r="K26" s="11">
        <v>3</v>
      </c>
      <c r="L26" s="11" t="s">
        <v>800</v>
      </c>
      <c r="M26" s="11" t="s">
        <v>30</v>
      </c>
      <c r="N26" s="45" t="s">
        <v>284</v>
      </c>
      <c r="O26" s="11" t="s">
        <v>44</v>
      </c>
      <c r="P26" s="11" t="s">
        <v>802</v>
      </c>
    </row>
    <row r="27" spans="1:16">
      <c r="A27" s="11">
        <f t="shared" si="0"/>
        <v>22</v>
      </c>
      <c r="B27" s="58"/>
      <c r="C27" s="55" t="s">
        <v>408</v>
      </c>
      <c r="D27" s="11" t="s">
        <v>14</v>
      </c>
      <c r="E27" s="91" t="s">
        <v>34</v>
      </c>
      <c r="F27" s="11" t="s">
        <v>14</v>
      </c>
      <c r="G27" s="43" t="s">
        <v>405</v>
      </c>
      <c r="H27" s="52" t="s">
        <v>406</v>
      </c>
      <c r="I27" s="55" t="s">
        <v>407</v>
      </c>
      <c r="J27" s="11" t="s">
        <v>14</v>
      </c>
      <c r="K27" s="11"/>
      <c r="L27" s="11" t="s">
        <v>800</v>
      </c>
      <c r="M27" s="11" t="s">
        <v>30</v>
      </c>
      <c r="N27" s="45" t="s">
        <v>284</v>
      </c>
      <c r="O27" s="11" t="s">
        <v>44</v>
      </c>
      <c r="P27" s="11" t="s">
        <v>802</v>
      </c>
    </row>
    <row r="28" spans="1:16">
      <c r="A28" s="11">
        <f t="shared" si="0"/>
        <v>23</v>
      </c>
      <c r="B28" s="58" t="s">
        <v>409</v>
      </c>
      <c r="C28" s="55" t="s">
        <v>506</v>
      </c>
      <c r="D28" s="11" t="s">
        <v>14</v>
      </c>
      <c r="E28" s="91" t="s">
        <v>34</v>
      </c>
      <c r="F28" s="11" t="s">
        <v>14</v>
      </c>
      <c r="G28" s="66" t="s">
        <v>507</v>
      </c>
      <c r="H28" s="52" t="s">
        <v>418</v>
      </c>
      <c r="I28" s="55" t="s">
        <v>506</v>
      </c>
      <c r="J28" s="11" t="s">
        <v>14</v>
      </c>
      <c r="K28" s="11">
        <v>4</v>
      </c>
      <c r="L28" s="11" t="s">
        <v>800</v>
      </c>
      <c r="M28" s="11" t="s">
        <v>30</v>
      </c>
      <c r="N28" s="45" t="s">
        <v>515</v>
      </c>
      <c r="O28" s="11" t="s">
        <v>44</v>
      </c>
      <c r="P28" s="11" t="s">
        <v>802</v>
      </c>
    </row>
    <row r="29" spans="1:16">
      <c r="A29" s="11">
        <f t="shared" si="0"/>
        <v>24</v>
      </c>
      <c r="B29" s="58"/>
      <c r="C29" s="55" t="s">
        <v>508</v>
      </c>
      <c r="D29" s="11" t="s">
        <v>14</v>
      </c>
      <c r="E29" s="9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0"/>
        <v>25</v>
      </c>
      <c r="B30" s="58"/>
      <c r="C30" s="55" t="s">
        <v>509</v>
      </c>
      <c r="D30" s="11" t="s">
        <v>14</v>
      </c>
      <c r="E30" s="9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9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91" t="s">
        <v>34</v>
      </c>
      <c r="F32" s="11" t="s">
        <v>14</v>
      </c>
      <c r="G32" s="43" t="s">
        <v>316</v>
      </c>
      <c r="H32" s="52" t="s">
        <v>418</v>
      </c>
      <c r="I32" s="24" t="s">
        <v>290</v>
      </c>
      <c r="J32" s="11" t="s">
        <v>14</v>
      </c>
      <c r="K32" s="11">
        <v>8</v>
      </c>
      <c r="L32" s="11" t="s">
        <v>800</v>
      </c>
      <c r="M32" s="11" t="s">
        <v>30</v>
      </c>
      <c r="N32" s="45" t="s">
        <v>289</v>
      </c>
      <c r="O32" s="11" t="s">
        <v>44</v>
      </c>
      <c r="P32" s="11" t="s">
        <v>802</v>
      </c>
    </row>
    <row r="33" spans="1:16">
      <c r="A33" s="11">
        <f t="shared" si="0"/>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46</v>
      </c>
      <c r="C34" s="24" t="s">
        <v>333</v>
      </c>
      <c r="D34" s="11" t="s">
        <v>14</v>
      </c>
      <c r="E34" s="91" t="s">
        <v>34</v>
      </c>
      <c r="F34" s="11" t="s">
        <v>14</v>
      </c>
      <c r="G34" s="43" t="s">
        <v>314</v>
      </c>
      <c r="H34" s="52" t="s">
        <v>418</v>
      </c>
      <c r="I34" s="67" t="s">
        <v>333</v>
      </c>
      <c r="J34" s="11" t="s">
        <v>14</v>
      </c>
      <c r="K34" s="11">
        <v>1</v>
      </c>
      <c r="L34" s="11" t="s">
        <v>800</v>
      </c>
      <c r="M34" s="11" t="s">
        <v>30</v>
      </c>
      <c r="N34" s="45" t="s">
        <v>332</v>
      </c>
      <c r="O34" s="11" t="s">
        <v>44</v>
      </c>
      <c r="P34" s="11" t="s">
        <v>802</v>
      </c>
    </row>
    <row r="35" spans="1:16">
      <c r="A35" s="11">
        <f t="shared" ref="A35:A82" si="1">ROW(A35)-5</f>
        <v>30</v>
      </c>
      <c r="B35" s="58" t="s">
        <v>47</v>
      </c>
      <c r="C35" s="24" t="s">
        <v>548</v>
      </c>
      <c r="D35" s="11" t="s">
        <v>14</v>
      </c>
      <c r="E35" s="91" t="s">
        <v>34</v>
      </c>
      <c r="F35" s="11" t="s">
        <v>14</v>
      </c>
      <c r="G35" s="43" t="s">
        <v>334</v>
      </c>
      <c r="H35" s="52" t="s">
        <v>418</v>
      </c>
      <c r="I35" s="67" t="s">
        <v>335</v>
      </c>
      <c r="J35" s="11" t="s">
        <v>14</v>
      </c>
      <c r="K35" s="52">
        <v>2</v>
      </c>
      <c r="L35" s="11" t="s">
        <v>800</v>
      </c>
      <c r="M35" s="11" t="s">
        <v>30</v>
      </c>
      <c r="N35" s="45" t="s">
        <v>336</v>
      </c>
      <c r="O35" s="11" t="s">
        <v>44</v>
      </c>
      <c r="P35" s="11" t="s">
        <v>802</v>
      </c>
    </row>
    <row r="36" spans="1:16">
      <c r="A36" s="11">
        <f t="shared" si="1"/>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1"/>
        <v>32</v>
      </c>
      <c r="B37" s="58" t="s">
        <v>48</v>
      </c>
      <c r="C37" s="24" t="s">
        <v>337</v>
      </c>
      <c r="D37" s="11" t="s">
        <v>14</v>
      </c>
      <c r="E37" s="9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1"/>
        <v>33</v>
      </c>
      <c r="B38" s="58" t="s">
        <v>54</v>
      </c>
      <c r="C38" s="24" t="s">
        <v>338</v>
      </c>
      <c r="D38" s="11" t="s">
        <v>14</v>
      </c>
      <c r="E38" s="9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1"/>
        <v>34</v>
      </c>
      <c r="B39" s="58" t="s">
        <v>55</v>
      </c>
      <c r="C39" s="55" t="s">
        <v>398</v>
      </c>
      <c r="D39" s="11" t="s">
        <v>14</v>
      </c>
      <c r="E39" s="91" t="s">
        <v>34</v>
      </c>
      <c r="F39" s="11" t="s">
        <v>14</v>
      </c>
      <c r="G39" s="43" t="s">
        <v>299</v>
      </c>
      <c r="H39" s="52" t="s">
        <v>418</v>
      </c>
      <c r="I39" s="55" t="s">
        <v>398</v>
      </c>
      <c r="J39" s="11" t="s">
        <v>14</v>
      </c>
      <c r="K39" s="11">
        <v>64</v>
      </c>
      <c r="L39" s="11" t="s">
        <v>800</v>
      </c>
      <c r="M39" s="11" t="s">
        <v>30</v>
      </c>
      <c r="N39" s="45" t="s">
        <v>296</v>
      </c>
      <c r="O39" s="11" t="s">
        <v>44</v>
      </c>
      <c r="P39" s="11" t="s">
        <v>802</v>
      </c>
    </row>
    <row r="40" spans="1:16">
      <c r="A40" s="11">
        <f t="shared" si="1"/>
        <v>35</v>
      </c>
      <c r="B40" s="58"/>
      <c r="C40" s="55" t="s">
        <v>400</v>
      </c>
      <c r="D40" s="11" t="s">
        <v>14</v>
      </c>
      <c r="E40" s="91" t="s">
        <v>34</v>
      </c>
      <c r="F40" s="11" t="s">
        <v>14</v>
      </c>
      <c r="G40" s="43" t="s">
        <v>415</v>
      </c>
      <c r="H40" s="52" t="s">
        <v>401</v>
      </c>
      <c r="I40" s="55" t="s">
        <v>402</v>
      </c>
      <c r="J40" s="11" t="s">
        <v>14</v>
      </c>
      <c r="K40" s="11"/>
      <c r="L40" s="11" t="s">
        <v>800</v>
      </c>
      <c r="M40" s="11" t="s">
        <v>30</v>
      </c>
      <c r="N40" s="45" t="s">
        <v>296</v>
      </c>
      <c r="O40" s="11" t="s">
        <v>44</v>
      </c>
      <c r="P40" s="11" t="s">
        <v>802</v>
      </c>
    </row>
    <row r="41" spans="1:16">
      <c r="A41" s="11">
        <f t="shared" si="1"/>
        <v>36</v>
      </c>
      <c r="B41" s="58" t="s">
        <v>412</v>
      </c>
      <c r="C41" s="55" t="s">
        <v>399</v>
      </c>
      <c r="D41" s="11" t="s">
        <v>14</v>
      </c>
      <c r="E41" s="91" t="s">
        <v>34</v>
      </c>
      <c r="F41" s="11" t="s">
        <v>14</v>
      </c>
      <c r="G41" s="13" t="s">
        <v>298</v>
      </c>
      <c r="H41" s="52" t="s">
        <v>418</v>
      </c>
      <c r="I41" s="55" t="s">
        <v>399</v>
      </c>
      <c r="J41" s="11" t="s">
        <v>14</v>
      </c>
      <c r="K41" s="11">
        <v>64</v>
      </c>
      <c r="L41" s="11" t="s">
        <v>800</v>
      </c>
      <c r="M41" s="11" t="s">
        <v>30</v>
      </c>
      <c r="N41" s="45" t="s">
        <v>297</v>
      </c>
      <c r="O41" s="11" t="s">
        <v>44</v>
      </c>
      <c r="P41" s="11" t="s">
        <v>802</v>
      </c>
    </row>
    <row r="42" spans="1:16">
      <c r="A42" s="11">
        <f t="shared" si="1"/>
        <v>37</v>
      </c>
      <c r="B42" s="58"/>
      <c r="C42" s="55" t="s">
        <v>404</v>
      </c>
      <c r="D42" s="11" t="s">
        <v>14</v>
      </c>
      <c r="E42" s="9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1"/>
        <v>38</v>
      </c>
      <c r="B43" s="58" t="s">
        <v>317</v>
      </c>
      <c r="C43" s="55" t="s">
        <v>520</v>
      </c>
      <c r="D43" s="11" t="s">
        <v>14</v>
      </c>
      <c r="E43" s="91" t="s">
        <v>34</v>
      </c>
      <c r="F43" s="11" t="s">
        <v>14</v>
      </c>
      <c r="G43" s="66" t="s">
        <v>518</v>
      </c>
      <c r="H43" s="52" t="s">
        <v>153</v>
      </c>
      <c r="I43" s="52" t="s">
        <v>517</v>
      </c>
      <c r="J43" s="11" t="s">
        <v>14</v>
      </c>
      <c r="K43" s="11">
        <v>2</v>
      </c>
      <c r="L43" s="11" t="s">
        <v>800</v>
      </c>
      <c r="M43" s="11" t="s">
        <v>30</v>
      </c>
      <c r="N43" s="45" t="s">
        <v>519</v>
      </c>
      <c r="O43" s="11" t="s">
        <v>44</v>
      </c>
      <c r="P43" s="11" t="s">
        <v>802</v>
      </c>
    </row>
    <row r="44" spans="1:16">
      <c r="A44" s="11">
        <f t="shared" si="1"/>
        <v>39</v>
      </c>
      <c r="B44" s="58"/>
      <c r="C44" s="55" t="s">
        <v>535</v>
      </c>
      <c r="D44" s="11" t="s">
        <v>14</v>
      </c>
      <c r="E44" s="91" t="s">
        <v>34</v>
      </c>
      <c r="F44" s="11" t="s">
        <v>14</v>
      </c>
      <c r="G44" s="66" t="s">
        <v>537</v>
      </c>
      <c r="H44" s="52" t="s">
        <v>538</v>
      </c>
      <c r="I44" s="52" t="s">
        <v>539</v>
      </c>
      <c r="J44" s="11" t="s">
        <v>14</v>
      </c>
      <c r="K44" s="11"/>
      <c r="L44" s="11" t="s">
        <v>800</v>
      </c>
      <c r="M44" s="11" t="s">
        <v>30</v>
      </c>
      <c r="N44" s="45" t="s">
        <v>519</v>
      </c>
      <c r="O44" s="11" t="s">
        <v>44</v>
      </c>
      <c r="P44" s="11" t="s">
        <v>802</v>
      </c>
    </row>
    <row r="45" spans="1:16">
      <c r="A45" s="11">
        <f t="shared" si="1"/>
        <v>40</v>
      </c>
      <c r="B45" s="58"/>
      <c r="C45" s="55" t="s">
        <v>633</v>
      </c>
      <c r="D45" s="11" t="s">
        <v>14</v>
      </c>
      <c r="E45" s="91" t="s">
        <v>34</v>
      </c>
      <c r="F45" s="11" t="s">
        <v>14</v>
      </c>
      <c r="G45" s="66" t="s">
        <v>537</v>
      </c>
      <c r="H45" s="52" t="s">
        <v>538</v>
      </c>
      <c r="I45" s="52" t="s">
        <v>631</v>
      </c>
      <c r="J45" s="11" t="s">
        <v>14</v>
      </c>
      <c r="K45" s="11"/>
      <c r="L45" s="11" t="s">
        <v>800</v>
      </c>
      <c r="M45" s="11" t="s">
        <v>30</v>
      </c>
      <c r="N45" s="45" t="s">
        <v>519</v>
      </c>
      <c r="O45" s="11" t="s">
        <v>44</v>
      </c>
      <c r="P45" s="11" t="s">
        <v>802</v>
      </c>
    </row>
    <row r="46" spans="1:16">
      <c r="A46" s="11">
        <f t="shared" si="1"/>
        <v>41</v>
      </c>
      <c r="B46" s="58" t="s">
        <v>318</v>
      </c>
      <c r="C46" s="55" t="s">
        <v>523</v>
      </c>
      <c r="D46" s="11" t="s">
        <v>14</v>
      </c>
      <c r="E46" s="91" t="s">
        <v>34</v>
      </c>
      <c r="F46" s="11" t="s">
        <v>14</v>
      </c>
      <c r="G46" s="66" t="s">
        <v>521</v>
      </c>
      <c r="H46" s="52" t="s">
        <v>210</v>
      </c>
      <c r="I46" s="52" t="s">
        <v>522</v>
      </c>
      <c r="J46" s="11" t="s">
        <v>14</v>
      </c>
      <c r="K46" s="11">
        <v>2</v>
      </c>
      <c r="L46" s="11" t="s">
        <v>800</v>
      </c>
      <c r="M46" s="11" t="s">
        <v>30</v>
      </c>
      <c r="N46" s="45" t="s">
        <v>524</v>
      </c>
      <c r="O46" s="11" t="s">
        <v>44</v>
      </c>
      <c r="P46" s="11" t="s">
        <v>802</v>
      </c>
    </row>
    <row r="47" spans="1:16">
      <c r="A47" s="11">
        <f t="shared" si="1"/>
        <v>42</v>
      </c>
      <c r="B47" s="58"/>
      <c r="C47" s="55" t="s">
        <v>534</v>
      </c>
      <c r="D47" s="11" t="s">
        <v>14</v>
      </c>
      <c r="E47" s="91" t="s">
        <v>34</v>
      </c>
      <c r="F47" s="11" t="s">
        <v>14</v>
      </c>
      <c r="G47" s="66" t="s">
        <v>536</v>
      </c>
      <c r="H47" s="52" t="s">
        <v>538</v>
      </c>
      <c r="I47" s="52" t="s">
        <v>540</v>
      </c>
      <c r="J47" s="11" t="s">
        <v>14</v>
      </c>
      <c r="K47" s="11"/>
      <c r="L47" s="11" t="s">
        <v>800</v>
      </c>
      <c r="M47" s="11" t="s">
        <v>30</v>
      </c>
      <c r="N47" s="45" t="s">
        <v>524</v>
      </c>
      <c r="O47" s="11" t="s">
        <v>44</v>
      </c>
      <c r="P47" s="11" t="s">
        <v>802</v>
      </c>
    </row>
    <row r="48" spans="1:16">
      <c r="A48" s="11">
        <f t="shared" si="1"/>
        <v>43</v>
      </c>
      <c r="B48" s="58"/>
      <c r="C48" s="55" t="s">
        <v>635</v>
      </c>
      <c r="D48" s="11" t="s">
        <v>14</v>
      </c>
      <c r="E48" s="91" t="s">
        <v>34</v>
      </c>
      <c r="F48" s="11" t="s">
        <v>14</v>
      </c>
      <c r="G48" s="66" t="s">
        <v>634</v>
      </c>
      <c r="H48" s="52" t="s">
        <v>538</v>
      </c>
      <c r="I48" s="52" t="s">
        <v>632</v>
      </c>
      <c r="J48" s="11" t="s">
        <v>14</v>
      </c>
      <c r="K48" s="11"/>
      <c r="L48" s="11" t="s">
        <v>800</v>
      </c>
      <c r="M48" s="11" t="s">
        <v>30</v>
      </c>
      <c r="N48" s="45" t="s">
        <v>524</v>
      </c>
      <c r="O48" s="11" t="s">
        <v>44</v>
      </c>
      <c r="P48" s="11" t="s">
        <v>802</v>
      </c>
    </row>
    <row r="49" spans="1:47">
      <c r="A49" s="11">
        <f t="shared" si="1"/>
        <v>44</v>
      </c>
      <c r="B49" s="58" t="s">
        <v>745</v>
      </c>
      <c r="C49" s="55" t="s">
        <v>747</v>
      </c>
      <c r="D49" s="11" t="s">
        <v>14</v>
      </c>
      <c r="E49" s="91" t="s">
        <v>34</v>
      </c>
      <c r="F49" s="11" t="s">
        <v>14</v>
      </c>
      <c r="G49" s="66" t="s">
        <v>744</v>
      </c>
      <c r="H49" s="55" t="s">
        <v>743</v>
      </c>
      <c r="I49" s="55" t="s">
        <v>747</v>
      </c>
      <c r="J49" s="11" t="s">
        <v>14</v>
      </c>
      <c r="K49" s="11">
        <v>1</v>
      </c>
      <c r="L49" s="11" t="s">
        <v>800</v>
      </c>
      <c r="M49" s="11" t="s">
        <v>30</v>
      </c>
      <c r="N49" s="45"/>
      <c r="O49" s="11" t="s">
        <v>44</v>
      </c>
      <c r="P49" s="11" t="s">
        <v>802</v>
      </c>
    </row>
    <row r="50" spans="1:47">
      <c r="A50" s="11">
        <f t="shared" si="1"/>
        <v>45</v>
      </c>
      <c r="B50" s="58" t="s">
        <v>746</v>
      </c>
      <c r="C50" s="55" t="s">
        <v>751</v>
      </c>
      <c r="D50" s="11" t="s">
        <v>14</v>
      </c>
      <c r="E50" s="91" t="s">
        <v>34</v>
      </c>
      <c r="F50" s="11" t="s">
        <v>14</v>
      </c>
      <c r="G50" s="66" t="s">
        <v>748</v>
      </c>
      <c r="H50" s="52" t="s">
        <v>749</v>
      </c>
      <c r="I50" s="55" t="s">
        <v>750</v>
      </c>
      <c r="J50" s="11" t="s">
        <v>14</v>
      </c>
      <c r="K50" s="11">
        <v>4</v>
      </c>
      <c r="L50" s="11" t="s">
        <v>800</v>
      </c>
      <c r="M50" s="11" t="s">
        <v>30</v>
      </c>
      <c r="N50" s="45"/>
      <c r="O50" s="11" t="s">
        <v>44</v>
      </c>
      <c r="P50" s="11" t="s">
        <v>802</v>
      </c>
    </row>
    <row r="51" spans="1:47">
      <c r="A51" s="11">
        <f t="shared" si="1"/>
        <v>46</v>
      </c>
      <c r="B51" s="58" t="s">
        <v>302</v>
      </c>
      <c r="C51" s="11" t="s">
        <v>789</v>
      </c>
      <c r="D51" s="11" t="s">
        <v>14</v>
      </c>
      <c r="E51" s="91" t="s">
        <v>34</v>
      </c>
      <c r="F51" s="11" t="s">
        <v>14</v>
      </c>
      <c r="G51" s="66" t="s">
        <v>786</v>
      </c>
      <c r="H51" s="52" t="s">
        <v>787</v>
      </c>
      <c r="I51" s="55" t="s">
        <v>785</v>
      </c>
      <c r="J51" s="11" t="s">
        <v>14</v>
      </c>
      <c r="K51" s="11">
        <v>1</v>
      </c>
      <c r="L51" s="11" t="s">
        <v>800</v>
      </c>
      <c r="M51" s="11" t="s">
        <v>30</v>
      </c>
      <c r="N51" s="45"/>
      <c r="O51" s="11" t="s">
        <v>44</v>
      </c>
      <c r="P51" s="11" t="s">
        <v>802</v>
      </c>
    </row>
    <row r="52" spans="1:47" s="206" customFormat="1">
      <c r="A52" s="200">
        <f t="shared" si="1"/>
        <v>47</v>
      </c>
      <c r="B52" s="201" t="s">
        <v>555</v>
      </c>
      <c r="C52" s="202" t="s">
        <v>211</v>
      </c>
      <c r="D52" s="200" t="s">
        <v>30</v>
      </c>
      <c r="E52" s="203" t="s">
        <v>527</v>
      </c>
      <c r="F52" s="200" t="s">
        <v>14</v>
      </c>
      <c r="G52" s="204" t="s">
        <v>209</v>
      </c>
      <c r="H52" s="200" t="s">
        <v>210</v>
      </c>
      <c r="I52" s="202" t="s">
        <v>213</v>
      </c>
      <c r="J52" s="200" t="s">
        <v>30</v>
      </c>
      <c r="K52" s="200">
        <v>8</v>
      </c>
      <c r="L52" s="200" t="s">
        <v>800</v>
      </c>
      <c r="M52" s="200" t="s">
        <v>30</v>
      </c>
      <c r="N52" s="205"/>
      <c r="O52" s="200" t="s">
        <v>50</v>
      </c>
      <c r="P52" s="200" t="s">
        <v>803</v>
      </c>
    </row>
    <row r="53" spans="1:47" s="206" customFormat="1">
      <c r="A53" s="200">
        <f t="shared" si="1"/>
        <v>48</v>
      </c>
      <c r="B53" s="201"/>
      <c r="C53" s="202" t="s">
        <v>212</v>
      </c>
      <c r="D53" s="200" t="s">
        <v>30</v>
      </c>
      <c r="E53" s="203" t="s">
        <v>527</v>
      </c>
      <c r="F53" s="200" t="s">
        <v>14</v>
      </c>
      <c r="G53" s="207" t="s">
        <v>209</v>
      </c>
      <c r="H53" s="200" t="s">
        <v>57</v>
      </c>
      <c r="I53" s="202" t="s">
        <v>214</v>
      </c>
      <c r="J53" s="200" t="s">
        <v>30</v>
      </c>
      <c r="K53" s="200"/>
      <c r="L53" s="200" t="s">
        <v>800</v>
      </c>
      <c r="M53" s="200" t="s">
        <v>30</v>
      </c>
      <c r="N53" s="205"/>
      <c r="O53" s="200" t="s">
        <v>50</v>
      </c>
      <c r="P53" s="200" t="s">
        <v>803</v>
      </c>
    </row>
    <row r="54" spans="1:47" s="39" customFormat="1" ht="14.5">
      <c r="A54" s="11">
        <f t="shared" si="1"/>
        <v>49</v>
      </c>
      <c r="B54" s="47" t="s">
        <v>556</v>
      </c>
      <c r="C54" s="24" t="s">
        <v>456</v>
      </c>
      <c r="D54" s="93" t="s">
        <v>30</v>
      </c>
      <c r="E54" s="91" t="s">
        <v>528</v>
      </c>
      <c r="F54" s="24" t="s">
        <v>14</v>
      </c>
      <c r="G54" s="13" t="s">
        <v>424</v>
      </c>
      <c r="H54" s="55" t="s">
        <v>464</v>
      </c>
      <c r="I54" s="55" t="s">
        <v>456</v>
      </c>
      <c r="J54" s="24" t="s">
        <v>30</v>
      </c>
      <c r="K54" s="24">
        <v>1</v>
      </c>
      <c r="L54" s="11" t="s">
        <v>800</v>
      </c>
      <c r="M54" s="11" t="s">
        <v>30</v>
      </c>
      <c r="N54" s="94"/>
      <c r="O54" s="24" t="s">
        <v>50</v>
      </c>
      <c r="P54" s="11" t="s">
        <v>802</v>
      </c>
    </row>
    <row r="55" spans="1:47" s="39" customFormat="1" ht="14.5">
      <c r="A55" s="11">
        <f t="shared" si="1"/>
        <v>50</v>
      </c>
      <c r="B55" s="47"/>
      <c r="C55" s="24" t="s">
        <v>462</v>
      </c>
      <c r="D55" s="93" t="s">
        <v>30</v>
      </c>
      <c r="E55" s="91" t="s">
        <v>528</v>
      </c>
      <c r="F55" s="24" t="s">
        <v>14</v>
      </c>
      <c r="G55" s="13" t="s">
        <v>425</v>
      </c>
      <c r="H55" s="55" t="s">
        <v>464</v>
      </c>
      <c r="I55" s="55" t="s">
        <v>462</v>
      </c>
      <c r="J55" s="24" t="s">
        <v>30</v>
      </c>
      <c r="K55" s="24"/>
      <c r="L55" s="11" t="s">
        <v>800</v>
      </c>
      <c r="M55" s="11" t="s">
        <v>30</v>
      </c>
      <c r="N55" s="94"/>
      <c r="O55" s="24" t="s">
        <v>50</v>
      </c>
      <c r="P55" s="11" t="s">
        <v>802</v>
      </c>
    </row>
    <row r="56" spans="1:47" s="39" customFormat="1" ht="14.5">
      <c r="A56" s="11">
        <f t="shared" si="1"/>
        <v>51</v>
      </c>
      <c r="B56" s="47"/>
      <c r="C56" s="24" t="s">
        <v>463</v>
      </c>
      <c r="D56" s="93" t="s">
        <v>30</v>
      </c>
      <c r="E56" s="91" t="s">
        <v>528</v>
      </c>
      <c r="F56" s="24" t="s">
        <v>14</v>
      </c>
      <c r="G56" s="13" t="s">
        <v>465</v>
      </c>
      <c r="H56" s="55" t="s">
        <v>464</v>
      </c>
      <c r="I56" s="55" t="s">
        <v>463</v>
      </c>
      <c r="J56" s="24" t="s">
        <v>30</v>
      </c>
      <c r="K56" s="24"/>
      <c r="L56" s="11" t="s">
        <v>800</v>
      </c>
      <c r="M56" s="11" t="s">
        <v>30</v>
      </c>
      <c r="N56" s="94"/>
      <c r="O56" s="24" t="s">
        <v>50</v>
      </c>
      <c r="P56" s="11" t="s">
        <v>802</v>
      </c>
    </row>
    <row r="57" spans="1:47" s="45" customFormat="1">
      <c r="A57" s="11">
        <f t="shared" si="1"/>
        <v>52</v>
      </c>
      <c r="B57" s="47"/>
      <c r="C57" s="24" t="s">
        <v>775</v>
      </c>
      <c r="D57" s="93" t="s">
        <v>30</v>
      </c>
      <c r="E57" s="91" t="s">
        <v>528</v>
      </c>
      <c r="F57" s="24" t="s">
        <v>14</v>
      </c>
      <c r="G57" s="13" t="s">
        <v>726</v>
      </c>
      <c r="H57" s="55" t="s">
        <v>464</v>
      </c>
      <c r="I57" s="55" t="str">
        <f>C57</f>
        <v>TEMP-S000229174</v>
      </c>
      <c r="J57" s="24" t="s">
        <v>30</v>
      </c>
      <c r="K57" s="24"/>
      <c r="L57" s="11" t="s">
        <v>800</v>
      </c>
      <c r="M57" s="11" t="s">
        <v>30</v>
      </c>
      <c r="N57" s="94"/>
      <c r="O57" s="24" t="s">
        <v>50</v>
      </c>
      <c r="P57" s="11" t="s">
        <v>802</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row>
    <row r="58" spans="1:47" s="25" customFormat="1" ht="14.5">
      <c r="A58" s="11">
        <f t="shared" si="1"/>
        <v>53</v>
      </c>
      <c r="B58" s="47" t="s">
        <v>557</v>
      </c>
      <c r="C58" s="11" t="s">
        <v>383</v>
      </c>
      <c r="D58" s="11" t="s">
        <v>30</v>
      </c>
      <c r="E58" s="90" t="s">
        <v>34</v>
      </c>
      <c r="F58" s="11" t="s">
        <v>30</v>
      </c>
      <c r="G58" s="53" t="s">
        <v>312</v>
      </c>
      <c r="H58" s="11" t="s">
        <v>51</v>
      </c>
      <c r="I58" s="11" t="s">
        <v>383</v>
      </c>
      <c r="J58" s="50" t="s">
        <v>127</v>
      </c>
      <c r="K58" s="50">
        <v>1</v>
      </c>
      <c r="L58" s="11" t="s">
        <v>800</v>
      </c>
      <c r="M58" s="11" t="s">
        <v>30</v>
      </c>
      <c r="N58" s="11"/>
      <c r="O58" s="52" t="s">
        <v>50</v>
      </c>
      <c r="P58" s="11" t="s">
        <v>802</v>
      </c>
    </row>
    <row r="59" spans="1:47" s="17" customFormat="1">
      <c r="A59" s="11">
        <f t="shared" si="1"/>
        <v>54</v>
      </c>
      <c r="B59" s="47" t="s">
        <v>752</v>
      </c>
      <c r="C59" s="24" t="s">
        <v>249</v>
      </c>
      <c r="D59" s="11" t="s">
        <v>30</v>
      </c>
      <c r="E59" s="91" t="s">
        <v>479</v>
      </c>
      <c r="F59" s="11" t="s">
        <v>14</v>
      </c>
      <c r="G59" s="13" t="s">
        <v>267</v>
      </c>
      <c r="H59" s="11" t="s">
        <v>39</v>
      </c>
      <c r="I59" s="24" t="s">
        <v>233</v>
      </c>
      <c r="J59" s="11" t="s">
        <v>700</v>
      </c>
      <c r="K59" s="11">
        <v>1</v>
      </c>
      <c r="L59" s="11" t="s">
        <v>800</v>
      </c>
      <c r="M59" s="11" t="s">
        <v>30</v>
      </c>
      <c r="N59" s="70" t="s">
        <v>268</v>
      </c>
      <c r="O59" s="11" t="s">
        <v>45</v>
      </c>
      <c r="P59" s="11" t="s">
        <v>802</v>
      </c>
    </row>
    <row r="60" spans="1:47" s="17" customFormat="1">
      <c r="A60" s="11">
        <f t="shared" si="1"/>
        <v>55</v>
      </c>
      <c r="B60" s="47" t="s">
        <v>753</v>
      </c>
      <c r="C60" s="55" t="s">
        <v>796</v>
      </c>
      <c r="D60" s="11" t="s">
        <v>30</v>
      </c>
      <c r="E60" s="91" t="s">
        <v>480</v>
      </c>
      <c r="F60" s="11" t="s">
        <v>14</v>
      </c>
      <c r="G60" s="13" t="s">
        <v>797</v>
      </c>
      <c r="H60" s="11" t="s">
        <v>39</v>
      </c>
      <c r="I60" s="24" t="s">
        <v>234</v>
      </c>
      <c r="J60" s="52" t="s">
        <v>773</v>
      </c>
      <c r="K60" s="11">
        <v>1</v>
      </c>
      <c r="L60" s="11" t="s">
        <v>800</v>
      </c>
      <c r="M60" s="11" t="s">
        <v>30</v>
      </c>
      <c r="N60" s="48" t="s">
        <v>192</v>
      </c>
      <c r="O60" s="11" t="s">
        <v>45</v>
      </c>
      <c r="P60" s="11" t="s">
        <v>802</v>
      </c>
    </row>
    <row r="61" spans="1:47" s="17" customFormat="1">
      <c r="A61" s="11">
        <f t="shared" si="1"/>
        <v>56</v>
      </c>
      <c r="B61" s="47" t="s">
        <v>758</v>
      </c>
      <c r="C61" s="55" t="s">
        <v>769</v>
      </c>
      <c r="D61" s="11" t="s">
        <v>30</v>
      </c>
      <c r="E61" s="91" t="s">
        <v>481</v>
      </c>
      <c r="F61" s="11" t="s">
        <v>14</v>
      </c>
      <c r="G61" s="13" t="s">
        <v>772</v>
      </c>
      <c r="H61" s="11" t="s">
        <v>39</v>
      </c>
      <c r="I61" s="24" t="s">
        <v>235</v>
      </c>
      <c r="J61" s="52" t="s">
        <v>773</v>
      </c>
      <c r="K61" s="11">
        <v>1</v>
      </c>
      <c r="L61" s="11" t="s">
        <v>800</v>
      </c>
      <c r="M61" s="11" t="s">
        <v>30</v>
      </c>
      <c r="N61" s="48" t="s">
        <v>193</v>
      </c>
      <c r="O61" s="11" t="s">
        <v>45</v>
      </c>
      <c r="P61" s="11" t="s">
        <v>802</v>
      </c>
    </row>
    <row r="62" spans="1:47" s="17" customFormat="1">
      <c r="A62" s="11">
        <f t="shared" si="1"/>
        <v>57</v>
      </c>
      <c r="B62" s="47" t="s">
        <v>155</v>
      </c>
      <c r="C62" s="55" t="s">
        <v>770</v>
      </c>
      <c r="D62" s="11" t="s">
        <v>30</v>
      </c>
      <c r="E62" s="91" t="s">
        <v>482</v>
      </c>
      <c r="F62" s="11" t="s">
        <v>14</v>
      </c>
      <c r="G62" s="13" t="s">
        <v>771</v>
      </c>
      <c r="H62" s="11" t="s">
        <v>39</v>
      </c>
      <c r="I62" s="24" t="s">
        <v>236</v>
      </c>
      <c r="J62" s="52" t="s">
        <v>702</v>
      </c>
      <c r="K62" s="11">
        <v>1</v>
      </c>
      <c r="L62" s="11" t="s">
        <v>800</v>
      </c>
      <c r="M62" s="11" t="s">
        <v>30</v>
      </c>
      <c r="N62" s="48" t="s">
        <v>194</v>
      </c>
      <c r="O62" s="11" t="s">
        <v>45</v>
      </c>
      <c r="P62" s="11" t="s">
        <v>802</v>
      </c>
    </row>
    <row r="63" spans="1:47" s="17" customFormat="1">
      <c r="A63" s="11">
        <f t="shared" si="1"/>
        <v>58</v>
      </c>
      <c r="B63" s="47" t="s">
        <v>121</v>
      </c>
      <c r="C63" s="24" t="s">
        <v>250</v>
      </c>
      <c r="D63" s="11" t="s">
        <v>30</v>
      </c>
      <c r="E63" s="91" t="s">
        <v>483</v>
      </c>
      <c r="F63" s="11" t="s">
        <v>14</v>
      </c>
      <c r="G63" s="13" t="s">
        <v>231</v>
      </c>
      <c r="H63" s="11" t="s">
        <v>39</v>
      </c>
      <c r="I63" s="24" t="s">
        <v>237</v>
      </c>
      <c r="J63" s="11" t="s">
        <v>702</v>
      </c>
      <c r="K63" s="11">
        <v>1</v>
      </c>
      <c r="L63" s="11" t="s">
        <v>800</v>
      </c>
      <c r="M63" s="11" t="s">
        <v>30</v>
      </c>
      <c r="N63" s="48" t="s">
        <v>195</v>
      </c>
      <c r="O63" s="11" t="s">
        <v>45</v>
      </c>
      <c r="P63" s="11" t="s">
        <v>802</v>
      </c>
    </row>
    <row r="64" spans="1:47" s="17" customFormat="1">
      <c r="A64" s="11">
        <f t="shared" si="1"/>
        <v>59</v>
      </c>
      <c r="B64" s="47" t="s">
        <v>122</v>
      </c>
      <c r="C64" s="24" t="s">
        <v>251</v>
      </c>
      <c r="D64" s="11" t="s">
        <v>30</v>
      </c>
      <c r="E64" s="91" t="s">
        <v>484</v>
      </c>
      <c r="F64" s="11" t="s">
        <v>14</v>
      </c>
      <c r="G64" s="43" t="s">
        <v>166</v>
      </c>
      <c r="H64" s="11" t="s">
        <v>39</v>
      </c>
      <c r="I64" s="24" t="s">
        <v>238</v>
      </c>
      <c r="J64" s="11" t="s">
        <v>701</v>
      </c>
      <c r="K64" s="11">
        <v>1</v>
      </c>
      <c r="L64" s="11" t="s">
        <v>800</v>
      </c>
      <c r="M64" s="11" t="s">
        <v>30</v>
      </c>
      <c r="N64" s="48" t="s">
        <v>196</v>
      </c>
      <c r="O64" s="11" t="s">
        <v>45</v>
      </c>
      <c r="P64" s="11" t="s">
        <v>802</v>
      </c>
    </row>
    <row r="65" spans="1:17" s="17" customFormat="1">
      <c r="A65" s="11">
        <f t="shared" si="1"/>
        <v>60</v>
      </c>
      <c r="B65" s="47" t="s">
        <v>123</v>
      </c>
      <c r="C65" s="24" t="s">
        <v>252</v>
      </c>
      <c r="D65" s="11" t="s">
        <v>30</v>
      </c>
      <c r="E65" s="91" t="s">
        <v>485</v>
      </c>
      <c r="F65" s="11" t="s">
        <v>14</v>
      </c>
      <c r="G65" s="43" t="s">
        <v>167</v>
      </c>
      <c r="H65" s="11" t="s">
        <v>39</v>
      </c>
      <c r="I65" s="24" t="s">
        <v>239</v>
      </c>
      <c r="J65" s="11" t="s">
        <v>701</v>
      </c>
      <c r="K65" s="11">
        <v>1</v>
      </c>
      <c r="L65" s="11" t="s">
        <v>800</v>
      </c>
      <c r="M65" s="11" t="s">
        <v>30</v>
      </c>
      <c r="N65" s="48" t="s">
        <v>197</v>
      </c>
      <c r="O65" s="11" t="s">
        <v>45</v>
      </c>
      <c r="P65" s="11" t="s">
        <v>802</v>
      </c>
    </row>
    <row r="66" spans="1:17" s="17" customFormat="1">
      <c r="A66" s="11">
        <f t="shared" si="1"/>
        <v>61</v>
      </c>
      <c r="B66" s="47" t="s">
        <v>124</v>
      </c>
      <c r="C66" s="24" t="s">
        <v>253</v>
      </c>
      <c r="D66" s="11" t="s">
        <v>30</v>
      </c>
      <c r="E66" s="91" t="s">
        <v>486</v>
      </c>
      <c r="F66" s="11" t="s">
        <v>14</v>
      </c>
      <c r="G66" s="43" t="s">
        <v>168</v>
      </c>
      <c r="H66" s="11" t="s">
        <v>39</v>
      </c>
      <c r="I66" s="24" t="s">
        <v>240</v>
      </c>
      <c r="J66" s="11" t="s">
        <v>701</v>
      </c>
      <c r="K66" s="11">
        <v>1</v>
      </c>
      <c r="L66" s="11" t="s">
        <v>800</v>
      </c>
      <c r="M66" s="11" t="s">
        <v>30</v>
      </c>
      <c r="N66" s="48" t="s">
        <v>198</v>
      </c>
      <c r="O66" s="11" t="s">
        <v>45</v>
      </c>
      <c r="P66" s="11" t="s">
        <v>802</v>
      </c>
    </row>
    <row r="67" spans="1:17" s="17" customFormat="1">
      <c r="A67" s="11">
        <f t="shared" si="1"/>
        <v>62</v>
      </c>
      <c r="B67" s="47" t="s">
        <v>156</v>
      </c>
      <c r="C67" s="24" t="s">
        <v>254</v>
      </c>
      <c r="D67" s="11" t="s">
        <v>30</v>
      </c>
      <c r="E67" s="91" t="s">
        <v>487</v>
      </c>
      <c r="F67" s="11" t="s">
        <v>14</v>
      </c>
      <c r="G67" s="43" t="s">
        <v>164</v>
      </c>
      <c r="H67" s="11" t="s">
        <v>39</v>
      </c>
      <c r="I67" s="24" t="s">
        <v>241</v>
      </c>
      <c r="J67" s="11" t="s">
        <v>701</v>
      </c>
      <c r="K67" s="11">
        <v>1</v>
      </c>
      <c r="L67" s="11" t="s">
        <v>800</v>
      </c>
      <c r="M67" s="11" t="s">
        <v>30</v>
      </c>
      <c r="N67" s="48" t="s">
        <v>199</v>
      </c>
      <c r="O67" s="11" t="s">
        <v>45</v>
      </c>
      <c r="P67" s="11" t="s">
        <v>802</v>
      </c>
    </row>
    <row r="68" spans="1:17" s="17" customFormat="1">
      <c r="A68" s="11">
        <f t="shared" si="1"/>
        <v>63</v>
      </c>
      <c r="B68" s="47" t="s">
        <v>157</v>
      </c>
      <c r="C68" s="24" t="s">
        <v>323</v>
      </c>
      <c r="D68" s="11" t="s">
        <v>30</v>
      </c>
      <c r="E68" s="91" t="s">
        <v>488</v>
      </c>
      <c r="F68" s="11" t="s">
        <v>14</v>
      </c>
      <c r="G68" s="43" t="s">
        <v>169</v>
      </c>
      <c r="H68" s="11" t="s">
        <v>39</v>
      </c>
      <c r="I68" s="24" t="s">
        <v>242</v>
      </c>
      <c r="J68" s="11" t="s">
        <v>701</v>
      </c>
      <c r="K68" s="11">
        <v>1</v>
      </c>
      <c r="L68" s="11" t="s">
        <v>800</v>
      </c>
      <c r="M68" s="11" t="s">
        <v>30</v>
      </c>
      <c r="N68" s="48" t="s">
        <v>200</v>
      </c>
      <c r="O68" s="11" t="s">
        <v>45</v>
      </c>
      <c r="P68" s="11" t="s">
        <v>802</v>
      </c>
    </row>
    <row r="69" spans="1:17" s="17" customFormat="1">
      <c r="A69" s="11">
        <f t="shared" si="1"/>
        <v>64</v>
      </c>
      <c r="B69" s="47" t="s">
        <v>176</v>
      </c>
      <c r="C69" s="24" t="s">
        <v>255</v>
      </c>
      <c r="D69" s="11" t="s">
        <v>30</v>
      </c>
      <c r="E69" s="91" t="s">
        <v>489</v>
      </c>
      <c r="F69" s="11" t="s">
        <v>14</v>
      </c>
      <c r="G69" s="43" t="s">
        <v>165</v>
      </c>
      <c r="H69" s="11" t="s">
        <v>39</v>
      </c>
      <c r="I69" s="24" t="s">
        <v>243</v>
      </c>
      <c r="J69" s="11" t="s">
        <v>701</v>
      </c>
      <c r="K69" s="11">
        <v>1</v>
      </c>
      <c r="L69" s="11" t="s">
        <v>800</v>
      </c>
      <c r="M69" s="11" t="s">
        <v>30</v>
      </c>
      <c r="N69" s="48" t="s">
        <v>201</v>
      </c>
      <c r="O69" s="11" t="s">
        <v>45</v>
      </c>
      <c r="P69" s="11" t="s">
        <v>802</v>
      </c>
    </row>
    <row r="70" spans="1:17" s="17" customFormat="1">
      <c r="A70" s="11">
        <f t="shared" si="1"/>
        <v>65</v>
      </c>
      <c r="B70" s="47" t="s">
        <v>158</v>
      </c>
      <c r="C70" s="24" t="s">
        <v>256</v>
      </c>
      <c r="D70" s="11" t="s">
        <v>30</v>
      </c>
      <c r="E70" s="91" t="s">
        <v>490</v>
      </c>
      <c r="F70" s="11" t="s">
        <v>14</v>
      </c>
      <c r="G70" s="43" t="s">
        <v>170</v>
      </c>
      <c r="H70" s="11" t="s">
        <v>39</v>
      </c>
      <c r="I70" s="24" t="s">
        <v>244</v>
      </c>
      <c r="J70" s="11" t="s">
        <v>701</v>
      </c>
      <c r="K70" s="11">
        <v>1</v>
      </c>
      <c r="L70" s="11" t="s">
        <v>800</v>
      </c>
      <c r="M70" s="11" t="s">
        <v>30</v>
      </c>
      <c r="N70" s="48" t="s">
        <v>202</v>
      </c>
      <c r="O70" s="11" t="s">
        <v>45</v>
      </c>
      <c r="P70" s="11" t="s">
        <v>802</v>
      </c>
    </row>
    <row r="71" spans="1:17" s="17" customFormat="1">
      <c r="A71" s="11">
        <f t="shared" si="1"/>
        <v>66</v>
      </c>
      <c r="B71" s="47" t="s">
        <v>270</v>
      </c>
      <c r="C71" s="24" t="s">
        <v>262</v>
      </c>
      <c r="D71" s="11" t="s">
        <v>30</v>
      </c>
      <c r="E71" s="91" t="s">
        <v>491</v>
      </c>
      <c r="F71" s="11" t="s">
        <v>14</v>
      </c>
      <c r="G71" s="43" t="s">
        <v>163</v>
      </c>
      <c r="H71" s="11" t="s">
        <v>39</v>
      </c>
      <c r="I71" s="54" t="s">
        <v>265</v>
      </c>
      <c r="J71" s="11" t="s">
        <v>700</v>
      </c>
      <c r="K71" s="11">
        <v>1</v>
      </c>
      <c r="L71" s="11" t="s">
        <v>800</v>
      </c>
      <c r="M71" s="11" t="s">
        <v>30</v>
      </c>
      <c r="N71" s="48" t="s">
        <v>203</v>
      </c>
      <c r="O71" s="11" t="s">
        <v>45</v>
      </c>
      <c r="P71" s="11" t="s">
        <v>802</v>
      </c>
    </row>
    <row r="72" spans="1:17" s="17" customFormat="1">
      <c r="A72" s="11">
        <f t="shared" si="1"/>
        <v>67</v>
      </c>
      <c r="B72" s="47" t="s">
        <v>271</v>
      </c>
      <c r="C72" s="24" t="s">
        <v>257</v>
      </c>
      <c r="D72" s="11" t="s">
        <v>30</v>
      </c>
      <c r="E72" s="91" t="s">
        <v>492</v>
      </c>
      <c r="F72" s="11" t="s">
        <v>14</v>
      </c>
      <c r="G72" s="43" t="s">
        <v>171</v>
      </c>
      <c r="H72" s="11" t="s">
        <v>39</v>
      </c>
      <c r="I72" s="24" t="s">
        <v>245</v>
      </c>
      <c r="J72" s="11" t="s">
        <v>703</v>
      </c>
      <c r="K72" s="11">
        <v>1</v>
      </c>
      <c r="L72" s="11" t="s">
        <v>800</v>
      </c>
      <c r="M72" s="11" t="s">
        <v>30</v>
      </c>
      <c r="N72" s="48" t="s">
        <v>204</v>
      </c>
      <c r="O72" s="11" t="s">
        <v>45</v>
      </c>
      <c r="P72" s="11" t="s">
        <v>802</v>
      </c>
    </row>
    <row r="73" spans="1:17" s="17" customFormat="1">
      <c r="A73" s="11">
        <f t="shared" si="1"/>
        <v>68</v>
      </c>
      <c r="B73" s="47" t="s">
        <v>272</v>
      </c>
      <c r="C73" s="11" t="s">
        <v>258</v>
      </c>
      <c r="D73" s="11" t="s">
        <v>30</v>
      </c>
      <c r="E73" s="91" t="s">
        <v>493</v>
      </c>
      <c r="F73" s="11" t="s">
        <v>14</v>
      </c>
      <c r="G73" s="43" t="s">
        <v>172</v>
      </c>
      <c r="H73" s="11" t="s">
        <v>39</v>
      </c>
      <c r="I73" s="24" t="s">
        <v>246</v>
      </c>
      <c r="J73" s="11" t="s">
        <v>703</v>
      </c>
      <c r="K73" s="11">
        <v>1</v>
      </c>
      <c r="L73" s="11" t="s">
        <v>800</v>
      </c>
      <c r="M73" s="11" t="s">
        <v>30</v>
      </c>
      <c r="N73" s="48" t="s">
        <v>205</v>
      </c>
      <c r="O73" s="11" t="s">
        <v>45</v>
      </c>
      <c r="P73" s="11" t="s">
        <v>802</v>
      </c>
    </row>
    <row r="74" spans="1:17" s="17" customFormat="1">
      <c r="A74" s="11">
        <f t="shared" si="1"/>
        <v>69</v>
      </c>
      <c r="B74" s="47" t="s">
        <v>558</v>
      </c>
      <c r="C74" s="11" t="s">
        <v>259</v>
      </c>
      <c r="D74" s="11" t="s">
        <v>30</v>
      </c>
      <c r="E74" s="91" t="s">
        <v>494</v>
      </c>
      <c r="F74" s="11" t="s">
        <v>14</v>
      </c>
      <c r="G74" s="43" t="s">
        <v>190</v>
      </c>
      <c r="H74" s="11" t="s">
        <v>39</v>
      </c>
      <c r="I74" s="24" t="s">
        <v>247</v>
      </c>
      <c r="J74" s="11" t="s">
        <v>703</v>
      </c>
      <c r="K74" s="11">
        <v>1</v>
      </c>
      <c r="L74" s="11" t="s">
        <v>800</v>
      </c>
      <c r="M74" s="11" t="s">
        <v>30</v>
      </c>
      <c r="N74" s="48" t="s">
        <v>206</v>
      </c>
      <c r="O74" s="11" t="s">
        <v>45</v>
      </c>
      <c r="P74" s="11" t="s">
        <v>802</v>
      </c>
    </row>
    <row r="75" spans="1:17" s="17" customFormat="1">
      <c r="A75" s="11">
        <f t="shared" si="1"/>
        <v>70</v>
      </c>
      <c r="B75" s="47" t="s">
        <v>559</v>
      </c>
      <c r="C75" s="11" t="s">
        <v>260</v>
      </c>
      <c r="D75" s="11" t="s">
        <v>30</v>
      </c>
      <c r="E75" s="91" t="s">
        <v>495</v>
      </c>
      <c r="F75" s="11" t="s">
        <v>14</v>
      </c>
      <c r="G75" s="43" t="s">
        <v>191</v>
      </c>
      <c r="H75" s="11" t="s">
        <v>39</v>
      </c>
      <c r="I75" s="24" t="s">
        <v>248</v>
      </c>
      <c r="J75" s="11" t="s">
        <v>703</v>
      </c>
      <c r="K75" s="11">
        <v>1</v>
      </c>
      <c r="L75" s="11" t="s">
        <v>800</v>
      </c>
      <c r="M75" s="11" t="s">
        <v>30</v>
      </c>
      <c r="N75" s="48" t="s">
        <v>207</v>
      </c>
      <c r="O75" s="11" t="s">
        <v>45</v>
      </c>
      <c r="P75" s="11" t="s">
        <v>802</v>
      </c>
    </row>
    <row r="76" spans="1:17" s="17" customFormat="1">
      <c r="A76" s="11">
        <f t="shared" si="1"/>
        <v>71</v>
      </c>
      <c r="B76" s="47" t="s">
        <v>754</v>
      </c>
      <c r="C76" s="11" t="s">
        <v>263</v>
      </c>
      <c r="D76" s="11" t="s">
        <v>30</v>
      </c>
      <c r="E76" s="91" t="s">
        <v>496</v>
      </c>
      <c r="F76" s="11" t="s">
        <v>14</v>
      </c>
      <c r="G76" s="43" t="s">
        <v>208</v>
      </c>
      <c r="H76" s="11" t="s">
        <v>39</v>
      </c>
      <c r="I76" s="24" t="s">
        <v>264</v>
      </c>
      <c r="J76" s="11" t="s">
        <v>703</v>
      </c>
      <c r="K76" s="11">
        <v>1</v>
      </c>
      <c r="L76" s="11" t="s">
        <v>800</v>
      </c>
      <c r="M76" s="11" t="s">
        <v>30</v>
      </c>
      <c r="N76" s="48" t="s">
        <v>215</v>
      </c>
      <c r="O76" s="11" t="s">
        <v>45</v>
      </c>
      <c r="P76" s="11" t="s">
        <v>802</v>
      </c>
    </row>
    <row r="77" spans="1:17" s="17" customFormat="1">
      <c r="A77" s="11">
        <f t="shared" si="1"/>
        <v>72</v>
      </c>
      <c r="B77" s="47" t="s">
        <v>755</v>
      </c>
      <c r="C77" s="52" t="s">
        <v>778</v>
      </c>
      <c r="D77" s="11" t="s">
        <v>30</v>
      </c>
      <c r="E77" s="91" t="s">
        <v>497</v>
      </c>
      <c r="F77" s="11" t="s">
        <v>14</v>
      </c>
      <c r="G77" s="13" t="s">
        <v>533</v>
      </c>
      <c r="H77" s="52" t="s">
        <v>585</v>
      </c>
      <c r="I77" s="55" t="s">
        <v>780</v>
      </c>
      <c r="J77" s="11" t="s">
        <v>30</v>
      </c>
      <c r="K77" s="11">
        <v>1</v>
      </c>
      <c r="L77" s="11" t="s">
        <v>800</v>
      </c>
      <c r="M77" s="11" t="s">
        <v>30</v>
      </c>
      <c r="N77" s="48" t="s">
        <v>461</v>
      </c>
      <c r="O77" s="11" t="s">
        <v>269</v>
      </c>
      <c r="P77" s="11" t="s">
        <v>802</v>
      </c>
    </row>
    <row r="78" spans="1:17" s="17" customFormat="1">
      <c r="A78" s="11">
        <f t="shared" si="1"/>
        <v>73</v>
      </c>
      <c r="B78" s="47"/>
      <c r="C78" s="52" t="s">
        <v>779</v>
      </c>
      <c r="D78" s="11" t="s">
        <v>30</v>
      </c>
      <c r="E78" s="91" t="s">
        <v>497</v>
      </c>
      <c r="F78" s="11" t="s">
        <v>14</v>
      </c>
      <c r="G78" s="13" t="s">
        <v>533</v>
      </c>
      <c r="H78" s="52" t="s">
        <v>586</v>
      </c>
      <c r="I78" s="55" t="s">
        <v>781</v>
      </c>
      <c r="J78" s="11" t="s">
        <v>30</v>
      </c>
      <c r="K78" s="11"/>
      <c r="L78" s="11" t="s">
        <v>800</v>
      </c>
      <c r="M78" s="11" t="s">
        <v>30</v>
      </c>
      <c r="N78" s="48"/>
      <c r="O78" s="11" t="s">
        <v>269</v>
      </c>
      <c r="P78" s="11" t="s">
        <v>802</v>
      </c>
    </row>
    <row r="79" spans="1:17" s="17" customFormat="1">
      <c r="A79" s="11">
        <f t="shared" si="1"/>
        <v>74</v>
      </c>
      <c r="B79" s="47" t="s">
        <v>560</v>
      </c>
      <c r="C79" s="96" t="s">
        <v>564</v>
      </c>
      <c r="D79" s="11" t="s">
        <v>30</v>
      </c>
      <c r="E79" s="91" t="s">
        <v>34</v>
      </c>
      <c r="F79" s="11" t="s">
        <v>30</v>
      </c>
      <c r="G79" s="53" t="s">
        <v>565</v>
      </c>
      <c r="H79" s="11" t="s">
        <v>566</v>
      </c>
      <c r="I79" s="96" t="s">
        <v>563</v>
      </c>
      <c r="J79" s="50" t="s">
        <v>127</v>
      </c>
      <c r="K79" s="50">
        <v>1</v>
      </c>
      <c r="L79" s="11" t="s">
        <v>800</v>
      </c>
      <c r="M79" s="11" t="s">
        <v>30</v>
      </c>
      <c r="N79" s="48" t="s">
        <v>567</v>
      </c>
      <c r="O79" s="52" t="s">
        <v>562</v>
      </c>
      <c r="P79" s="11" t="s">
        <v>802</v>
      </c>
      <c r="Q79" s="97"/>
    </row>
    <row r="80" spans="1:17">
      <c r="A80" s="11">
        <f t="shared" si="1"/>
        <v>75</v>
      </c>
      <c r="B80" s="98" t="s">
        <v>561</v>
      </c>
      <c r="C80" s="45" t="s">
        <v>569</v>
      </c>
      <c r="D80" s="99" t="s">
        <v>14</v>
      </c>
      <c r="E80" s="45" t="s">
        <v>34</v>
      </c>
      <c r="F80" s="45" t="s">
        <v>14</v>
      </c>
      <c r="G80" s="100" t="s">
        <v>570</v>
      </c>
      <c r="H80" s="101" t="s">
        <v>51</v>
      </c>
      <c r="I80" s="45" t="s">
        <v>569</v>
      </c>
      <c r="J80" s="99" t="s">
        <v>14</v>
      </c>
      <c r="K80" s="102">
        <v>3</v>
      </c>
      <c r="L80" s="11" t="s">
        <v>800</v>
      </c>
      <c r="M80" s="11" t="s">
        <v>30</v>
      </c>
      <c r="N80" s="48" t="s">
        <v>573</v>
      </c>
      <c r="O80" s="101" t="s">
        <v>129</v>
      </c>
      <c r="P80" s="11" t="s">
        <v>802</v>
      </c>
      <c r="Q80" s="97"/>
    </row>
    <row r="81" spans="1:17">
      <c r="A81" s="11">
        <f t="shared" si="1"/>
        <v>76</v>
      </c>
      <c r="B81" s="98" t="s">
        <v>756</v>
      </c>
      <c r="C81" s="45" t="s">
        <v>571</v>
      </c>
      <c r="D81" s="99" t="s">
        <v>14</v>
      </c>
      <c r="E81" s="45" t="s">
        <v>34</v>
      </c>
      <c r="F81" s="45" t="s">
        <v>14</v>
      </c>
      <c r="G81" s="103" t="s">
        <v>572</v>
      </c>
      <c r="H81" s="101" t="s">
        <v>51</v>
      </c>
      <c r="I81" s="45" t="s">
        <v>571</v>
      </c>
      <c r="J81" s="99" t="s">
        <v>14</v>
      </c>
      <c r="K81" s="104">
        <v>4</v>
      </c>
      <c r="L81" s="11" t="s">
        <v>800</v>
      </c>
      <c r="M81" s="11" t="s">
        <v>30</v>
      </c>
      <c r="N81" s="48" t="s">
        <v>804</v>
      </c>
      <c r="O81" s="101" t="s">
        <v>129</v>
      </c>
      <c r="P81" s="11" t="s">
        <v>802</v>
      </c>
      <c r="Q81" s="97"/>
    </row>
    <row r="82" spans="1:17" s="25" customFormat="1">
      <c r="A82" s="11">
        <f t="shared" si="1"/>
        <v>77</v>
      </c>
      <c r="B82" s="47" t="s">
        <v>759</v>
      </c>
      <c r="C82" s="11" t="s">
        <v>179</v>
      </c>
      <c r="D82" s="11" t="s">
        <v>128</v>
      </c>
      <c r="E82" s="90" t="s">
        <v>34</v>
      </c>
      <c r="F82" s="11" t="s">
        <v>128</v>
      </c>
      <c r="G82" s="53" t="s">
        <v>230</v>
      </c>
      <c r="H82" s="11" t="s">
        <v>154</v>
      </c>
      <c r="I82" s="11" t="s">
        <v>179</v>
      </c>
      <c r="J82" s="50" t="s">
        <v>127</v>
      </c>
      <c r="K82" s="50">
        <v>1</v>
      </c>
      <c r="L82" s="11" t="s">
        <v>800</v>
      </c>
      <c r="M82" s="11" t="s">
        <v>30</v>
      </c>
      <c r="N82" s="48"/>
      <c r="O82" s="52" t="s">
        <v>129</v>
      </c>
      <c r="P82" s="11" t="s">
        <v>803</v>
      </c>
    </row>
    <row r="83" spans="1:17">
      <c r="B83" s="3"/>
      <c r="C83" s="2"/>
      <c r="H83" s="5"/>
      <c r="I83" s="2"/>
    </row>
    <row r="84" spans="1:17">
      <c r="A84" s="17"/>
      <c r="B84" s="1" t="s">
        <v>15</v>
      </c>
      <c r="C84" s="10" t="s">
        <v>16</v>
      </c>
      <c r="D84" s="18"/>
      <c r="E84" s="17"/>
      <c r="F84" s="17"/>
      <c r="G84" s="4"/>
      <c r="H84" s="17"/>
      <c r="I84" s="17"/>
      <c r="J84" s="17"/>
      <c r="O84" s="17"/>
      <c r="P84" s="17"/>
    </row>
    <row r="85" spans="1:17">
      <c r="A85" s="17"/>
      <c r="B85" s="17"/>
      <c r="C85" s="15" t="s">
        <v>5</v>
      </c>
      <c r="D85" s="17"/>
      <c r="E85" s="17"/>
      <c r="F85" s="17"/>
      <c r="G85" s="16"/>
      <c r="H85" s="17"/>
      <c r="I85" s="17"/>
      <c r="J85" s="17"/>
      <c r="O85" s="17"/>
      <c r="P85" s="17"/>
    </row>
    <row r="86" spans="1:17">
      <c r="A86" s="17"/>
      <c r="B86" s="17"/>
      <c r="C86" s="19" t="s">
        <v>6</v>
      </c>
      <c r="D86" s="17"/>
      <c r="E86" s="17"/>
      <c r="F86" s="17"/>
      <c r="G86" s="16"/>
      <c r="H86" s="17"/>
      <c r="I86" s="17"/>
      <c r="J86" s="17"/>
      <c r="O86" s="17"/>
      <c r="P86" s="17"/>
    </row>
    <row r="87" spans="1:17">
      <c r="C87" s="20" t="s">
        <v>52</v>
      </c>
      <c r="G87" s="18"/>
    </row>
    <row r="88" spans="1:17" ht="46.5">
      <c r="C88" s="29" t="s">
        <v>53</v>
      </c>
    </row>
    <row r="89" spans="1:17">
      <c r="K89" s="7"/>
      <c r="L89" s="7"/>
      <c r="M89" s="7"/>
    </row>
    <row r="90" spans="1:17">
      <c r="G90" s="22"/>
    </row>
  </sheetData>
  <autoFilter ref="A5:P82" xr:uid="{00000000-0001-0000-0100-000000000000}"/>
  <mergeCells count="4">
    <mergeCell ref="A3:B3"/>
    <mergeCell ref="A4:B4"/>
    <mergeCell ref="A1:P1"/>
    <mergeCell ref="A2:P2"/>
  </mergeCells>
  <phoneticPr fontId="18" type="noConversion"/>
  <conditionalFormatting sqref="A48:A82 D51:H51">
    <cfRule type="containsText" dxfId="899" priority="19" operator="containsText" text="TBD">
      <formula>NOT(ISERROR(SEARCH("TBD",A48)))</formula>
    </cfRule>
  </conditionalFormatting>
  <conditionalFormatting sqref="A23:B23 D23">
    <cfRule type="containsText" dxfId="898" priority="230" operator="containsText" text="TBD">
      <formula>NOT(ISERROR(SEARCH("TBD",A23)))</formula>
    </cfRule>
  </conditionalFormatting>
  <conditionalFormatting sqref="A28:B28">
    <cfRule type="containsText" dxfId="897" priority="222" operator="containsText" text="TBD">
      <formula>NOT(ISERROR(SEARCH("TBD",A28)))</formula>
    </cfRule>
  </conditionalFormatting>
  <conditionalFormatting sqref="A43:B45 D43:F45">
    <cfRule type="containsText" dxfId="896" priority="67" operator="containsText" text="TBD">
      <formula>NOT(ISERROR(SEARCH("TBD",A43)))</formula>
    </cfRule>
  </conditionalFormatting>
  <conditionalFormatting sqref="A9:D15">
    <cfRule type="containsText" dxfId="895" priority="306" operator="containsText" text="TBD">
      <formula>NOT(ISERROR(SEARCH("TBD",A9)))</formula>
    </cfRule>
  </conditionalFormatting>
  <conditionalFormatting sqref="A18:D22">
    <cfRule type="containsText" dxfId="894" priority="300" operator="containsText" text="TBD">
      <formula>NOT(ISERROR(SEARCH("TBD",A18)))</formula>
    </cfRule>
  </conditionalFormatting>
  <conditionalFormatting sqref="A31:G35">
    <cfRule type="containsText" dxfId="893" priority="127" operator="containsText" text="TBD">
      <formula>NOT(ISERROR(SEARCH("TBD",A31)))</formula>
    </cfRule>
  </conditionalFormatting>
  <conditionalFormatting sqref="B48:B51">
    <cfRule type="containsText" dxfId="892" priority="18" operator="containsText" text="TBD">
      <formula>NOT(ISERROR(SEARCH("TBD",B48)))</formula>
    </cfRule>
  </conditionalFormatting>
  <conditionalFormatting sqref="B54:B57 D55:D57 F55:F57">
    <cfRule type="containsText" dxfId="891" priority="23" operator="containsText" text="TBD">
      <formula>NOT(ISERROR(SEARCH("TBD",B54)))</formula>
    </cfRule>
  </conditionalFormatting>
  <conditionalFormatting sqref="B58:E79">
    <cfRule type="containsText" dxfId="890" priority="85" operator="containsText" text="TBD">
      <formula>NOT(ISERROR(SEARCH("TBD",B58)))</formula>
    </cfRule>
  </conditionalFormatting>
  <conditionalFormatting sqref="C21:C23">
    <cfRule type="containsText" dxfId="889" priority="225" operator="containsText" text="TBD">
      <formula>NOT(ISERROR(SEARCH("TBD",C21)))</formula>
    </cfRule>
  </conditionalFormatting>
  <conditionalFormatting sqref="C24:C26 A24:D24 A25:B25 D25 F25:H25">
    <cfRule type="containsText" dxfId="888" priority="401" operator="containsText" text="TBD">
      <formula>NOT(ISERROR(SEARCH("TBD",A24)))</formula>
    </cfRule>
  </conditionalFormatting>
  <conditionalFormatting sqref="C25">
    <cfRule type="duplicateValues" dxfId="887" priority="305"/>
    <cfRule type="duplicateValues" dxfId="886" priority="304"/>
  </conditionalFormatting>
  <conditionalFormatting sqref="C27:C30">
    <cfRule type="containsText" dxfId="885" priority="216" operator="containsText" text="TBD">
      <formula>NOT(ISERROR(SEARCH("TBD",C27)))</formula>
    </cfRule>
  </conditionalFormatting>
  <conditionalFormatting sqref="C36:C45">
    <cfRule type="containsText" dxfId="884" priority="63" operator="containsText" text="TBD">
      <formula>NOT(ISERROR(SEARCH("TBD",C36)))</formula>
    </cfRule>
  </conditionalFormatting>
  <conditionalFormatting sqref="C48:C72">
    <cfRule type="containsText" dxfId="883" priority="14" operator="containsText" text="TBD">
      <formula>NOT(ISERROR(SEARCH("TBD",C48)))</formula>
    </cfRule>
  </conditionalFormatting>
  <conditionalFormatting sqref="C84:C87">
    <cfRule type="containsText" dxfId="882" priority="396" operator="containsText" text="TBD">
      <formula>NOT(ISERROR(SEARCH("TBD",C84)))</formula>
    </cfRule>
  </conditionalFormatting>
  <conditionalFormatting sqref="C37:G38 C39:F39 A40:F42 D54:F54">
    <cfRule type="containsText" dxfId="881" priority="299" operator="containsText" text="TBD">
      <formula>NOT(ISERROR(SEARCH("TBD",A37)))</formula>
    </cfRule>
  </conditionalFormatting>
  <conditionalFormatting sqref="D36:G36">
    <cfRule type="containsText" dxfId="880" priority="119" operator="containsText" text="TBD">
      <formula>NOT(ISERROR(SEARCH("TBD",D36)))</formula>
    </cfRule>
  </conditionalFormatting>
  <conditionalFormatting sqref="D49:G49">
    <cfRule type="containsText" dxfId="879" priority="49" operator="containsText" text="TBD">
      <formula>NOT(ISERROR(SEARCH("TBD",D49)))</formula>
    </cfRule>
  </conditionalFormatting>
  <conditionalFormatting sqref="E6:E23">
    <cfRule type="containsText" dxfId="878" priority="68" operator="containsText" text="TBD">
      <formula>NOT(ISERROR(SEARCH("TBD",E6)))</formula>
    </cfRule>
  </conditionalFormatting>
  <conditionalFormatting sqref="E25:E45">
    <cfRule type="containsText" dxfId="877" priority="65" operator="containsText" text="TBD">
      <formula>NOT(ISERROR(SEARCH("TBD",E25)))</formula>
    </cfRule>
  </conditionalFormatting>
  <conditionalFormatting sqref="E48:E57">
    <cfRule type="containsText" dxfId="876" priority="17" operator="containsText" text="TBD">
      <formula>NOT(ISERROR(SEARCH("TBD",E48)))</formula>
    </cfRule>
  </conditionalFormatting>
  <conditionalFormatting sqref="F77:G78">
    <cfRule type="containsText" dxfId="875" priority="284" operator="containsText" text="TBD">
      <formula>NOT(ISERROR(SEARCH("TBD",F77)))</formula>
    </cfRule>
  </conditionalFormatting>
  <conditionalFormatting sqref="G39:G45">
    <cfRule type="containsText" dxfId="874" priority="60" operator="containsText" text="TBD">
      <formula>NOT(ISERROR(SEARCH("TBD",G39)))</formula>
    </cfRule>
  </conditionalFormatting>
  <conditionalFormatting sqref="G49:G51">
    <cfRule type="containsText" dxfId="873" priority="16" operator="containsText" text="TBD">
      <formula>NOT(ISERROR(SEARCH("TBD",G49)))</formula>
    </cfRule>
  </conditionalFormatting>
  <conditionalFormatting sqref="H31:H39 A36:B39">
    <cfRule type="containsText" dxfId="872" priority="126" operator="containsText" text="TBD">
      <formula>NOT(ISERROR(SEARCH("TBD",A31)))</formula>
    </cfRule>
  </conditionalFormatting>
  <conditionalFormatting sqref="H49:H50">
    <cfRule type="containsText" dxfId="871" priority="29" operator="containsText" text="TBD">
      <formula>NOT(ISERROR(SEARCH("TBD",H49)))</formula>
    </cfRule>
  </conditionalFormatting>
  <conditionalFormatting sqref="H77:H79">
    <cfRule type="containsText" dxfId="870" priority="90" operator="containsText" text="TBD">
      <formula>NOT(ISERROR(SEARCH("TBD",H77)))</formula>
    </cfRule>
  </conditionalFormatting>
  <conditionalFormatting sqref="I25">
    <cfRule type="duplicateValues" dxfId="869" priority="303"/>
    <cfRule type="duplicateValues" dxfId="868" priority="302"/>
  </conditionalFormatting>
  <conditionalFormatting sqref="I49:K51">
    <cfRule type="containsText" dxfId="867" priority="15" operator="containsText" text="TBD">
      <formula>NOT(ISERROR(SEARCH("TBD",I49)))</formula>
    </cfRule>
  </conditionalFormatting>
  <conditionalFormatting sqref="J71">
    <cfRule type="containsText" dxfId="866" priority="47" operator="containsText" text="TBD">
      <formula>NOT(ISERROR(SEARCH("TBD",J71)))</formula>
    </cfRule>
  </conditionalFormatting>
  <conditionalFormatting sqref="N79:N82">
    <cfRule type="containsText" dxfId="865" priority="1" operator="containsText" text="TBD">
      <formula>NOT(ISERROR(SEARCH("TBD",N79)))</formula>
    </cfRule>
  </conditionalFormatting>
  <conditionalFormatting sqref="N5:O5">
    <cfRule type="containsText" dxfId="864" priority="369" operator="containsText" text="TBD">
      <formula>NOT(ISERROR(SEARCH("TBD",N5)))</formula>
    </cfRule>
  </conditionalFormatting>
  <conditionalFormatting sqref="N27:O78">
    <cfRule type="containsText" dxfId="863" priority="157" operator="containsText" text="TBD">
      <formula>NOT(ISERROR(SEARCH("TBD",N27)))</formula>
    </cfRule>
  </conditionalFormatting>
  <conditionalFormatting sqref="O79:O82 A1:A2 A3:O6 O3:O10 A7:K8 L7:M82 F9:K15 A16:K17 F18:K24 J25:K25 N25:N26 O25:O30 A26:K27 D28:K28 A29:K30 I31:K33 J34:K35 I36:K39 H40:K45 A46:K47 D48:K48 D50:F50 B52:K53 G54:K57 F58:K76 Q58:XFD79 I77:K78 F79:K79 B80:K82 Q82:XFD1048576 A83:O1048576">
    <cfRule type="containsText" dxfId="862" priority="342" operator="containsText" text="TBD">
      <formula>NOT(ISERROR(SEARCH("TBD",A1)))</formula>
    </cfRule>
  </conditionalFormatting>
  <conditionalFormatting sqref="O81:P81">
    <cfRule type="containsText" dxfId="861" priority="8" operator="containsText" text="Group B">
      <formula>NOT(ISERROR(SEARCH("Group B",O81)))</formula>
    </cfRule>
    <cfRule type="containsText" dxfId="860" priority="10" operator="containsText" text="Group A">
      <formula>NOT(ISERROR(SEARCH("Group A",O81)))</formula>
    </cfRule>
    <cfRule type="containsText" dxfId="859" priority="9" operator="containsText" text="Group A">
      <formula>NOT(ISERROR(SEARCH("Group A",O81)))</formula>
    </cfRule>
    <cfRule type="containsText" dxfId="858" priority="7" operator="containsText" text="Group A">
      <formula>NOT(ISERROR(SEARCH("Group A",O81)))</formula>
    </cfRule>
  </conditionalFormatting>
  <conditionalFormatting sqref="P3:P1048576">
    <cfRule type="containsText" dxfId="857" priority="11" operator="containsText" text="TBD">
      <formula>NOT(ISERROR(SEARCH("TBD",P3)))</formula>
    </cfRule>
  </conditionalFormatting>
  <conditionalFormatting sqref="P7:P14">
    <cfRule type="containsText" dxfId="856" priority="4" operator="containsText" text="TBD">
      <formula>NOT(ISERROR(SEARCH("TBD",P7)))</formula>
    </cfRule>
  </conditionalFormatting>
  <conditionalFormatting sqref="P24">
    <cfRule type="containsText" dxfId="855" priority="3" operator="containsText" text="TBD">
      <formula>NOT(ISERROR(SEARCH("TBD",P24)))</formula>
    </cfRule>
  </conditionalFormatting>
  <conditionalFormatting sqref="P82">
    <cfRule type="containsText" dxfId="854" priority="2" operator="containsText" text="TBD">
      <formula>NOT(ISERROR(SEARCH("TBD",P82)))</formula>
    </cfRule>
  </conditionalFormatting>
  <conditionalFormatting sqref="Q1:XFD56 N7:O24">
    <cfRule type="containsText" dxfId="853" priority="48" operator="containsText" text="TBD">
      <formula>NOT(ISERROR(SEARCH("TBD",N1)))</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530E5-93FE-4129-8158-D6C430FD62C8}">
  <sheetPr>
    <tabColor theme="6" tint="0.59999389629810485"/>
  </sheetPr>
  <dimension ref="A1:AU90"/>
  <sheetViews>
    <sheetView zoomScale="70" zoomScaleNormal="70" workbookViewId="0">
      <pane ySplit="5" topLeftCell="A6" activePane="bottomLeft" state="frozen"/>
      <selection activeCell="H46" sqref="H46"/>
      <selection pane="bottomLeft" activeCell="H46" sqref="H46"/>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26953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40.36328125" style="6" customWidth="1"/>
    <col min="15" max="16" width="18.72656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
        <v>676</v>
      </c>
      <c r="D3" s="26" t="s">
        <v>1</v>
      </c>
      <c r="E3" s="27" t="s">
        <v>14</v>
      </c>
      <c r="F3" s="26"/>
      <c r="G3" s="26"/>
      <c r="H3" s="26"/>
      <c r="I3" s="26"/>
      <c r="J3" s="26"/>
      <c r="K3" s="26"/>
      <c r="L3" s="26"/>
      <c r="M3" s="26"/>
      <c r="N3" s="44"/>
      <c r="O3" s="26"/>
      <c r="P3" s="26"/>
    </row>
    <row r="4" spans="1:16" s="8" customFormat="1">
      <c r="A4" s="176" t="s">
        <v>8</v>
      </c>
      <c r="B4" s="176"/>
      <c r="C4" s="89" t="str">
        <f>E6</f>
        <v>01-101140</v>
      </c>
      <c r="D4" s="26" t="s">
        <v>9</v>
      </c>
      <c r="E4" s="27" t="s">
        <v>14</v>
      </c>
      <c r="F4" s="26" t="s">
        <v>10</v>
      </c>
      <c r="G4" s="13" t="str">
        <f>G6</f>
        <v>Maxwell Mercury_L10 Compute Tray Assy_MGX-OCP, Micron</v>
      </c>
      <c r="H4" s="26"/>
      <c r="I4" s="26"/>
      <c r="J4" s="26"/>
      <c r="K4" s="26"/>
      <c r="L4" s="26"/>
      <c r="M4" s="26"/>
      <c r="N4" s="44"/>
      <c r="O4" s="26"/>
      <c r="P4" s="26"/>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 t="shared" ref="A6:A71" si="0">ROW(A6)-5</f>
        <v>1</v>
      </c>
      <c r="B6" s="49" t="s">
        <v>36</v>
      </c>
      <c r="C6" s="52" t="s">
        <v>676</v>
      </c>
      <c r="D6" s="11" t="s">
        <v>17</v>
      </c>
      <c r="E6" s="91" t="s">
        <v>672</v>
      </c>
      <c r="F6" s="11" t="s">
        <v>14</v>
      </c>
      <c r="G6" s="13" t="s">
        <v>680</v>
      </c>
      <c r="H6" s="11" t="s">
        <v>20</v>
      </c>
      <c r="I6" s="52" t="s">
        <v>676</v>
      </c>
      <c r="J6" s="11" t="s">
        <v>14</v>
      </c>
      <c r="K6" s="11">
        <v>1</v>
      </c>
      <c r="L6" s="11" t="s">
        <v>800</v>
      </c>
      <c r="M6" s="11" t="s">
        <v>30</v>
      </c>
      <c r="N6" s="45"/>
      <c r="O6" s="11" t="s">
        <v>14</v>
      </c>
      <c r="P6" s="11" t="s">
        <v>802</v>
      </c>
    </row>
    <row r="7" spans="1:16" ht="62">
      <c r="A7" s="11">
        <f t="shared" si="0"/>
        <v>2</v>
      </c>
      <c r="B7" s="49" t="s">
        <v>29</v>
      </c>
      <c r="C7" s="55" t="s">
        <v>218</v>
      </c>
      <c r="D7" s="11" t="s">
        <v>17</v>
      </c>
      <c r="E7" s="91" t="s">
        <v>34</v>
      </c>
      <c r="F7" s="11" t="s">
        <v>14</v>
      </c>
      <c r="G7" s="13" t="s">
        <v>189</v>
      </c>
      <c r="H7" s="11" t="s">
        <v>40</v>
      </c>
      <c r="I7" s="24" t="s">
        <v>216</v>
      </c>
      <c r="J7" s="11" t="s">
        <v>14</v>
      </c>
      <c r="K7" s="11">
        <v>1</v>
      </c>
      <c r="L7" s="11" t="s">
        <v>800</v>
      </c>
      <c r="M7" s="11" t="s">
        <v>30</v>
      </c>
      <c r="N7" s="83" t="s">
        <v>460</v>
      </c>
      <c r="O7" s="11" t="s">
        <v>42</v>
      </c>
      <c r="P7" s="11" t="s">
        <v>803</v>
      </c>
    </row>
    <row r="8" spans="1:16" ht="62">
      <c r="A8" s="11">
        <f t="shared" si="0"/>
        <v>3</v>
      </c>
      <c r="B8" s="49" t="s">
        <v>37</v>
      </c>
      <c r="C8" s="55" t="s">
        <v>343</v>
      </c>
      <c r="D8" s="11" t="s">
        <v>17</v>
      </c>
      <c r="E8" s="91" t="s">
        <v>34</v>
      </c>
      <c r="F8" s="11" t="s">
        <v>14</v>
      </c>
      <c r="G8" s="13" t="s">
        <v>232</v>
      </c>
      <c r="H8" s="11" t="s">
        <v>40</v>
      </c>
      <c r="I8" s="55" t="s">
        <v>344</v>
      </c>
      <c r="J8" s="11" t="s">
        <v>14</v>
      </c>
      <c r="K8" s="11">
        <v>2</v>
      </c>
      <c r="L8" s="11" t="s">
        <v>800</v>
      </c>
      <c r="M8" s="11" t="s">
        <v>30</v>
      </c>
      <c r="N8" s="83" t="s">
        <v>685</v>
      </c>
      <c r="O8" s="11" t="s">
        <v>42</v>
      </c>
      <c r="P8" s="11" t="s">
        <v>803</v>
      </c>
    </row>
    <row r="9" spans="1:16" ht="31">
      <c r="A9" s="11">
        <f t="shared" si="0"/>
        <v>4</v>
      </c>
      <c r="B9" s="49" t="s">
        <v>117</v>
      </c>
      <c r="C9" s="11" t="s">
        <v>313</v>
      </c>
      <c r="D9" s="56" t="s">
        <v>30</v>
      </c>
      <c r="E9" s="91" t="s">
        <v>594</v>
      </c>
      <c r="F9" s="11" t="s">
        <v>14</v>
      </c>
      <c r="G9" s="13" t="s">
        <v>58</v>
      </c>
      <c r="H9" s="11" t="s">
        <v>40</v>
      </c>
      <c r="I9" s="24" t="s">
        <v>309</v>
      </c>
      <c r="J9" s="56" t="s">
        <v>30</v>
      </c>
      <c r="K9" s="11">
        <v>2</v>
      </c>
      <c r="L9" s="11" t="s">
        <v>800</v>
      </c>
      <c r="M9" s="11" t="s">
        <v>30</v>
      </c>
      <c r="N9" s="83" t="s">
        <v>505</v>
      </c>
      <c r="O9" s="11" t="s">
        <v>41</v>
      </c>
      <c r="P9" s="11" t="s">
        <v>803</v>
      </c>
    </row>
    <row r="10" spans="1:16" ht="46.5">
      <c r="A10" s="11">
        <f t="shared" si="0"/>
        <v>5</v>
      </c>
      <c r="B10" s="49" t="s">
        <v>118</v>
      </c>
      <c r="C10" s="24" t="s">
        <v>219</v>
      </c>
      <c r="D10" s="56" t="s">
        <v>30</v>
      </c>
      <c r="E10" s="91" t="s">
        <v>595</v>
      </c>
      <c r="F10" s="11" t="s">
        <v>14</v>
      </c>
      <c r="G10" s="13" t="s">
        <v>59</v>
      </c>
      <c r="H10" s="11" t="s">
        <v>40</v>
      </c>
      <c r="I10" s="24" t="s">
        <v>217</v>
      </c>
      <c r="J10" s="56" t="s">
        <v>30</v>
      </c>
      <c r="K10" s="11">
        <v>1</v>
      </c>
      <c r="L10" s="11" t="s">
        <v>800</v>
      </c>
      <c r="M10" s="11" t="s">
        <v>30</v>
      </c>
      <c r="N10" s="83" t="s">
        <v>329</v>
      </c>
      <c r="O10" s="11" t="s">
        <v>41</v>
      </c>
      <c r="P10" s="11"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225</v>
      </c>
      <c r="D14" s="56" t="s">
        <v>30</v>
      </c>
      <c r="E14" s="91" t="s">
        <v>468</v>
      </c>
      <c r="F14" s="11" t="s">
        <v>14</v>
      </c>
      <c r="G14" s="13" t="s">
        <v>188</v>
      </c>
      <c r="H14" s="11" t="s">
        <v>138</v>
      </c>
      <c r="I14" s="11" t="s">
        <v>145</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 t="shared" si="0"/>
        <v>14</v>
      </c>
      <c r="B19" s="58" t="s">
        <v>174</v>
      </c>
      <c r="C19" s="68" t="s">
        <v>151</v>
      </c>
      <c r="D19" s="61" t="s">
        <v>14</v>
      </c>
      <c r="E19" s="91" t="s">
        <v>526</v>
      </c>
      <c r="F19" s="11" t="s">
        <v>14</v>
      </c>
      <c r="G19" s="13" t="s">
        <v>532</v>
      </c>
      <c r="H19" s="11" t="s">
        <v>51</v>
      </c>
      <c r="I19" s="68" t="s">
        <v>151</v>
      </c>
      <c r="J19" s="11" t="s">
        <v>30</v>
      </c>
      <c r="K19" s="11">
        <v>1</v>
      </c>
      <c r="L19" s="11" t="s">
        <v>800</v>
      </c>
      <c r="M19" s="11" t="s">
        <v>30</v>
      </c>
      <c r="N19" s="64" t="s">
        <v>530</v>
      </c>
      <c r="O19" s="11" t="s">
        <v>159</v>
      </c>
      <c r="P19" s="11" t="s">
        <v>802</v>
      </c>
    </row>
    <row r="20" spans="1:16">
      <c r="A20" s="11">
        <f t="shared" si="0"/>
        <v>15</v>
      </c>
      <c r="B20" s="58" t="s">
        <v>131</v>
      </c>
      <c r="C20" s="11" t="s">
        <v>152</v>
      </c>
      <c r="D20" s="11" t="s">
        <v>14</v>
      </c>
      <c r="E20" s="91" t="s">
        <v>477</v>
      </c>
      <c r="F20" s="11" t="s">
        <v>14</v>
      </c>
      <c r="G20" s="13" t="s">
        <v>183</v>
      </c>
      <c r="H20" s="11" t="s">
        <v>51</v>
      </c>
      <c r="I20" s="11" t="str">
        <f>C20</f>
        <v>1A72BTD00-600-G</v>
      </c>
      <c r="J20" s="11" t="s">
        <v>14</v>
      </c>
      <c r="K20" s="11">
        <v>1</v>
      </c>
      <c r="L20" s="11" t="s">
        <v>800</v>
      </c>
      <c r="M20" s="11" t="s">
        <v>30</v>
      </c>
      <c r="N20" s="45" t="s">
        <v>304</v>
      </c>
      <c r="O20" s="11" t="s">
        <v>41</v>
      </c>
      <c r="P20" s="11" t="s">
        <v>802</v>
      </c>
    </row>
    <row r="21" spans="1:16">
      <c r="A21" s="11">
        <f t="shared" si="0"/>
        <v>16</v>
      </c>
      <c r="B21" s="58" t="s">
        <v>175</v>
      </c>
      <c r="C21" s="24" t="s">
        <v>162</v>
      </c>
      <c r="D21" s="11" t="s">
        <v>14</v>
      </c>
      <c r="E21" s="91" t="s">
        <v>473</v>
      </c>
      <c r="F21" s="11" t="s">
        <v>14</v>
      </c>
      <c r="G21" s="43" t="s">
        <v>161</v>
      </c>
      <c r="H21" s="11" t="s">
        <v>51</v>
      </c>
      <c r="I21" s="11" t="s">
        <v>162</v>
      </c>
      <c r="J21" s="11" t="s">
        <v>14</v>
      </c>
      <c r="K21" s="11">
        <v>1</v>
      </c>
      <c r="L21" s="11" t="s">
        <v>800</v>
      </c>
      <c r="M21" s="11" t="s">
        <v>30</v>
      </c>
      <c r="N21" s="45" t="s">
        <v>304</v>
      </c>
      <c r="O21" s="11" t="s">
        <v>41</v>
      </c>
      <c r="P21" s="11" t="s">
        <v>802</v>
      </c>
    </row>
    <row r="22" spans="1:16">
      <c r="A22" s="11">
        <f t="shared" si="0"/>
        <v>17</v>
      </c>
      <c r="B22" s="58" t="s">
        <v>310</v>
      </c>
      <c r="C22" s="24"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308</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1">
        <f t="shared" si="0"/>
        <v>19</v>
      </c>
      <c r="B24" s="58" t="s">
        <v>279</v>
      </c>
      <c r="C24" s="24" t="s">
        <v>278</v>
      </c>
      <c r="D24" s="11" t="s">
        <v>30</v>
      </c>
      <c r="E24" s="116" t="s">
        <v>593</v>
      </c>
      <c r="F24" s="11" t="s">
        <v>30</v>
      </c>
      <c r="G24" s="43" t="s">
        <v>276</v>
      </c>
      <c r="H24" s="11" t="s">
        <v>274</v>
      </c>
      <c r="I24" s="11" t="s">
        <v>275</v>
      </c>
      <c r="J24" s="11" t="s">
        <v>14</v>
      </c>
      <c r="K24" s="11">
        <v>2</v>
      </c>
      <c r="L24" s="11" t="s">
        <v>800</v>
      </c>
      <c r="M24" s="11" t="s">
        <v>30</v>
      </c>
      <c r="N24" s="45" t="s">
        <v>277</v>
      </c>
      <c r="O24" s="11" t="s">
        <v>273</v>
      </c>
      <c r="P24" s="11" t="s">
        <v>803</v>
      </c>
    </row>
    <row r="25" spans="1:16">
      <c r="A25" s="11">
        <f t="shared" si="0"/>
        <v>20</v>
      </c>
      <c r="B25" s="58" t="s">
        <v>280</v>
      </c>
      <c r="C25" s="24" t="s">
        <v>330</v>
      </c>
      <c r="D25" s="11" t="s">
        <v>14</v>
      </c>
      <c r="E25" s="91" t="s">
        <v>478</v>
      </c>
      <c r="F25" s="11" t="s">
        <v>14</v>
      </c>
      <c r="G25" s="43" t="s">
        <v>287</v>
      </c>
      <c r="H25" s="52" t="s">
        <v>418</v>
      </c>
      <c r="I25" s="65" t="s">
        <v>330</v>
      </c>
      <c r="J25" s="11" t="s">
        <v>14</v>
      </c>
      <c r="K25" s="11">
        <v>1</v>
      </c>
      <c r="L25" s="11" t="s">
        <v>800</v>
      </c>
      <c r="M25" s="11" t="s">
        <v>30</v>
      </c>
      <c r="N25" s="45" t="s">
        <v>331</v>
      </c>
      <c r="O25" s="11" t="s">
        <v>44</v>
      </c>
      <c r="P25" s="11" t="s">
        <v>802</v>
      </c>
    </row>
    <row r="26" spans="1:16">
      <c r="A26" s="11">
        <f t="shared" si="0"/>
        <v>21</v>
      </c>
      <c r="B26" s="58" t="s">
        <v>281</v>
      </c>
      <c r="C26" s="24" t="s">
        <v>286</v>
      </c>
      <c r="D26" s="11" t="s">
        <v>14</v>
      </c>
      <c r="E26" s="91" t="s">
        <v>34</v>
      </c>
      <c r="F26" s="11" t="s">
        <v>14</v>
      </c>
      <c r="G26" s="66" t="s">
        <v>285</v>
      </c>
      <c r="H26" s="52" t="s">
        <v>418</v>
      </c>
      <c r="I26" s="11" t="s">
        <v>286</v>
      </c>
      <c r="J26" s="11" t="s">
        <v>14</v>
      </c>
      <c r="K26" s="11">
        <v>3</v>
      </c>
      <c r="L26" s="11" t="s">
        <v>800</v>
      </c>
      <c r="M26" s="11" t="s">
        <v>30</v>
      </c>
      <c r="N26" s="45" t="s">
        <v>284</v>
      </c>
      <c r="O26" s="11" t="s">
        <v>44</v>
      </c>
      <c r="P26" s="11" t="s">
        <v>802</v>
      </c>
    </row>
    <row r="27" spans="1:16">
      <c r="A27" s="11">
        <f t="shared" si="0"/>
        <v>22</v>
      </c>
      <c r="B27" s="58"/>
      <c r="C27" s="55" t="s">
        <v>408</v>
      </c>
      <c r="D27" s="11" t="s">
        <v>14</v>
      </c>
      <c r="E27" s="91" t="s">
        <v>34</v>
      </c>
      <c r="F27" s="11" t="s">
        <v>14</v>
      </c>
      <c r="G27" s="43" t="s">
        <v>405</v>
      </c>
      <c r="H27" s="52" t="s">
        <v>406</v>
      </c>
      <c r="I27" s="55" t="s">
        <v>407</v>
      </c>
      <c r="J27" s="11" t="s">
        <v>14</v>
      </c>
      <c r="K27" s="11"/>
      <c r="L27" s="11" t="s">
        <v>800</v>
      </c>
      <c r="M27" s="11" t="s">
        <v>30</v>
      </c>
      <c r="N27" s="45" t="s">
        <v>284</v>
      </c>
      <c r="O27" s="11" t="s">
        <v>44</v>
      </c>
      <c r="P27" s="11" t="s">
        <v>802</v>
      </c>
    </row>
    <row r="28" spans="1:16">
      <c r="A28" s="11">
        <f t="shared" si="0"/>
        <v>23</v>
      </c>
      <c r="B28" s="58" t="s">
        <v>409</v>
      </c>
      <c r="C28" s="55" t="s">
        <v>506</v>
      </c>
      <c r="D28" s="11" t="s">
        <v>14</v>
      </c>
      <c r="E28" s="91" t="s">
        <v>34</v>
      </c>
      <c r="F28" s="11" t="s">
        <v>14</v>
      </c>
      <c r="G28" s="66" t="s">
        <v>507</v>
      </c>
      <c r="H28" s="52" t="s">
        <v>418</v>
      </c>
      <c r="I28" s="55" t="s">
        <v>506</v>
      </c>
      <c r="J28" s="11" t="s">
        <v>14</v>
      </c>
      <c r="K28" s="11">
        <v>4</v>
      </c>
      <c r="L28" s="11" t="s">
        <v>800</v>
      </c>
      <c r="M28" s="11" t="s">
        <v>30</v>
      </c>
      <c r="N28" s="45" t="s">
        <v>515</v>
      </c>
      <c r="O28" s="11" t="s">
        <v>44</v>
      </c>
      <c r="P28" s="11" t="s">
        <v>802</v>
      </c>
    </row>
    <row r="29" spans="1:16">
      <c r="A29" s="11">
        <f t="shared" si="0"/>
        <v>24</v>
      </c>
      <c r="B29" s="58"/>
      <c r="C29" s="55" t="s">
        <v>508</v>
      </c>
      <c r="D29" s="11" t="s">
        <v>14</v>
      </c>
      <c r="E29" s="9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0"/>
        <v>25</v>
      </c>
      <c r="B30" s="58"/>
      <c r="C30" s="55" t="s">
        <v>509</v>
      </c>
      <c r="D30" s="11" t="s">
        <v>14</v>
      </c>
      <c r="E30" s="9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9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91" t="s">
        <v>34</v>
      </c>
      <c r="F32" s="11" t="s">
        <v>14</v>
      </c>
      <c r="G32" s="43" t="s">
        <v>316</v>
      </c>
      <c r="H32" s="52" t="s">
        <v>418</v>
      </c>
      <c r="I32" s="24" t="s">
        <v>290</v>
      </c>
      <c r="J32" s="11" t="s">
        <v>14</v>
      </c>
      <c r="K32" s="11">
        <v>8</v>
      </c>
      <c r="L32" s="11" t="s">
        <v>800</v>
      </c>
      <c r="M32" s="11" t="s">
        <v>30</v>
      </c>
      <c r="N32" s="45" t="s">
        <v>289</v>
      </c>
      <c r="O32" s="11" t="s">
        <v>44</v>
      </c>
      <c r="P32" s="11" t="s">
        <v>802</v>
      </c>
    </row>
    <row r="33" spans="1:16">
      <c r="A33" s="11">
        <f t="shared" si="0"/>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46</v>
      </c>
      <c r="C34" s="24" t="s">
        <v>333</v>
      </c>
      <c r="D34" s="11" t="s">
        <v>14</v>
      </c>
      <c r="E34" s="91" t="s">
        <v>34</v>
      </c>
      <c r="F34" s="11" t="s">
        <v>14</v>
      </c>
      <c r="G34" s="43" t="s">
        <v>314</v>
      </c>
      <c r="H34" s="52" t="s">
        <v>418</v>
      </c>
      <c r="I34" s="67" t="s">
        <v>333</v>
      </c>
      <c r="J34" s="11" t="s">
        <v>14</v>
      </c>
      <c r="K34" s="11">
        <v>1</v>
      </c>
      <c r="L34" s="11" t="s">
        <v>800</v>
      </c>
      <c r="M34" s="11" t="s">
        <v>30</v>
      </c>
      <c r="N34" s="45" t="s">
        <v>332</v>
      </c>
      <c r="O34" s="11" t="s">
        <v>44</v>
      </c>
      <c r="P34" s="11" t="s">
        <v>802</v>
      </c>
    </row>
    <row r="35" spans="1:16">
      <c r="A35" s="11">
        <f t="shared" si="0"/>
        <v>30</v>
      </c>
      <c r="B35" s="58" t="s">
        <v>47</v>
      </c>
      <c r="C35" s="24" t="s">
        <v>548</v>
      </c>
      <c r="D35" s="11" t="s">
        <v>14</v>
      </c>
      <c r="E35" s="91" t="s">
        <v>34</v>
      </c>
      <c r="F35" s="11" t="s">
        <v>14</v>
      </c>
      <c r="G35" s="43" t="s">
        <v>334</v>
      </c>
      <c r="H35" s="52" t="s">
        <v>418</v>
      </c>
      <c r="I35" s="67" t="s">
        <v>335</v>
      </c>
      <c r="J35" s="11" t="s">
        <v>14</v>
      </c>
      <c r="K35" s="52">
        <v>2</v>
      </c>
      <c r="L35" s="11" t="s">
        <v>800</v>
      </c>
      <c r="M35" s="11" t="s">
        <v>30</v>
      </c>
      <c r="N35" s="45" t="s">
        <v>336</v>
      </c>
      <c r="O35" s="11" t="s">
        <v>44</v>
      </c>
      <c r="P35" s="11" t="s">
        <v>802</v>
      </c>
    </row>
    <row r="36" spans="1:16">
      <c r="A36" s="11">
        <f t="shared" si="0"/>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9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9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55" t="s">
        <v>398</v>
      </c>
      <c r="D39" s="11" t="s">
        <v>14</v>
      </c>
      <c r="E39" s="91" t="s">
        <v>34</v>
      </c>
      <c r="F39" s="11" t="s">
        <v>14</v>
      </c>
      <c r="G39" s="43" t="s">
        <v>299</v>
      </c>
      <c r="H39" s="52" t="s">
        <v>418</v>
      </c>
      <c r="I39" s="55" t="s">
        <v>398</v>
      </c>
      <c r="J39" s="11" t="s">
        <v>14</v>
      </c>
      <c r="K39" s="11">
        <v>64</v>
      </c>
      <c r="L39" s="11" t="s">
        <v>800</v>
      </c>
      <c r="M39" s="11" t="s">
        <v>30</v>
      </c>
      <c r="N39" s="45" t="s">
        <v>296</v>
      </c>
      <c r="O39" s="11" t="s">
        <v>44</v>
      </c>
      <c r="P39" s="11" t="s">
        <v>802</v>
      </c>
    </row>
    <row r="40" spans="1:16">
      <c r="A40" s="11">
        <f t="shared" si="0"/>
        <v>35</v>
      </c>
      <c r="B40" s="58"/>
      <c r="C40" s="55" t="s">
        <v>400</v>
      </c>
      <c r="D40" s="11" t="s">
        <v>14</v>
      </c>
      <c r="E40" s="91" t="s">
        <v>34</v>
      </c>
      <c r="F40" s="11" t="s">
        <v>14</v>
      </c>
      <c r="G40" s="43" t="s">
        <v>415</v>
      </c>
      <c r="H40" s="52" t="s">
        <v>401</v>
      </c>
      <c r="I40" s="55" t="s">
        <v>402</v>
      </c>
      <c r="J40" s="11" t="s">
        <v>14</v>
      </c>
      <c r="K40" s="11"/>
      <c r="L40" s="11" t="s">
        <v>800</v>
      </c>
      <c r="M40" s="11" t="s">
        <v>30</v>
      </c>
      <c r="N40" s="45" t="s">
        <v>296</v>
      </c>
      <c r="O40" s="11" t="s">
        <v>44</v>
      </c>
      <c r="P40" s="11" t="s">
        <v>802</v>
      </c>
    </row>
    <row r="41" spans="1:16">
      <c r="A41" s="11">
        <f t="shared" si="0"/>
        <v>36</v>
      </c>
      <c r="B41" s="58" t="s">
        <v>412</v>
      </c>
      <c r="C41" s="55" t="s">
        <v>399</v>
      </c>
      <c r="D41" s="11" t="s">
        <v>14</v>
      </c>
      <c r="E41" s="91" t="s">
        <v>34</v>
      </c>
      <c r="F41" s="11" t="s">
        <v>14</v>
      </c>
      <c r="G41" s="13" t="s">
        <v>298</v>
      </c>
      <c r="H41" s="52" t="s">
        <v>418</v>
      </c>
      <c r="I41" s="55" t="s">
        <v>399</v>
      </c>
      <c r="J41" s="11" t="s">
        <v>14</v>
      </c>
      <c r="K41" s="11">
        <v>64</v>
      </c>
      <c r="L41" s="11" t="s">
        <v>800</v>
      </c>
      <c r="M41" s="11" t="s">
        <v>30</v>
      </c>
      <c r="N41" s="45" t="s">
        <v>297</v>
      </c>
      <c r="O41" s="11" t="s">
        <v>44</v>
      </c>
      <c r="P41" s="11" t="s">
        <v>802</v>
      </c>
    </row>
    <row r="42" spans="1:16">
      <c r="A42" s="11">
        <f t="shared" si="0"/>
        <v>37</v>
      </c>
      <c r="B42" s="58"/>
      <c r="C42" s="55" t="s">
        <v>404</v>
      </c>
      <c r="D42" s="11" t="s">
        <v>14</v>
      </c>
      <c r="E42" s="9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91" t="s">
        <v>34</v>
      </c>
      <c r="F43" s="11" t="s">
        <v>14</v>
      </c>
      <c r="G43" s="66"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91" t="s">
        <v>34</v>
      </c>
      <c r="F44" s="11" t="s">
        <v>14</v>
      </c>
      <c r="G44" s="66"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91" t="s">
        <v>34</v>
      </c>
      <c r="F45" s="11" t="s">
        <v>14</v>
      </c>
      <c r="G45" s="66"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91" t="s">
        <v>34</v>
      </c>
      <c r="F46" s="11" t="s">
        <v>14</v>
      </c>
      <c r="G46" s="66"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91" t="s">
        <v>34</v>
      </c>
      <c r="F47" s="11" t="s">
        <v>14</v>
      </c>
      <c r="G47" s="66"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91" t="s">
        <v>34</v>
      </c>
      <c r="F48" s="11" t="s">
        <v>14</v>
      </c>
      <c r="G48" s="66" t="s">
        <v>634</v>
      </c>
      <c r="H48" s="52" t="s">
        <v>538</v>
      </c>
      <c r="I48" s="52" t="s">
        <v>632</v>
      </c>
      <c r="J48" s="11" t="s">
        <v>14</v>
      </c>
      <c r="K48" s="11"/>
      <c r="L48" s="11" t="s">
        <v>800</v>
      </c>
      <c r="M48" s="11" t="s">
        <v>30</v>
      </c>
      <c r="N48" s="45" t="s">
        <v>524</v>
      </c>
      <c r="O48" s="11" t="s">
        <v>44</v>
      </c>
      <c r="P48" s="11" t="s">
        <v>802</v>
      </c>
    </row>
    <row r="49" spans="1:47">
      <c r="A49" s="11">
        <f t="shared" si="0"/>
        <v>44</v>
      </c>
      <c r="B49" s="58" t="s">
        <v>745</v>
      </c>
      <c r="C49" s="55" t="s">
        <v>747</v>
      </c>
      <c r="D49" s="11" t="s">
        <v>14</v>
      </c>
      <c r="E49" s="91" t="s">
        <v>34</v>
      </c>
      <c r="F49" s="11" t="s">
        <v>14</v>
      </c>
      <c r="G49" s="66" t="s">
        <v>744</v>
      </c>
      <c r="H49" s="55" t="s">
        <v>743</v>
      </c>
      <c r="I49" s="55" t="s">
        <v>747</v>
      </c>
      <c r="J49" s="11" t="s">
        <v>14</v>
      </c>
      <c r="K49" s="11">
        <v>1</v>
      </c>
      <c r="L49" s="11" t="s">
        <v>800</v>
      </c>
      <c r="M49" s="11" t="s">
        <v>30</v>
      </c>
      <c r="N49" s="45"/>
      <c r="O49" s="11" t="s">
        <v>44</v>
      </c>
      <c r="P49" s="11" t="s">
        <v>802</v>
      </c>
    </row>
    <row r="50" spans="1:47">
      <c r="A50" s="11">
        <f t="shared" si="0"/>
        <v>45</v>
      </c>
      <c r="B50" s="58" t="s">
        <v>746</v>
      </c>
      <c r="C50" s="55" t="s">
        <v>751</v>
      </c>
      <c r="D50" s="11" t="s">
        <v>14</v>
      </c>
      <c r="E50" s="91" t="s">
        <v>34</v>
      </c>
      <c r="F50" s="11" t="s">
        <v>14</v>
      </c>
      <c r="G50" s="66" t="s">
        <v>748</v>
      </c>
      <c r="H50" s="52" t="s">
        <v>749</v>
      </c>
      <c r="I50" s="55" t="s">
        <v>750</v>
      </c>
      <c r="J50" s="11" t="s">
        <v>14</v>
      </c>
      <c r="K50" s="11">
        <v>4</v>
      </c>
      <c r="L50" s="11" t="s">
        <v>800</v>
      </c>
      <c r="M50" s="11" t="s">
        <v>30</v>
      </c>
      <c r="N50" s="45"/>
      <c r="O50" s="11" t="s">
        <v>44</v>
      </c>
      <c r="P50" s="11" t="s">
        <v>802</v>
      </c>
    </row>
    <row r="51" spans="1:47">
      <c r="A51" s="11">
        <f t="shared" si="0"/>
        <v>46</v>
      </c>
      <c r="B51" s="58" t="s">
        <v>302</v>
      </c>
      <c r="C51" s="11" t="s">
        <v>789</v>
      </c>
      <c r="D51" s="11" t="s">
        <v>14</v>
      </c>
      <c r="E51" s="91" t="s">
        <v>34</v>
      </c>
      <c r="F51" s="11" t="s">
        <v>14</v>
      </c>
      <c r="G51" s="66" t="s">
        <v>786</v>
      </c>
      <c r="H51" s="52" t="s">
        <v>787</v>
      </c>
      <c r="I51" s="55" t="s">
        <v>785</v>
      </c>
      <c r="J51" s="11" t="s">
        <v>14</v>
      </c>
      <c r="K51" s="11">
        <v>1</v>
      </c>
      <c r="L51" s="11" t="s">
        <v>800</v>
      </c>
      <c r="M51" s="11" t="s">
        <v>30</v>
      </c>
      <c r="N51" s="45"/>
      <c r="O51" s="11" t="s">
        <v>44</v>
      </c>
      <c r="P51" s="11" t="s">
        <v>802</v>
      </c>
    </row>
    <row r="52" spans="1:47" s="206" customFormat="1">
      <c r="A52" s="200">
        <f t="shared" si="0"/>
        <v>47</v>
      </c>
      <c r="B52" s="201" t="s">
        <v>555</v>
      </c>
      <c r="C52" s="202" t="s">
        <v>211</v>
      </c>
      <c r="D52" s="200" t="s">
        <v>30</v>
      </c>
      <c r="E52" s="203" t="s">
        <v>527</v>
      </c>
      <c r="F52" s="200" t="s">
        <v>14</v>
      </c>
      <c r="G52" s="204" t="s">
        <v>209</v>
      </c>
      <c r="H52" s="200" t="s">
        <v>210</v>
      </c>
      <c r="I52" s="202" t="s">
        <v>213</v>
      </c>
      <c r="J52" s="200" t="s">
        <v>30</v>
      </c>
      <c r="K52" s="200">
        <v>8</v>
      </c>
      <c r="L52" s="200" t="s">
        <v>800</v>
      </c>
      <c r="M52" s="200" t="s">
        <v>30</v>
      </c>
      <c r="N52" s="205"/>
      <c r="O52" s="200" t="s">
        <v>50</v>
      </c>
      <c r="P52" s="200" t="s">
        <v>803</v>
      </c>
    </row>
    <row r="53" spans="1:47" s="206" customFormat="1">
      <c r="A53" s="200">
        <f t="shared" si="0"/>
        <v>48</v>
      </c>
      <c r="B53" s="201"/>
      <c r="C53" s="202" t="s">
        <v>212</v>
      </c>
      <c r="D53" s="200" t="s">
        <v>30</v>
      </c>
      <c r="E53" s="203" t="s">
        <v>527</v>
      </c>
      <c r="F53" s="200" t="s">
        <v>14</v>
      </c>
      <c r="G53" s="207" t="s">
        <v>209</v>
      </c>
      <c r="H53" s="200" t="s">
        <v>57</v>
      </c>
      <c r="I53" s="202" t="s">
        <v>214</v>
      </c>
      <c r="J53" s="200" t="s">
        <v>30</v>
      </c>
      <c r="K53" s="200"/>
      <c r="L53" s="200" t="s">
        <v>800</v>
      </c>
      <c r="M53" s="200" t="s">
        <v>30</v>
      </c>
      <c r="N53" s="205"/>
      <c r="O53" s="200" t="s">
        <v>50</v>
      </c>
      <c r="P53" s="200" t="s">
        <v>803</v>
      </c>
    </row>
    <row r="54" spans="1:47" s="39" customFormat="1" ht="14.5">
      <c r="A54" s="24">
        <f t="shared" si="0"/>
        <v>49</v>
      </c>
      <c r="B54" s="47" t="s">
        <v>556</v>
      </c>
      <c r="C54" s="24" t="s">
        <v>456</v>
      </c>
      <c r="D54" s="93" t="s">
        <v>30</v>
      </c>
      <c r="E54" s="91" t="s">
        <v>528</v>
      </c>
      <c r="F54" s="24" t="s">
        <v>14</v>
      </c>
      <c r="G54" s="13" t="s">
        <v>424</v>
      </c>
      <c r="H54" s="55" t="s">
        <v>464</v>
      </c>
      <c r="I54" s="55" t="s">
        <v>456</v>
      </c>
      <c r="J54" s="24" t="s">
        <v>30</v>
      </c>
      <c r="K54" s="24">
        <v>1</v>
      </c>
      <c r="L54" s="11" t="s">
        <v>800</v>
      </c>
      <c r="M54" s="11" t="s">
        <v>30</v>
      </c>
      <c r="N54" s="94"/>
      <c r="O54" s="24" t="s">
        <v>50</v>
      </c>
      <c r="P54" s="11" t="s">
        <v>802</v>
      </c>
    </row>
    <row r="55" spans="1:47" s="39" customFormat="1" ht="14.5">
      <c r="A55" s="24">
        <f t="shared" si="0"/>
        <v>50</v>
      </c>
      <c r="B55" s="47"/>
      <c r="C55" s="24" t="s">
        <v>462</v>
      </c>
      <c r="D55" s="93" t="s">
        <v>30</v>
      </c>
      <c r="E55" s="91" t="s">
        <v>528</v>
      </c>
      <c r="F55" s="24" t="s">
        <v>14</v>
      </c>
      <c r="G55" s="13" t="s">
        <v>425</v>
      </c>
      <c r="H55" s="55" t="s">
        <v>464</v>
      </c>
      <c r="I55" s="55" t="s">
        <v>462</v>
      </c>
      <c r="J55" s="24" t="s">
        <v>30</v>
      </c>
      <c r="K55" s="24"/>
      <c r="L55" s="11" t="s">
        <v>800</v>
      </c>
      <c r="M55" s="11" t="s">
        <v>30</v>
      </c>
      <c r="N55" s="94"/>
      <c r="O55" s="24" t="s">
        <v>50</v>
      </c>
      <c r="P55" s="11" t="s">
        <v>802</v>
      </c>
    </row>
    <row r="56" spans="1:47" s="39" customFormat="1" ht="14.5">
      <c r="A56" s="24">
        <f t="shared" si="0"/>
        <v>51</v>
      </c>
      <c r="B56" s="47"/>
      <c r="C56" s="24" t="s">
        <v>463</v>
      </c>
      <c r="D56" s="93" t="s">
        <v>30</v>
      </c>
      <c r="E56" s="91" t="s">
        <v>528</v>
      </c>
      <c r="F56" s="24" t="s">
        <v>14</v>
      </c>
      <c r="G56" s="13" t="s">
        <v>465</v>
      </c>
      <c r="H56" s="55" t="s">
        <v>464</v>
      </c>
      <c r="I56" s="55" t="s">
        <v>463</v>
      </c>
      <c r="J56" s="24" t="s">
        <v>30</v>
      </c>
      <c r="K56" s="24"/>
      <c r="L56" s="11" t="s">
        <v>800</v>
      </c>
      <c r="M56" s="11" t="s">
        <v>30</v>
      </c>
      <c r="N56" s="94"/>
      <c r="O56" s="24" t="s">
        <v>50</v>
      </c>
      <c r="P56" s="11" t="s">
        <v>802</v>
      </c>
    </row>
    <row r="57" spans="1:47" s="45" customFormat="1">
      <c r="A57" s="24">
        <f t="shared" si="0"/>
        <v>52</v>
      </c>
      <c r="B57" s="47"/>
      <c r="C57" s="24" t="s">
        <v>775</v>
      </c>
      <c r="D57" s="93" t="s">
        <v>30</v>
      </c>
      <c r="E57" s="91" t="s">
        <v>528</v>
      </c>
      <c r="F57" s="24" t="s">
        <v>14</v>
      </c>
      <c r="G57" s="13" t="s">
        <v>726</v>
      </c>
      <c r="H57" s="55" t="s">
        <v>464</v>
      </c>
      <c r="I57" s="55" t="str">
        <f>C57</f>
        <v>TEMP-S000229174</v>
      </c>
      <c r="J57" s="24" t="s">
        <v>30</v>
      </c>
      <c r="K57" s="24"/>
      <c r="L57" s="11" t="s">
        <v>800</v>
      </c>
      <c r="M57" s="11" t="s">
        <v>30</v>
      </c>
      <c r="N57" s="94"/>
      <c r="O57" s="24" t="s">
        <v>50</v>
      </c>
      <c r="P57" s="11" t="s">
        <v>802</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row>
    <row r="58" spans="1:47" s="25" customFormat="1" ht="14.5">
      <c r="A58" s="24">
        <f t="shared" si="0"/>
        <v>53</v>
      </c>
      <c r="B58" s="47" t="s">
        <v>557</v>
      </c>
      <c r="C58" s="11" t="s">
        <v>383</v>
      </c>
      <c r="D58" s="11" t="s">
        <v>30</v>
      </c>
      <c r="E58" s="90" t="s">
        <v>34</v>
      </c>
      <c r="F58" s="11" t="s">
        <v>30</v>
      </c>
      <c r="G58" s="53" t="s">
        <v>312</v>
      </c>
      <c r="H58" s="11" t="s">
        <v>51</v>
      </c>
      <c r="I58" s="11" t="s">
        <v>383</v>
      </c>
      <c r="J58" s="50" t="s">
        <v>127</v>
      </c>
      <c r="K58" s="50">
        <v>1</v>
      </c>
      <c r="L58" s="11" t="s">
        <v>800</v>
      </c>
      <c r="M58" s="11" t="s">
        <v>30</v>
      </c>
      <c r="N58" s="11"/>
      <c r="O58" s="52" t="s">
        <v>50</v>
      </c>
      <c r="P58" s="11" t="s">
        <v>802</v>
      </c>
    </row>
    <row r="59" spans="1:47" s="17" customFormat="1">
      <c r="A59" s="11">
        <f t="shared" si="0"/>
        <v>54</v>
      </c>
      <c r="B59" s="47" t="s">
        <v>752</v>
      </c>
      <c r="C59" s="24" t="s">
        <v>249</v>
      </c>
      <c r="D59" s="11" t="s">
        <v>30</v>
      </c>
      <c r="E59" s="91" t="s">
        <v>479</v>
      </c>
      <c r="F59" s="11" t="s">
        <v>14</v>
      </c>
      <c r="G59" s="13" t="s">
        <v>267</v>
      </c>
      <c r="H59" s="11" t="s">
        <v>39</v>
      </c>
      <c r="I59" s="24" t="s">
        <v>233</v>
      </c>
      <c r="J59" s="11" t="s">
        <v>700</v>
      </c>
      <c r="K59" s="11">
        <v>1</v>
      </c>
      <c r="L59" s="11" t="s">
        <v>800</v>
      </c>
      <c r="M59" s="11" t="s">
        <v>30</v>
      </c>
      <c r="N59" s="70" t="s">
        <v>268</v>
      </c>
      <c r="O59" s="11" t="s">
        <v>45</v>
      </c>
      <c r="P59" s="11" t="s">
        <v>802</v>
      </c>
    </row>
    <row r="60" spans="1:47" s="17" customFormat="1">
      <c r="A60" s="11">
        <f t="shared" si="0"/>
        <v>55</v>
      </c>
      <c r="B60" s="47" t="s">
        <v>753</v>
      </c>
      <c r="C60" s="55" t="s">
        <v>796</v>
      </c>
      <c r="D60" s="11" t="s">
        <v>30</v>
      </c>
      <c r="E60" s="91" t="s">
        <v>480</v>
      </c>
      <c r="F60" s="11" t="s">
        <v>14</v>
      </c>
      <c r="G60" s="13" t="s">
        <v>797</v>
      </c>
      <c r="H60" s="11" t="s">
        <v>39</v>
      </c>
      <c r="I60" s="24" t="s">
        <v>234</v>
      </c>
      <c r="J60" s="52" t="s">
        <v>773</v>
      </c>
      <c r="K60" s="11">
        <v>1</v>
      </c>
      <c r="L60" s="11" t="s">
        <v>800</v>
      </c>
      <c r="M60" s="11" t="s">
        <v>30</v>
      </c>
      <c r="N60" s="48" t="s">
        <v>192</v>
      </c>
      <c r="O60" s="11" t="s">
        <v>45</v>
      </c>
      <c r="P60" s="11" t="s">
        <v>802</v>
      </c>
    </row>
    <row r="61" spans="1:47" s="17" customFormat="1">
      <c r="A61" s="11">
        <f t="shared" si="0"/>
        <v>56</v>
      </c>
      <c r="B61" s="47" t="s">
        <v>758</v>
      </c>
      <c r="C61" s="55" t="s">
        <v>769</v>
      </c>
      <c r="D61" s="11" t="s">
        <v>30</v>
      </c>
      <c r="E61" s="91" t="s">
        <v>481</v>
      </c>
      <c r="F61" s="11" t="s">
        <v>14</v>
      </c>
      <c r="G61" s="13" t="s">
        <v>772</v>
      </c>
      <c r="H61" s="11" t="s">
        <v>39</v>
      </c>
      <c r="I61" s="24" t="s">
        <v>235</v>
      </c>
      <c r="J61" s="52" t="s">
        <v>773</v>
      </c>
      <c r="K61" s="11">
        <v>1</v>
      </c>
      <c r="L61" s="11" t="s">
        <v>800</v>
      </c>
      <c r="M61" s="11" t="s">
        <v>30</v>
      </c>
      <c r="N61" s="48" t="s">
        <v>193</v>
      </c>
      <c r="O61" s="11" t="s">
        <v>45</v>
      </c>
      <c r="P61" s="11" t="s">
        <v>802</v>
      </c>
    </row>
    <row r="62" spans="1:47" s="17" customFormat="1">
      <c r="A62" s="11">
        <f t="shared" si="0"/>
        <v>57</v>
      </c>
      <c r="B62" s="47" t="s">
        <v>155</v>
      </c>
      <c r="C62" s="55" t="s">
        <v>770</v>
      </c>
      <c r="D62" s="11" t="s">
        <v>30</v>
      </c>
      <c r="E62" s="91" t="s">
        <v>482</v>
      </c>
      <c r="F62" s="11" t="s">
        <v>14</v>
      </c>
      <c r="G62" s="13" t="s">
        <v>771</v>
      </c>
      <c r="H62" s="11" t="s">
        <v>39</v>
      </c>
      <c r="I62" s="24" t="s">
        <v>236</v>
      </c>
      <c r="J62" s="52" t="s">
        <v>702</v>
      </c>
      <c r="K62" s="11">
        <v>1</v>
      </c>
      <c r="L62" s="11" t="s">
        <v>800</v>
      </c>
      <c r="M62" s="11" t="s">
        <v>30</v>
      </c>
      <c r="N62" s="48" t="s">
        <v>194</v>
      </c>
      <c r="O62" s="11" t="s">
        <v>45</v>
      </c>
      <c r="P62" s="11" t="s">
        <v>802</v>
      </c>
    </row>
    <row r="63" spans="1:47" s="17" customFormat="1">
      <c r="A63" s="11">
        <f t="shared" si="0"/>
        <v>58</v>
      </c>
      <c r="B63" s="47" t="s">
        <v>121</v>
      </c>
      <c r="C63" s="24" t="s">
        <v>250</v>
      </c>
      <c r="D63" s="11" t="s">
        <v>30</v>
      </c>
      <c r="E63" s="91" t="s">
        <v>483</v>
      </c>
      <c r="F63" s="11" t="s">
        <v>14</v>
      </c>
      <c r="G63" s="13" t="s">
        <v>231</v>
      </c>
      <c r="H63" s="11" t="s">
        <v>39</v>
      </c>
      <c r="I63" s="24" t="s">
        <v>237</v>
      </c>
      <c r="J63" s="11" t="s">
        <v>702</v>
      </c>
      <c r="K63" s="11">
        <v>1</v>
      </c>
      <c r="L63" s="11" t="s">
        <v>800</v>
      </c>
      <c r="M63" s="11" t="s">
        <v>30</v>
      </c>
      <c r="N63" s="48" t="s">
        <v>195</v>
      </c>
      <c r="O63" s="11" t="s">
        <v>45</v>
      </c>
      <c r="P63" s="11" t="s">
        <v>802</v>
      </c>
    </row>
    <row r="64" spans="1:47" s="17" customFormat="1">
      <c r="A64" s="11">
        <f t="shared" si="0"/>
        <v>59</v>
      </c>
      <c r="B64" s="47" t="s">
        <v>122</v>
      </c>
      <c r="C64" s="24" t="s">
        <v>251</v>
      </c>
      <c r="D64" s="11" t="s">
        <v>30</v>
      </c>
      <c r="E64" s="91" t="s">
        <v>484</v>
      </c>
      <c r="F64" s="11" t="s">
        <v>14</v>
      </c>
      <c r="G64" s="43" t="s">
        <v>166</v>
      </c>
      <c r="H64" s="11" t="s">
        <v>39</v>
      </c>
      <c r="I64" s="24" t="s">
        <v>238</v>
      </c>
      <c r="J64" s="11" t="s">
        <v>701</v>
      </c>
      <c r="K64" s="11">
        <v>1</v>
      </c>
      <c r="L64" s="11" t="s">
        <v>800</v>
      </c>
      <c r="M64" s="11" t="s">
        <v>30</v>
      </c>
      <c r="N64" s="48" t="s">
        <v>196</v>
      </c>
      <c r="O64" s="11" t="s">
        <v>45</v>
      </c>
      <c r="P64" s="11" t="s">
        <v>802</v>
      </c>
    </row>
    <row r="65" spans="1:17" s="17" customFormat="1">
      <c r="A65" s="11">
        <f t="shared" si="0"/>
        <v>60</v>
      </c>
      <c r="B65" s="47" t="s">
        <v>123</v>
      </c>
      <c r="C65" s="24" t="s">
        <v>252</v>
      </c>
      <c r="D65" s="11" t="s">
        <v>30</v>
      </c>
      <c r="E65" s="91" t="s">
        <v>485</v>
      </c>
      <c r="F65" s="11" t="s">
        <v>14</v>
      </c>
      <c r="G65" s="43" t="s">
        <v>167</v>
      </c>
      <c r="H65" s="11" t="s">
        <v>39</v>
      </c>
      <c r="I65" s="24" t="s">
        <v>239</v>
      </c>
      <c r="J65" s="11" t="s">
        <v>701</v>
      </c>
      <c r="K65" s="11">
        <v>1</v>
      </c>
      <c r="L65" s="11" t="s">
        <v>800</v>
      </c>
      <c r="M65" s="11" t="s">
        <v>30</v>
      </c>
      <c r="N65" s="48" t="s">
        <v>197</v>
      </c>
      <c r="O65" s="11" t="s">
        <v>45</v>
      </c>
      <c r="P65" s="11" t="s">
        <v>802</v>
      </c>
    </row>
    <row r="66" spans="1:17" s="17" customFormat="1">
      <c r="A66" s="11">
        <f t="shared" si="0"/>
        <v>61</v>
      </c>
      <c r="B66" s="47" t="s">
        <v>124</v>
      </c>
      <c r="C66" s="24" t="s">
        <v>253</v>
      </c>
      <c r="D66" s="11" t="s">
        <v>30</v>
      </c>
      <c r="E66" s="91" t="s">
        <v>486</v>
      </c>
      <c r="F66" s="11" t="s">
        <v>14</v>
      </c>
      <c r="G66" s="43" t="s">
        <v>168</v>
      </c>
      <c r="H66" s="11" t="s">
        <v>39</v>
      </c>
      <c r="I66" s="24" t="s">
        <v>240</v>
      </c>
      <c r="J66" s="11" t="s">
        <v>701</v>
      </c>
      <c r="K66" s="11">
        <v>1</v>
      </c>
      <c r="L66" s="11" t="s">
        <v>800</v>
      </c>
      <c r="M66" s="11" t="s">
        <v>30</v>
      </c>
      <c r="N66" s="48" t="s">
        <v>198</v>
      </c>
      <c r="O66" s="11" t="s">
        <v>45</v>
      </c>
      <c r="P66" s="11" t="s">
        <v>802</v>
      </c>
    </row>
    <row r="67" spans="1:17" s="17" customFormat="1">
      <c r="A67" s="11">
        <f t="shared" si="0"/>
        <v>62</v>
      </c>
      <c r="B67" s="47" t="s">
        <v>156</v>
      </c>
      <c r="C67" s="24" t="s">
        <v>254</v>
      </c>
      <c r="D67" s="11" t="s">
        <v>30</v>
      </c>
      <c r="E67" s="91" t="s">
        <v>487</v>
      </c>
      <c r="F67" s="11" t="s">
        <v>14</v>
      </c>
      <c r="G67" s="43" t="s">
        <v>164</v>
      </c>
      <c r="H67" s="11" t="s">
        <v>39</v>
      </c>
      <c r="I67" s="24" t="s">
        <v>241</v>
      </c>
      <c r="J67" s="11" t="s">
        <v>701</v>
      </c>
      <c r="K67" s="11">
        <v>1</v>
      </c>
      <c r="L67" s="11" t="s">
        <v>800</v>
      </c>
      <c r="M67" s="11" t="s">
        <v>30</v>
      </c>
      <c r="N67" s="48" t="s">
        <v>199</v>
      </c>
      <c r="O67" s="11" t="s">
        <v>45</v>
      </c>
      <c r="P67" s="11" t="s">
        <v>802</v>
      </c>
    </row>
    <row r="68" spans="1:17" s="17" customFormat="1">
      <c r="A68" s="11">
        <f t="shared" si="0"/>
        <v>63</v>
      </c>
      <c r="B68" s="47" t="s">
        <v>157</v>
      </c>
      <c r="C68" s="24" t="s">
        <v>323</v>
      </c>
      <c r="D68" s="11" t="s">
        <v>30</v>
      </c>
      <c r="E68" s="91" t="s">
        <v>488</v>
      </c>
      <c r="F68" s="11" t="s">
        <v>14</v>
      </c>
      <c r="G68" s="43" t="s">
        <v>169</v>
      </c>
      <c r="H68" s="11" t="s">
        <v>39</v>
      </c>
      <c r="I68" s="24" t="s">
        <v>242</v>
      </c>
      <c r="J68" s="11" t="s">
        <v>701</v>
      </c>
      <c r="K68" s="11">
        <v>1</v>
      </c>
      <c r="L68" s="11" t="s">
        <v>800</v>
      </c>
      <c r="M68" s="11" t="s">
        <v>30</v>
      </c>
      <c r="N68" s="48" t="s">
        <v>200</v>
      </c>
      <c r="O68" s="11" t="s">
        <v>45</v>
      </c>
      <c r="P68" s="11" t="s">
        <v>802</v>
      </c>
    </row>
    <row r="69" spans="1:17" s="17" customFormat="1">
      <c r="A69" s="11">
        <f t="shared" si="0"/>
        <v>64</v>
      </c>
      <c r="B69" s="47" t="s">
        <v>176</v>
      </c>
      <c r="C69" s="24" t="s">
        <v>255</v>
      </c>
      <c r="D69" s="11" t="s">
        <v>30</v>
      </c>
      <c r="E69" s="91" t="s">
        <v>489</v>
      </c>
      <c r="F69" s="11" t="s">
        <v>14</v>
      </c>
      <c r="G69" s="43" t="s">
        <v>165</v>
      </c>
      <c r="H69" s="11" t="s">
        <v>39</v>
      </c>
      <c r="I69" s="24" t="s">
        <v>243</v>
      </c>
      <c r="J69" s="11" t="s">
        <v>701</v>
      </c>
      <c r="K69" s="11">
        <v>1</v>
      </c>
      <c r="L69" s="11" t="s">
        <v>800</v>
      </c>
      <c r="M69" s="11" t="s">
        <v>30</v>
      </c>
      <c r="N69" s="48" t="s">
        <v>201</v>
      </c>
      <c r="O69" s="11" t="s">
        <v>45</v>
      </c>
      <c r="P69" s="11" t="s">
        <v>802</v>
      </c>
    </row>
    <row r="70" spans="1:17" s="17" customFormat="1">
      <c r="A70" s="11">
        <f t="shared" si="0"/>
        <v>65</v>
      </c>
      <c r="B70" s="47" t="s">
        <v>158</v>
      </c>
      <c r="C70" s="24" t="s">
        <v>256</v>
      </c>
      <c r="D70" s="11" t="s">
        <v>30</v>
      </c>
      <c r="E70" s="91" t="s">
        <v>490</v>
      </c>
      <c r="F70" s="11" t="s">
        <v>14</v>
      </c>
      <c r="G70" s="43" t="s">
        <v>170</v>
      </c>
      <c r="H70" s="11" t="s">
        <v>39</v>
      </c>
      <c r="I70" s="24" t="s">
        <v>244</v>
      </c>
      <c r="J70" s="11" t="s">
        <v>701</v>
      </c>
      <c r="K70" s="11">
        <v>1</v>
      </c>
      <c r="L70" s="11" t="s">
        <v>800</v>
      </c>
      <c r="M70" s="11" t="s">
        <v>30</v>
      </c>
      <c r="N70" s="48" t="s">
        <v>202</v>
      </c>
      <c r="O70" s="11" t="s">
        <v>45</v>
      </c>
      <c r="P70" s="11" t="s">
        <v>802</v>
      </c>
    </row>
    <row r="71" spans="1:17" s="17" customFormat="1">
      <c r="A71" s="11">
        <f t="shared" si="0"/>
        <v>66</v>
      </c>
      <c r="B71" s="47" t="s">
        <v>270</v>
      </c>
      <c r="C71" s="24" t="s">
        <v>262</v>
      </c>
      <c r="D71" s="11" t="s">
        <v>30</v>
      </c>
      <c r="E71" s="91" t="s">
        <v>491</v>
      </c>
      <c r="F71" s="11" t="s">
        <v>14</v>
      </c>
      <c r="G71" s="43" t="s">
        <v>163</v>
      </c>
      <c r="H71" s="11" t="s">
        <v>39</v>
      </c>
      <c r="I71" s="54" t="s">
        <v>265</v>
      </c>
      <c r="J71" s="11" t="s">
        <v>700</v>
      </c>
      <c r="K71" s="11">
        <v>1</v>
      </c>
      <c r="L71" s="11" t="s">
        <v>800</v>
      </c>
      <c r="M71" s="11" t="s">
        <v>30</v>
      </c>
      <c r="N71" s="48" t="s">
        <v>203</v>
      </c>
      <c r="O71" s="11" t="s">
        <v>45</v>
      </c>
      <c r="P71" s="11" t="s">
        <v>802</v>
      </c>
    </row>
    <row r="72" spans="1:17" s="17" customFormat="1">
      <c r="A72" s="11">
        <f t="shared" ref="A72:A78" si="1">ROW(A72)-5</f>
        <v>67</v>
      </c>
      <c r="B72" s="47" t="s">
        <v>271</v>
      </c>
      <c r="C72" s="24" t="s">
        <v>257</v>
      </c>
      <c r="D72" s="11" t="s">
        <v>30</v>
      </c>
      <c r="E72" s="91" t="s">
        <v>492</v>
      </c>
      <c r="F72" s="11" t="s">
        <v>14</v>
      </c>
      <c r="G72" s="43" t="s">
        <v>171</v>
      </c>
      <c r="H72" s="11" t="s">
        <v>39</v>
      </c>
      <c r="I72" s="24" t="s">
        <v>245</v>
      </c>
      <c r="J72" s="11" t="s">
        <v>703</v>
      </c>
      <c r="K72" s="11">
        <v>1</v>
      </c>
      <c r="L72" s="11" t="s">
        <v>800</v>
      </c>
      <c r="M72" s="11" t="s">
        <v>30</v>
      </c>
      <c r="N72" s="48" t="s">
        <v>204</v>
      </c>
      <c r="O72" s="11" t="s">
        <v>45</v>
      </c>
      <c r="P72" s="11" t="s">
        <v>802</v>
      </c>
    </row>
    <row r="73" spans="1:17" s="17" customFormat="1">
      <c r="A73" s="11">
        <f t="shared" si="1"/>
        <v>68</v>
      </c>
      <c r="B73" s="47" t="s">
        <v>272</v>
      </c>
      <c r="C73" s="11" t="s">
        <v>258</v>
      </c>
      <c r="D73" s="11" t="s">
        <v>30</v>
      </c>
      <c r="E73" s="91" t="s">
        <v>493</v>
      </c>
      <c r="F73" s="11" t="s">
        <v>14</v>
      </c>
      <c r="G73" s="43" t="s">
        <v>172</v>
      </c>
      <c r="H73" s="11" t="s">
        <v>39</v>
      </c>
      <c r="I73" s="24" t="s">
        <v>246</v>
      </c>
      <c r="J73" s="11" t="s">
        <v>703</v>
      </c>
      <c r="K73" s="11">
        <v>1</v>
      </c>
      <c r="L73" s="11" t="s">
        <v>800</v>
      </c>
      <c r="M73" s="11" t="s">
        <v>30</v>
      </c>
      <c r="N73" s="48" t="s">
        <v>205</v>
      </c>
      <c r="O73" s="11" t="s">
        <v>45</v>
      </c>
      <c r="P73" s="11" t="s">
        <v>802</v>
      </c>
    </row>
    <row r="74" spans="1:17" s="17" customFormat="1">
      <c r="A74" s="11">
        <f t="shared" si="1"/>
        <v>69</v>
      </c>
      <c r="B74" s="47" t="s">
        <v>558</v>
      </c>
      <c r="C74" s="11" t="s">
        <v>259</v>
      </c>
      <c r="D74" s="11" t="s">
        <v>30</v>
      </c>
      <c r="E74" s="91" t="s">
        <v>494</v>
      </c>
      <c r="F74" s="11" t="s">
        <v>14</v>
      </c>
      <c r="G74" s="43" t="s">
        <v>190</v>
      </c>
      <c r="H74" s="11" t="s">
        <v>39</v>
      </c>
      <c r="I74" s="24" t="s">
        <v>247</v>
      </c>
      <c r="J74" s="11" t="s">
        <v>703</v>
      </c>
      <c r="K74" s="11">
        <v>1</v>
      </c>
      <c r="L74" s="11" t="s">
        <v>800</v>
      </c>
      <c r="M74" s="11" t="s">
        <v>30</v>
      </c>
      <c r="N74" s="48" t="s">
        <v>206</v>
      </c>
      <c r="O74" s="11" t="s">
        <v>45</v>
      </c>
      <c r="P74" s="11" t="s">
        <v>802</v>
      </c>
    </row>
    <row r="75" spans="1:17" s="17" customFormat="1">
      <c r="A75" s="11">
        <f t="shared" si="1"/>
        <v>70</v>
      </c>
      <c r="B75" s="47" t="s">
        <v>559</v>
      </c>
      <c r="C75" s="11" t="s">
        <v>260</v>
      </c>
      <c r="D75" s="11" t="s">
        <v>30</v>
      </c>
      <c r="E75" s="91" t="s">
        <v>495</v>
      </c>
      <c r="F75" s="11" t="s">
        <v>14</v>
      </c>
      <c r="G75" s="43" t="s">
        <v>191</v>
      </c>
      <c r="H75" s="11" t="s">
        <v>39</v>
      </c>
      <c r="I75" s="24" t="s">
        <v>248</v>
      </c>
      <c r="J75" s="11" t="s">
        <v>703</v>
      </c>
      <c r="K75" s="11">
        <v>1</v>
      </c>
      <c r="L75" s="11" t="s">
        <v>800</v>
      </c>
      <c r="M75" s="11" t="s">
        <v>30</v>
      </c>
      <c r="N75" s="48" t="s">
        <v>207</v>
      </c>
      <c r="O75" s="11" t="s">
        <v>45</v>
      </c>
      <c r="P75" s="11" t="s">
        <v>802</v>
      </c>
    </row>
    <row r="76" spans="1:17" s="17" customFormat="1">
      <c r="A76" s="11">
        <f t="shared" si="1"/>
        <v>71</v>
      </c>
      <c r="B76" s="47" t="s">
        <v>754</v>
      </c>
      <c r="C76" s="11" t="s">
        <v>263</v>
      </c>
      <c r="D76" s="11" t="s">
        <v>30</v>
      </c>
      <c r="E76" s="91" t="s">
        <v>496</v>
      </c>
      <c r="F76" s="11" t="s">
        <v>14</v>
      </c>
      <c r="G76" s="43" t="s">
        <v>208</v>
      </c>
      <c r="H76" s="11" t="s">
        <v>39</v>
      </c>
      <c r="I76" s="24" t="s">
        <v>264</v>
      </c>
      <c r="J76" s="11" t="s">
        <v>703</v>
      </c>
      <c r="K76" s="11">
        <v>1</v>
      </c>
      <c r="L76" s="11" t="s">
        <v>800</v>
      </c>
      <c r="M76" s="11" t="s">
        <v>30</v>
      </c>
      <c r="N76" s="48" t="s">
        <v>215</v>
      </c>
      <c r="O76" s="11" t="s">
        <v>45</v>
      </c>
      <c r="P76" s="11" t="s">
        <v>802</v>
      </c>
    </row>
    <row r="77" spans="1:17" s="17" customFormat="1">
      <c r="A77" s="11">
        <f t="shared" si="1"/>
        <v>72</v>
      </c>
      <c r="B77" s="47" t="s">
        <v>755</v>
      </c>
      <c r="C77" s="52" t="s">
        <v>778</v>
      </c>
      <c r="D77" s="11" t="s">
        <v>30</v>
      </c>
      <c r="E77" s="91" t="s">
        <v>497</v>
      </c>
      <c r="F77" s="11" t="s">
        <v>14</v>
      </c>
      <c r="G77" s="13" t="s">
        <v>533</v>
      </c>
      <c r="H77" s="52" t="s">
        <v>585</v>
      </c>
      <c r="I77" s="55" t="s">
        <v>780</v>
      </c>
      <c r="J77" s="11" t="s">
        <v>30</v>
      </c>
      <c r="K77" s="11">
        <v>1</v>
      </c>
      <c r="L77" s="11" t="s">
        <v>800</v>
      </c>
      <c r="M77" s="11" t="s">
        <v>30</v>
      </c>
      <c r="N77" s="48" t="s">
        <v>461</v>
      </c>
      <c r="O77" s="11" t="s">
        <v>269</v>
      </c>
      <c r="P77" s="11" t="s">
        <v>802</v>
      </c>
    </row>
    <row r="78" spans="1:17" s="17" customFormat="1">
      <c r="A78" s="11">
        <f t="shared" si="1"/>
        <v>73</v>
      </c>
      <c r="B78" s="47"/>
      <c r="C78" s="52" t="s">
        <v>779</v>
      </c>
      <c r="D78" s="11" t="s">
        <v>30</v>
      </c>
      <c r="E78" s="91" t="s">
        <v>497</v>
      </c>
      <c r="F78" s="11" t="s">
        <v>14</v>
      </c>
      <c r="G78" s="13" t="s">
        <v>533</v>
      </c>
      <c r="H78" s="52" t="s">
        <v>586</v>
      </c>
      <c r="I78" s="55" t="s">
        <v>781</v>
      </c>
      <c r="J78" s="11" t="s">
        <v>30</v>
      </c>
      <c r="K78" s="11"/>
      <c r="L78" s="11" t="s">
        <v>800</v>
      </c>
      <c r="M78" s="11" t="s">
        <v>30</v>
      </c>
      <c r="N78" s="48"/>
      <c r="O78" s="11" t="s">
        <v>269</v>
      </c>
      <c r="P78" s="11" t="s">
        <v>802</v>
      </c>
    </row>
    <row r="79" spans="1:17" s="17" customFormat="1">
      <c r="A79" s="11">
        <v>63</v>
      </c>
      <c r="B79" s="47" t="s">
        <v>560</v>
      </c>
      <c r="C79" s="96" t="s">
        <v>564</v>
      </c>
      <c r="D79" s="11" t="s">
        <v>30</v>
      </c>
      <c r="E79" s="91" t="s">
        <v>34</v>
      </c>
      <c r="F79" s="11" t="s">
        <v>30</v>
      </c>
      <c r="G79" s="53" t="s">
        <v>565</v>
      </c>
      <c r="H79" s="11" t="s">
        <v>566</v>
      </c>
      <c r="I79" s="96" t="s">
        <v>563</v>
      </c>
      <c r="J79" s="50" t="s">
        <v>127</v>
      </c>
      <c r="K79" s="50">
        <v>1</v>
      </c>
      <c r="L79" s="11" t="s">
        <v>800</v>
      </c>
      <c r="M79" s="11" t="s">
        <v>30</v>
      </c>
      <c r="N79" s="48" t="s">
        <v>567</v>
      </c>
      <c r="O79" s="52" t="s">
        <v>562</v>
      </c>
      <c r="P79" s="11" t="s">
        <v>802</v>
      </c>
      <c r="Q79" s="97"/>
    </row>
    <row r="80" spans="1:17">
      <c r="A80" s="45">
        <f t="shared" ref="A80:A82" si="2">ROW(A80)-5</f>
        <v>75</v>
      </c>
      <c r="B80" s="98" t="s">
        <v>561</v>
      </c>
      <c r="C80" s="45" t="s">
        <v>569</v>
      </c>
      <c r="D80" s="99" t="s">
        <v>14</v>
      </c>
      <c r="E80" s="45" t="s">
        <v>34</v>
      </c>
      <c r="F80" s="45" t="s">
        <v>14</v>
      </c>
      <c r="G80" s="100" t="s">
        <v>570</v>
      </c>
      <c r="H80" s="101" t="s">
        <v>51</v>
      </c>
      <c r="I80" s="45" t="s">
        <v>569</v>
      </c>
      <c r="J80" s="99" t="s">
        <v>14</v>
      </c>
      <c r="K80" s="102">
        <v>3</v>
      </c>
      <c r="L80" s="11" t="s">
        <v>800</v>
      </c>
      <c r="M80" s="11" t="s">
        <v>30</v>
      </c>
      <c r="N80" s="48" t="s">
        <v>573</v>
      </c>
      <c r="O80" s="101" t="s">
        <v>129</v>
      </c>
      <c r="P80" s="11" t="s">
        <v>802</v>
      </c>
      <c r="Q80" s="97"/>
    </row>
    <row r="81" spans="1:17">
      <c r="A81" s="45">
        <f t="shared" si="2"/>
        <v>76</v>
      </c>
      <c r="B81" s="98" t="s">
        <v>756</v>
      </c>
      <c r="C81" s="45" t="s">
        <v>571</v>
      </c>
      <c r="D81" s="99" t="s">
        <v>14</v>
      </c>
      <c r="E81" s="45" t="s">
        <v>34</v>
      </c>
      <c r="F81" s="45" t="s">
        <v>14</v>
      </c>
      <c r="G81" s="103" t="s">
        <v>572</v>
      </c>
      <c r="H81" s="101" t="s">
        <v>51</v>
      </c>
      <c r="I81" s="45" t="s">
        <v>571</v>
      </c>
      <c r="J81" s="99" t="s">
        <v>14</v>
      </c>
      <c r="K81" s="104">
        <v>4</v>
      </c>
      <c r="L81" s="11" t="s">
        <v>800</v>
      </c>
      <c r="M81" s="11" t="s">
        <v>30</v>
      </c>
      <c r="N81" s="48" t="s">
        <v>804</v>
      </c>
      <c r="O81" s="101" t="s">
        <v>129</v>
      </c>
      <c r="P81" s="11" t="s">
        <v>802</v>
      </c>
      <c r="Q81" s="97"/>
    </row>
    <row r="82" spans="1:17" s="25" customFormat="1">
      <c r="A82" s="11">
        <f t="shared" si="2"/>
        <v>77</v>
      </c>
      <c r="B82" s="47" t="s">
        <v>759</v>
      </c>
      <c r="C82" s="11" t="s">
        <v>179</v>
      </c>
      <c r="D82" s="11" t="s">
        <v>30</v>
      </c>
      <c r="E82" s="90" t="s">
        <v>34</v>
      </c>
      <c r="F82" s="11" t="s">
        <v>30</v>
      </c>
      <c r="G82" s="53" t="s">
        <v>230</v>
      </c>
      <c r="H82" s="11" t="s">
        <v>154</v>
      </c>
      <c r="I82" s="11" t="s">
        <v>179</v>
      </c>
      <c r="J82" s="50" t="s">
        <v>127</v>
      </c>
      <c r="K82" s="50">
        <v>1</v>
      </c>
      <c r="L82" s="11" t="s">
        <v>800</v>
      </c>
      <c r="M82" s="11" t="s">
        <v>30</v>
      </c>
      <c r="N82" s="48"/>
      <c r="O82" s="52" t="s">
        <v>129</v>
      </c>
      <c r="P82" s="11" t="s">
        <v>803</v>
      </c>
    </row>
    <row r="83" spans="1:17">
      <c r="B83" s="3"/>
      <c r="C83" s="2"/>
      <c r="H83" s="5"/>
      <c r="I83" s="2"/>
    </row>
    <row r="84" spans="1:17">
      <c r="A84" s="17"/>
      <c r="B84" s="1" t="s">
        <v>15</v>
      </c>
      <c r="C84" s="10" t="s">
        <v>16</v>
      </c>
      <c r="D84" s="18"/>
      <c r="E84" s="17"/>
      <c r="F84" s="17"/>
      <c r="G84" s="4"/>
      <c r="H84" s="17"/>
      <c r="I84" s="17"/>
      <c r="J84" s="17"/>
      <c r="O84" s="17"/>
      <c r="P84" s="17"/>
    </row>
    <row r="85" spans="1:17">
      <c r="A85" s="17"/>
      <c r="B85" s="17"/>
      <c r="C85" s="15" t="s">
        <v>5</v>
      </c>
      <c r="D85" s="17"/>
      <c r="E85" s="17"/>
      <c r="F85" s="17"/>
      <c r="G85" s="16"/>
      <c r="H85" s="17"/>
      <c r="I85" s="17"/>
      <c r="J85" s="17"/>
      <c r="O85" s="17"/>
      <c r="P85" s="17"/>
    </row>
    <row r="86" spans="1:17">
      <c r="A86" s="17"/>
      <c r="B86" s="17"/>
      <c r="C86" s="19" t="s">
        <v>6</v>
      </c>
      <c r="D86" s="17"/>
      <c r="E86" s="17"/>
      <c r="F86" s="17"/>
      <c r="G86" s="16"/>
      <c r="H86" s="17"/>
      <c r="I86" s="17"/>
      <c r="J86" s="17"/>
      <c r="O86" s="17"/>
      <c r="P86" s="17"/>
    </row>
    <row r="87" spans="1:17">
      <c r="C87" s="20" t="s">
        <v>52</v>
      </c>
      <c r="G87" s="18"/>
    </row>
    <row r="88" spans="1:17" ht="46.5">
      <c r="C88" s="29" t="s">
        <v>53</v>
      </c>
    </row>
    <row r="89" spans="1:17">
      <c r="K89" s="7"/>
      <c r="L89" s="7"/>
      <c r="M89" s="7"/>
    </row>
    <row r="90" spans="1:17">
      <c r="G90" s="22"/>
    </row>
  </sheetData>
  <autoFilter ref="A5:P5" xr:uid="{B3C530E5-93FE-4129-8158-D6C430FD62C8}"/>
  <mergeCells count="4">
    <mergeCell ref="A3:B3"/>
    <mergeCell ref="A4:B4"/>
    <mergeCell ref="A1:P1"/>
    <mergeCell ref="A2:P2"/>
  </mergeCells>
  <phoneticPr fontId="18" type="noConversion"/>
  <conditionalFormatting sqref="A23:B23 D23:D24">
    <cfRule type="containsText" dxfId="852" priority="165" operator="containsText" text="TBD">
      <formula>NOT(ISERROR(SEARCH("TBD",A23)))</formula>
    </cfRule>
  </conditionalFormatting>
  <conditionalFormatting sqref="A28:B28">
    <cfRule type="containsText" dxfId="851" priority="161" operator="containsText" text="TBD">
      <formula>NOT(ISERROR(SEARCH("TBD",A28)))</formula>
    </cfRule>
  </conditionalFormatting>
  <conditionalFormatting sqref="A43:B45 D43:F45">
    <cfRule type="containsText" dxfId="850" priority="72" operator="containsText" text="TBD">
      <formula>NOT(ISERROR(SEARCH("TBD",A43)))</formula>
    </cfRule>
  </conditionalFormatting>
  <conditionalFormatting sqref="A48:B52">
    <cfRule type="containsText" dxfId="849" priority="19" operator="containsText" text="TBD">
      <formula>NOT(ISERROR(SEARCH("TBD",A48)))</formula>
    </cfRule>
  </conditionalFormatting>
  <conditionalFormatting sqref="A54:B55 A56:A75">
    <cfRule type="containsText" dxfId="848" priority="54" operator="containsText" text="TBD">
      <formula>NOT(ISERROR(SEARCH("TBD",A54)))</formula>
    </cfRule>
  </conditionalFormatting>
  <conditionalFormatting sqref="A24:C25">
    <cfRule type="containsText" dxfId="847" priority="220" operator="containsText" text="TBD">
      <formula>NOT(ISERROR(SEARCH("TBD",A24)))</formula>
    </cfRule>
  </conditionalFormatting>
  <conditionalFormatting sqref="A9:D15">
    <cfRule type="containsText" dxfId="846" priority="206" operator="containsText" text="TBD">
      <formula>NOT(ISERROR(SEARCH("TBD",A9)))</formula>
    </cfRule>
  </conditionalFormatting>
  <conditionalFormatting sqref="A18:D22">
    <cfRule type="containsText" dxfId="845" priority="200" operator="containsText" text="TBD">
      <formula>NOT(ISERROR(SEARCH("TBD",A18)))</formula>
    </cfRule>
  </conditionalFormatting>
  <conditionalFormatting sqref="A31:G35">
    <cfRule type="containsText" dxfId="844" priority="102" operator="containsText" text="TBD">
      <formula>NOT(ISERROR(SEARCH("TBD",A31)))</formula>
    </cfRule>
  </conditionalFormatting>
  <conditionalFormatting sqref="B58:E58 A59:E79">
    <cfRule type="containsText" dxfId="843" priority="86" operator="containsText" text="TBD">
      <formula>NOT(ISERROR(SEARCH("TBD",A58)))</formula>
    </cfRule>
  </conditionalFormatting>
  <conditionalFormatting sqref="C21:C23">
    <cfRule type="containsText" dxfId="842" priority="164" operator="containsText" text="TBD">
      <formula>NOT(ISERROR(SEARCH("TBD",C21)))</formula>
    </cfRule>
  </conditionalFormatting>
  <conditionalFormatting sqref="C25">
    <cfRule type="duplicateValues" dxfId="841" priority="205"/>
    <cfRule type="duplicateValues" dxfId="840" priority="204"/>
  </conditionalFormatting>
  <conditionalFormatting sqref="C27:C30">
    <cfRule type="containsText" dxfId="839" priority="155" operator="containsText" text="TBD">
      <formula>NOT(ISERROR(SEARCH("TBD",C27)))</formula>
    </cfRule>
  </conditionalFormatting>
  <conditionalFormatting sqref="C36:C45">
    <cfRule type="containsText" dxfId="838" priority="68" operator="containsText" text="TBD">
      <formula>NOT(ISERROR(SEARCH("TBD",C36)))</formula>
    </cfRule>
  </conditionalFormatting>
  <conditionalFormatting sqref="C48:C72">
    <cfRule type="containsText" dxfId="837" priority="14" operator="containsText" text="TBD">
      <formula>NOT(ISERROR(SEARCH("TBD",C48)))</formula>
    </cfRule>
  </conditionalFormatting>
  <conditionalFormatting sqref="C84:C87">
    <cfRule type="containsText" dxfId="836" priority="219" operator="containsText" text="TBD">
      <formula>NOT(ISERROR(SEARCH("TBD",C84)))</formula>
    </cfRule>
  </conditionalFormatting>
  <conditionalFormatting sqref="C37:G38 C39:F39 A40:F42 D54:F54">
    <cfRule type="containsText" dxfId="835" priority="199" operator="containsText" text="TBD">
      <formula>NOT(ISERROR(SEARCH("TBD",A37)))</formula>
    </cfRule>
  </conditionalFormatting>
  <conditionalFormatting sqref="D55:D57 F55:F57 B56:B57">
    <cfRule type="containsText" dxfId="834" priority="24" operator="containsText" text="TBD">
      <formula>NOT(ISERROR(SEARCH("TBD",B55)))</formula>
    </cfRule>
  </conditionalFormatting>
  <conditionalFormatting sqref="D50:F50">
    <cfRule type="containsText" dxfId="833" priority="35" operator="containsText" text="TBD">
      <formula>NOT(ISERROR(SEARCH("TBD",D50)))</formula>
    </cfRule>
  </conditionalFormatting>
  <conditionalFormatting sqref="D36:G36">
    <cfRule type="containsText" dxfId="832" priority="94" operator="containsText" text="TBD">
      <formula>NOT(ISERROR(SEARCH("TBD",D36)))</formula>
    </cfRule>
  </conditionalFormatting>
  <conditionalFormatting sqref="D49:G49">
    <cfRule type="containsText" dxfId="831" priority="33" operator="containsText" text="TBD">
      <formula>NOT(ISERROR(SEARCH("TBD",D49)))</formula>
    </cfRule>
  </conditionalFormatting>
  <conditionalFormatting sqref="D25:H25">
    <cfRule type="containsText" dxfId="830" priority="174" operator="containsText" text="TBD">
      <formula>NOT(ISERROR(SEARCH("TBD",D25)))</formula>
    </cfRule>
  </conditionalFormatting>
  <conditionalFormatting sqref="D51:H52">
    <cfRule type="containsText" dxfId="829" priority="20" operator="containsText" text="TBD">
      <formula>NOT(ISERROR(SEARCH("TBD",D51)))</formula>
    </cfRule>
  </conditionalFormatting>
  <conditionalFormatting sqref="E6:E23">
    <cfRule type="containsText" dxfId="828" priority="73" operator="containsText" text="TBD">
      <formula>NOT(ISERROR(SEARCH("TBD",E6)))</formula>
    </cfRule>
  </conditionalFormatting>
  <conditionalFormatting sqref="E27:E45">
    <cfRule type="containsText" dxfId="827" priority="70" operator="containsText" text="TBD">
      <formula>NOT(ISERROR(SEARCH("TBD",E27)))</formula>
    </cfRule>
  </conditionalFormatting>
  <conditionalFormatting sqref="E48:E57">
    <cfRule type="containsText" dxfId="826" priority="17" operator="containsText" text="TBD">
      <formula>NOT(ISERROR(SEARCH("TBD",E48)))</formula>
    </cfRule>
  </conditionalFormatting>
  <conditionalFormatting sqref="F77:G78">
    <cfRule type="containsText" dxfId="825" priority="188" operator="containsText" text="TBD">
      <formula>NOT(ISERROR(SEARCH("TBD",F77)))</formula>
    </cfRule>
  </conditionalFormatting>
  <conditionalFormatting sqref="G39:G45">
    <cfRule type="containsText" dxfId="824" priority="66" operator="containsText" text="TBD">
      <formula>NOT(ISERROR(SEARCH("TBD",G39)))</formula>
    </cfRule>
  </conditionalFormatting>
  <conditionalFormatting sqref="G49:G51">
    <cfRule type="containsText" dxfId="823" priority="16" operator="containsText" text="TBD">
      <formula>NOT(ISERROR(SEARCH("TBD",G49)))</formula>
    </cfRule>
  </conditionalFormatting>
  <conditionalFormatting sqref="H31:H39 A36:B39">
    <cfRule type="containsText" dxfId="822" priority="101" operator="containsText" text="TBD">
      <formula>NOT(ISERROR(SEARCH("TBD",A31)))</formula>
    </cfRule>
  </conditionalFormatting>
  <conditionalFormatting sqref="H49:H50">
    <cfRule type="containsText" dxfId="821" priority="30" operator="containsText" text="TBD">
      <formula>NOT(ISERROR(SEARCH("TBD",H49)))</formula>
    </cfRule>
  </conditionalFormatting>
  <conditionalFormatting sqref="H77:H79">
    <cfRule type="containsText" dxfId="820" priority="91" operator="containsText" text="TBD">
      <formula>NOT(ISERROR(SEARCH("TBD",H77)))</formula>
    </cfRule>
  </conditionalFormatting>
  <conditionalFormatting sqref="I25">
    <cfRule type="duplicateValues" dxfId="819" priority="203"/>
    <cfRule type="duplicateValues" dxfId="818" priority="202"/>
  </conditionalFormatting>
  <conditionalFormatting sqref="I49:K52">
    <cfRule type="containsText" dxfId="817" priority="15" operator="containsText" text="TBD">
      <formula>NOT(ISERROR(SEARCH("TBD",I49)))</formula>
    </cfRule>
  </conditionalFormatting>
  <conditionalFormatting sqref="J71">
    <cfRule type="containsText" dxfId="816" priority="55" operator="containsText" text="TBD">
      <formula>NOT(ISERROR(SEARCH("TBD",J71)))</formula>
    </cfRule>
  </conditionalFormatting>
  <conditionalFormatting sqref="N79:N82">
    <cfRule type="containsText" dxfId="815" priority="1" operator="containsText" text="TBD">
      <formula>NOT(ISERROR(SEARCH("TBD",N79)))</formula>
    </cfRule>
  </conditionalFormatting>
  <conditionalFormatting sqref="N5:O5">
    <cfRule type="containsText" dxfId="814" priority="217" operator="containsText" text="TBD">
      <formula>NOT(ISERROR(SEARCH("TBD",N5)))</formula>
    </cfRule>
  </conditionalFormatting>
  <conditionalFormatting sqref="N7:O10">
    <cfRule type="containsText" dxfId="813" priority="162" operator="containsText" text="TBD">
      <formula>NOT(ISERROR(SEARCH("TBD",N7)))</formula>
    </cfRule>
  </conditionalFormatting>
  <conditionalFormatting sqref="O79:O82 A1:A2 A3:O6 O3:O15 A7:K8 L7:M82 F9:K15 N11:N15 A16:K17 N16:O24 F18:K24 J25:K25 N25:N26 O25:O30 A26:K27 D28:K28 A29:K30 I31:K33 J34:K35 I36:K39 H40:K45 A46:K47 D48:K48 A53:K53 G54:K57 F58:K76 Q58:XFD79 I77:K78 F79:K79 A80:K82 Q82:XFD1048576 A83:O1048576">
    <cfRule type="containsText" dxfId="812" priority="214" operator="containsText" text="TBD">
      <formula>NOT(ISERROR(SEARCH("TBD",A1)))</formula>
    </cfRule>
  </conditionalFormatting>
  <conditionalFormatting sqref="O81:P81">
    <cfRule type="containsText" dxfId="811" priority="9" operator="containsText" text="Group A">
      <formula>NOT(ISERROR(SEARCH("Group A",O81)))</formula>
    </cfRule>
    <cfRule type="containsText" dxfId="810" priority="8" operator="containsText" text="Group A">
      <formula>NOT(ISERROR(SEARCH("Group A",O81)))</formula>
    </cfRule>
    <cfRule type="containsText" dxfId="809" priority="7" operator="containsText" text="Group B">
      <formula>NOT(ISERROR(SEARCH("Group B",O81)))</formula>
    </cfRule>
    <cfRule type="containsText" dxfId="808" priority="6" operator="containsText" text="Group A">
      <formula>NOT(ISERROR(SEARCH("Group A",O81)))</formula>
    </cfRule>
  </conditionalFormatting>
  <conditionalFormatting sqref="P3:P1048576">
    <cfRule type="containsText" dxfId="807" priority="10" operator="containsText" text="TBD">
      <formula>NOT(ISERROR(SEARCH("TBD",P3)))</formula>
    </cfRule>
  </conditionalFormatting>
  <conditionalFormatting sqref="P11:P14">
    <cfRule type="containsText" dxfId="806" priority="4" operator="containsText" text="TBD">
      <formula>NOT(ISERROR(SEARCH("TBD",P11)))</formula>
    </cfRule>
  </conditionalFormatting>
  <conditionalFormatting sqref="P24">
    <cfRule type="containsText" dxfId="805" priority="3" operator="containsText" text="TBD">
      <formula>NOT(ISERROR(SEARCH("TBD",P24)))</formula>
    </cfRule>
  </conditionalFormatting>
  <conditionalFormatting sqref="P82">
    <cfRule type="containsText" dxfId="804" priority="2" operator="containsText" text="TBD">
      <formula>NOT(ISERROR(SEARCH("TBD",P82)))</formula>
    </cfRule>
  </conditionalFormatting>
  <conditionalFormatting sqref="Q1:XFD56 N27:O78">
    <cfRule type="containsText" dxfId="803" priority="127" operator="containsText" text="TBD">
      <formula>NOT(ISERROR(SEARCH("TBD",N1)))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4AC7-603B-48B1-A12A-45C14E85771A}">
  <sheetPr>
    <tabColor theme="6" tint="0.59999389629810485"/>
  </sheetPr>
  <dimension ref="A1:AU90"/>
  <sheetViews>
    <sheetView zoomScale="70" zoomScaleNormal="70" workbookViewId="0">
      <pane ySplit="5" topLeftCell="A15" activePane="bottomLeft" state="frozen"/>
      <selection activeCell="H46" sqref="H46"/>
      <selection pane="bottomLeft" activeCell="H46" sqref="H46"/>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26953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40.36328125" style="6" customWidth="1"/>
    <col min="15" max="16" width="18.72656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
        <v>677</v>
      </c>
      <c r="D3" s="26" t="s">
        <v>1</v>
      </c>
      <c r="E3" s="27" t="s">
        <v>14</v>
      </c>
      <c r="F3" s="26"/>
      <c r="G3" s="26"/>
      <c r="H3" s="26"/>
      <c r="I3" s="26"/>
      <c r="J3" s="26"/>
      <c r="K3" s="26"/>
      <c r="L3" s="26"/>
      <c r="M3" s="26"/>
      <c r="N3" s="44"/>
      <c r="O3" s="26"/>
      <c r="P3" s="26"/>
    </row>
    <row r="4" spans="1:16" s="8" customFormat="1">
      <c r="A4" s="176" t="s">
        <v>8</v>
      </c>
      <c r="B4" s="176"/>
      <c r="C4" s="89" t="str">
        <f>E6</f>
        <v>01-101141</v>
      </c>
      <c r="D4" s="26" t="s">
        <v>9</v>
      </c>
      <c r="E4" s="27" t="s">
        <v>14</v>
      </c>
      <c r="F4" s="26" t="s">
        <v>10</v>
      </c>
      <c r="G4" s="13" t="str">
        <f>G6</f>
        <v>Maxwell Mercury_L10 Compute Tray Assy_MGX-OCP, WD</v>
      </c>
      <c r="H4" s="26"/>
      <c r="I4" s="26"/>
      <c r="J4" s="26"/>
      <c r="K4" s="26"/>
      <c r="L4" s="26"/>
      <c r="M4" s="26"/>
      <c r="N4" s="44"/>
      <c r="O4" s="26"/>
      <c r="P4" s="26"/>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 t="shared" ref="A6:A71" si="0">ROW(A6)-5</f>
        <v>1</v>
      </c>
      <c r="B6" s="49" t="s">
        <v>36</v>
      </c>
      <c r="C6" s="52" t="s">
        <v>677</v>
      </c>
      <c r="D6" s="11" t="s">
        <v>17</v>
      </c>
      <c r="E6" s="91" t="s">
        <v>673</v>
      </c>
      <c r="F6" s="11" t="s">
        <v>14</v>
      </c>
      <c r="G6" s="13" t="s">
        <v>681</v>
      </c>
      <c r="H6" s="11" t="s">
        <v>20</v>
      </c>
      <c r="I6" s="52" t="s">
        <v>677</v>
      </c>
      <c r="J6" s="11" t="s">
        <v>14</v>
      </c>
      <c r="K6" s="11">
        <v>1</v>
      </c>
      <c r="L6" s="11" t="s">
        <v>800</v>
      </c>
      <c r="M6" s="11" t="s">
        <v>30</v>
      </c>
      <c r="N6" s="45"/>
      <c r="O6" s="11" t="s">
        <v>14</v>
      </c>
      <c r="P6" s="11" t="s">
        <v>802</v>
      </c>
    </row>
    <row r="7" spans="1:16" ht="62">
      <c r="A7" s="11">
        <f t="shared" si="0"/>
        <v>2</v>
      </c>
      <c r="B7" s="49" t="s">
        <v>29</v>
      </c>
      <c r="C7" s="55" t="s">
        <v>218</v>
      </c>
      <c r="D7" s="11" t="s">
        <v>17</v>
      </c>
      <c r="E7" s="91" t="s">
        <v>34</v>
      </c>
      <c r="F7" s="11" t="s">
        <v>14</v>
      </c>
      <c r="G7" s="13" t="s">
        <v>189</v>
      </c>
      <c r="H7" s="11" t="s">
        <v>40</v>
      </c>
      <c r="I7" s="24" t="s">
        <v>216</v>
      </c>
      <c r="J7" s="11" t="s">
        <v>14</v>
      </c>
      <c r="K7" s="11">
        <v>1</v>
      </c>
      <c r="L7" s="11" t="s">
        <v>800</v>
      </c>
      <c r="M7" s="11" t="s">
        <v>30</v>
      </c>
      <c r="N7" s="83" t="s">
        <v>460</v>
      </c>
      <c r="O7" s="11" t="s">
        <v>42</v>
      </c>
      <c r="P7" s="11" t="s">
        <v>803</v>
      </c>
    </row>
    <row r="8" spans="1:16" ht="62">
      <c r="A8" s="11">
        <f t="shared" si="0"/>
        <v>3</v>
      </c>
      <c r="B8" s="49" t="s">
        <v>37</v>
      </c>
      <c r="C8" s="55" t="s">
        <v>343</v>
      </c>
      <c r="D8" s="11" t="s">
        <v>17</v>
      </c>
      <c r="E8" s="91" t="s">
        <v>34</v>
      </c>
      <c r="F8" s="11" t="s">
        <v>14</v>
      </c>
      <c r="G8" s="13" t="s">
        <v>232</v>
      </c>
      <c r="H8" s="11" t="s">
        <v>40</v>
      </c>
      <c r="I8" s="55" t="s">
        <v>344</v>
      </c>
      <c r="J8" s="11" t="s">
        <v>14</v>
      </c>
      <c r="K8" s="11">
        <v>2</v>
      </c>
      <c r="L8" s="11" t="s">
        <v>800</v>
      </c>
      <c r="M8" s="11" t="s">
        <v>30</v>
      </c>
      <c r="N8" s="83" t="s">
        <v>685</v>
      </c>
      <c r="O8" s="11" t="s">
        <v>42</v>
      </c>
      <c r="P8" s="11" t="s">
        <v>803</v>
      </c>
    </row>
    <row r="9" spans="1:16" ht="31">
      <c r="A9" s="11">
        <f t="shared" si="0"/>
        <v>4</v>
      </c>
      <c r="B9" s="49" t="s">
        <v>117</v>
      </c>
      <c r="C9" s="11" t="s">
        <v>313</v>
      </c>
      <c r="D9" s="56" t="s">
        <v>30</v>
      </c>
      <c r="E9" s="91" t="s">
        <v>594</v>
      </c>
      <c r="F9" s="11" t="s">
        <v>14</v>
      </c>
      <c r="G9" s="13" t="s">
        <v>58</v>
      </c>
      <c r="H9" s="11" t="s">
        <v>40</v>
      </c>
      <c r="I9" s="24" t="s">
        <v>309</v>
      </c>
      <c r="J9" s="56" t="s">
        <v>30</v>
      </c>
      <c r="K9" s="11">
        <v>2</v>
      </c>
      <c r="L9" s="11" t="s">
        <v>800</v>
      </c>
      <c r="M9" s="11" t="s">
        <v>30</v>
      </c>
      <c r="N9" s="83" t="s">
        <v>505</v>
      </c>
      <c r="O9" s="11" t="s">
        <v>41</v>
      </c>
      <c r="P9" s="11" t="s">
        <v>803</v>
      </c>
    </row>
    <row r="10" spans="1:16" ht="46.5">
      <c r="A10" s="11">
        <f t="shared" si="0"/>
        <v>5</v>
      </c>
      <c r="B10" s="49" t="s">
        <v>118</v>
      </c>
      <c r="C10" s="24" t="s">
        <v>219</v>
      </c>
      <c r="D10" s="56" t="s">
        <v>30</v>
      </c>
      <c r="E10" s="91" t="s">
        <v>595</v>
      </c>
      <c r="F10" s="11" t="s">
        <v>14</v>
      </c>
      <c r="G10" s="13" t="s">
        <v>59</v>
      </c>
      <c r="H10" s="11" t="s">
        <v>40</v>
      </c>
      <c r="I10" s="24" t="s">
        <v>217</v>
      </c>
      <c r="J10" s="56" t="s">
        <v>30</v>
      </c>
      <c r="K10" s="11">
        <v>1</v>
      </c>
      <c r="L10" s="11" t="s">
        <v>800</v>
      </c>
      <c r="M10" s="11" t="s">
        <v>30</v>
      </c>
      <c r="N10" s="83" t="s">
        <v>329</v>
      </c>
      <c r="O10" s="11" t="s">
        <v>41</v>
      </c>
      <c r="P10" s="11"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224</v>
      </c>
      <c r="D14" s="56" t="s">
        <v>30</v>
      </c>
      <c r="E14" s="91" t="s">
        <v>471</v>
      </c>
      <c r="F14" s="11" t="s">
        <v>14</v>
      </c>
      <c r="G14" s="13" t="s">
        <v>188</v>
      </c>
      <c r="H14" s="11" t="s">
        <v>142</v>
      </c>
      <c r="I14" s="11" t="s">
        <v>144</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 t="shared" si="0"/>
        <v>14</v>
      </c>
      <c r="B19" s="58" t="s">
        <v>174</v>
      </c>
      <c r="C19" s="68" t="s">
        <v>151</v>
      </c>
      <c r="D19" s="61" t="s">
        <v>14</v>
      </c>
      <c r="E19" s="91" t="s">
        <v>526</v>
      </c>
      <c r="F19" s="11" t="s">
        <v>14</v>
      </c>
      <c r="G19" s="13" t="s">
        <v>532</v>
      </c>
      <c r="H19" s="11" t="s">
        <v>51</v>
      </c>
      <c r="I19" s="68" t="s">
        <v>151</v>
      </c>
      <c r="J19" s="11" t="s">
        <v>30</v>
      </c>
      <c r="K19" s="11">
        <v>1</v>
      </c>
      <c r="L19" s="11" t="s">
        <v>800</v>
      </c>
      <c r="M19" s="11" t="s">
        <v>30</v>
      </c>
      <c r="N19" s="64" t="s">
        <v>530</v>
      </c>
      <c r="O19" s="11" t="s">
        <v>159</v>
      </c>
      <c r="P19" s="11" t="s">
        <v>802</v>
      </c>
    </row>
    <row r="20" spans="1:16">
      <c r="A20" s="11">
        <f t="shared" si="0"/>
        <v>15</v>
      </c>
      <c r="B20" s="58" t="s">
        <v>131</v>
      </c>
      <c r="C20" s="11" t="s">
        <v>152</v>
      </c>
      <c r="D20" s="11" t="s">
        <v>14</v>
      </c>
      <c r="E20" s="91" t="s">
        <v>477</v>
      </c>
      <c r="F20" s="11" t="s">
        <v>14</v>
      </c>
      <c r="G20" s="13" t="s">
        <v>183</v>
      </c>
      <c r="H20" s="11" t="s">
        <v>51</v>
      </c>
      <c r="I20" s="11" t="str">
        <f>C20</f>
        <v>1A72BTD00-600-G</v>
      </c>
      <c r="J20" s="11" t="s">
        <v>14</v>
      </c>
      <c r="K20" s="11">
        <v>1</v>
      </c>
      <c r="L20" s="11" t="s">
        <v>800</v>
      </c>
      <c r="M20" s="11" t="s">
        <v>30</v>
      </c>
      <c r="N20" s="45" t="s">
        <v>304</v>
      </c>
      <c r="O20" s="11" t="s">
        <v>41</v>
      </c>
      <c r="P20" s="11" t="s">
        <v>802</v>
      </c>
    </row>
    <row r="21" spans="1:16">
      <c r="A21" s="11">
        <f t="shared" si="0"/>
        <v>16</v>
      </c>
      <c r="B21" s="58" t="s">
        <v>175</v>
      </c>
      <c r="C21" s="24" t="s">
        <v>162</v>
      </c>
      <c r="D21" s="11" t="s">
        <v>14</v>
      </c>
      <c r="E21" s="91" t="s">
        <v>473</v>
      </c>
      <c r="F21" s="11" t="s">
        <v>14</v>
      </c>
      <c r="G21" s="43" t="s">
        <v>161</v>
      </c>
      <c r="H21" s="11" t="s">
        <v>51</v>
      </c>
      <c r="I21" s="11" t="s">
        <v>162</v>
      </c>
      <c r="J21" s="11" t="s">
        <v>14</v>
      </c>
      <c r="K21" s="11">
        <v>1</v>
      </c>
      <c r="L21" s="11" t="s">
        <v>800</v>
      </c>
      <c r="M21" s="11" t="s">
        <v>30</v>
      </c>
      <c r="N21" s="45" t="s">
        <v>304</v>
      </c>
      <c r="O21" s="11" t="s">
        <v>41</v>
      </c>
      <c r="P21" s="11" t="s">
        <v>802</v>
      </c>
    </row>
    <row r="22" spans="1:16">
      <c r="A22" s="11">
        <f t="shared" si="0"/>
        <v>17</v>
      </c>
      <c r="B22" s="58" t="s">
        <v>310</v>
      </c>
      <c r="C22" s="24"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308</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1">
        <f t="shared" si="0"/>
        <v>19</v>
      </c>
      <c r="B24" s="58" t="s">
        <v>279</v>
      </c>
      <c r="C24" s="24" t="s">
        <v>278</v>
      </c>
      <c r="D24" s="11" t="s">
        <v>30</v>
      </c>
      <c r="E24" s="116" t="s">
        <v>593</v>
      </c>
      <c r="F24" s="11" t="s">
        <v>30</v>
      </c>
      <c r="G24" s="43" t="s">
        <v>276</v>
      </c>
      <c r="H24" s="11" t="s">
        <v>274</v>
      </c>
      <c r="I24" s="11" t="s">
        <v>275</v>
      </c>
      <c r="J24" s="11" t="s">
        <v>14</v>
      </c>
      <c r="K24" s="11">
        <v>2</v>
      </c>
      <c r="L24" s="11" t="s">
        <v>800</v>
      </c>
      <c r="M24" s="11" t="s">
        <v>30</v>
      </c>
      <c r="N24" s="45" t="s">
        <v>277</v>
      </c>
      <c r="O24" s="11" t="s">
        <v>273</v>
      </c>
      <c r="P24" s="11" t="s">
        <v>803</v>
      </c>
    </row>
    <row r="25" spans="1:16">
      <c r="A25" s="11">
        <f t="shared" si="0"/>
        <v>20</v>
      </c>
      <c r="B25" s="58" t="s">
        <v>280</v>
      </c>
      <c r="C25" s="24" t="s">
        <v>330</v>
      </c>
      <c r="D25" s="11" t="s">
        <v>14</v>
      </c>
      <c r="E25" s="91" t="s">
        <v>478</v>
      </c>
      <c r="F25" s="11" t="s">
        <v>14</v>
      </c>
      <c r="G25" s="43" t="s">
        <v>287</v>
      </c>
      <c r="H25" s="52" t="s">
        <v>418</v>
      </c>
      <c r="I25" s="65" t="s">
        <v>330</v>
      </c>
      <c r="J25" s="11" t="s">
        <v>14</v>
      </c>
      <c r="K25" s="11">
        <v>1</v>
      </c>
      <c r="L25" s="11" t="s">
        <v>800</v>
      </c>
      <c r="M25" s="11" t="s">
        <v>30</v>
      </c>
      <c r="N25" s="45" t="s">
        <v>331</v>
      </c>
      <c r="O25" s="11" t="s">
        <v>44</v>
      </c>
      <c r="P25" s="11" t="s">
        <v>802</v>
      </c>
    </row>
    <row r="26" spans="1:16">
      <c r="A26" s="11">
        <f t="shared" si="0"/>
        <v>21</v>
      </c>
      <c r="B26" s="58" t="s">
        <v>281</v>
      </c>
      <c r="C26" s="24" t="s">
        <v>286</v>
      </c>
      <c r="D26" s="11" t="s">
        <v>14</v>
      </c>
      <c r="E26" s="91" t="s">
        <v>34</v>
      </c>
      <c r="F26" s="11" t="s">
        <v>14</v>
      </c>
      <c r="G26" s="66" t="s">
        <v>285</v>
      </c>
      <c r="H26" s="52" t="s">
        <v>418</v>
      </c>
      <c r="I26" s="11" t="s">
        <v>286</v>
      </c>
      <c r="J26" s="11" t="s">
        <v>14</v>
      </c>
      <c r="K26" s="11">
        <v>3</v>
      </c>
      <c r="L26" s="11" t="s">
        <v>800</v>
      </c>
      <c r="M26" s="11" t="s">
        <v>30</v>
      </c>
      <c r="N26" s="45" t="s">
        <v>284</v>
      </c>
      <c r="O26" s="11" t="s">
        <v>44</v>
      </c>
      <c r="P26" s="11" t="s">
        <v>802</v>
      </c>
    </row>
    <row r="27" spans="1:16">
      <c r="A27" s="11">
        <f t="shared" si="0"/>
        <v>22</v>
      </c>
      <c r="B27" s="58"/>
      <c r="C27" s="55" t="s">
        <v>408</v>
      </c>
      <c r="D27" s="11" t="s">
        <v>14</v>
      </c>
      <c r="E27" s="91" t="s">
        <v>34</v>
      </c>
      <c r="F27" s="11" t="s">
        <v>14</v>
      </c>
      <c r="G27" s="43" t="s">
        <v>405</v>
      </c>
      <c r="H27" s="52" t="s">
        <v>406</v>
      </c>
      <c r="I27" s="55" t="s">
        <v>407</v>
      </c>
      <c r="J27" s="11" t="s">
        <v>14</v>
      </c>
      <c r="K27" s="11"/>
      <c r="L27" s="11" t="s">
        <v>800</v>
      </c>
      <c r="M27" s="11" t="s">
        <v>30</v>
      </c>
      <c r="N27" s="45" t="s">
        <v>284</v>
      </c>
      <c r="O27" s="11" t="s">
        <v>44</v>
      </c>
      <c r="P27" s="11" t="s">
        <v>802</v>
      </c>
    </row>
    <row r="28" spans="1:16">
      <c r="A28" s="11">
        <f t="shared" si="0"/>
        <v>23</v>
      </c>
      <c r="B28" s="58" t="s">
        <v>409</v>
      </c>
      <c r="C28" s="55" t="s">
        <v>506</v>
      </c>
      <c r="D28" s="11" t="s">
        <v>14</v>
      </c>
      <c r="E28" s="91" t="s">
        <v>34</v>
      </c>
      <c r="F28" s="11" t="s">
        <v>14</v>
      </c>
      <c r="G28" s="66" t="s">
        <v>507</v>
      </c>
      <c r="H28" s="52" t="s">
        <v>418</v>
      </c>
      <c r="I28" s="55" t="s">
        <v>506</v>
      </c>
      <c r="J28" s="11" t="s">
        <v>14</v>
      </c>
      <c r="K28" s="11">
        <v>4</v>
      </c>
      <c r="L28" s="11" t="s">
        <v>800</v>
      </c>
      <c r="M28" s="11" t="s">
        <v>30</v>
      </c>
      <c r="N28" s="45" t="s">
        <v>515</v>
      </c>
      <c r="O28" s="11" t="s">
        <v>44</v>
      </c>
      <c r="P28" s="11" t="s">
        <v>802</v>
      </c>
    </row>
    <row r="29" spans="1:16">
      <c r="A29" s="11">
        <f t="shared" si="0"/>
        <v>24</v>
      </c>
      <c r="B29" s="58"/>
      <c r="C29" s="55" t="s">
        <v>508</v>
      </c>
      <c r="D29" s="11" t="s">
        <v>14</v>
      </c>
      <c r="E29" s="9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0"/>
        <v>25</v>
      </c>
      <c r="B30" s="58"/>
      <c r="C30" s="55" t="s">
        <v>509</v>
      </c>
      <c r="D30" s="11" t="s">
        <v>14</v>
      </c>
      <c r="E30" s="9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9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91" t="s">
        <v>34</v>
      </c>
      <c r="F32" s="11" t="s">
        <v>14</v>
      </c>
      <c r="G32" s="43" t="s">
        <v>316</v>
      </c>
      <c r="H32" s="52" t="s">
        <v>418</v>
      </c>
      <c r="I32" s="24" t="s">
        <v>290</v>
      </c>
      <c r="J32" s="11" t="s">
        <v>14</v>
      </c>
      <c r="K32" s="11">
        <v>8</v>
      </c>
      <c r="L32" s="11" t="s">
        <v>800</v>
      </c>
      <c r="M32" s="11" t="s">
        <v>30</v>
      </c>
      <c r="N32" s="45" t="s">
        <v>289</v>
      </c>
      <c r="O32" s="11" t="s">
        <v>44</v>
      </c>
      <c r="P32" s="11" t="s">
        <v>802</v>
      </c>
    </row>
    <row r="33" spans="1:16">
      <c r="A33" s="11">
        <f t="shared" si="0"/>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46</v>
      </c>
      <c r="C34" s="24" t="s">
        <v>333</v>
      </c>
      <c r="D34" s="11" t="s">
        <v>14</v>
      </c>
      <c r="E34" s="91" t="s">
        <v>34</v>
      </c>
      <c r="F34" s="11" t="s">
        <v>14</v>
      </c>
      <c r="G34" s="43" t="s">
        <v>314</v>
      </c>
      <c r="H34" s="52" t="s">
        <v>418</v>
      </c>
      <c r="I34" s="67" t="s">
        <v>333</v>
      </c>
      <c r="J34" s="11" t="s">
        <v>14</v>
      </c>
      <c r="K34" s="11">
        <v>1</v>
      </c>
      <c r="L34" s="11" t="s">
        <v>800</v>
      </c>
      <c r="M34" s="11" t="s">
        <v>30</v>
      </c>
      <c r="N34" s="45" t="s">
        <v>332</v>
      </c>
      <c r="O34" s="11" t="s">
        <v>44</v>
      </c>
      <c r="P34" s="11" t="s">
        <v>802</v>
      </c>
    </row>
    <row r="35" spans="1:16">
      <c r="A35" s="11">
        <f t="shared" si="0"/>
        <v>30</v>
      </c>
      <c r="B35" s="58" t="s">
        <v>47</v>
      </c>
      <c r="C35" s="24" t="s">
        <v>548</v>
      </c>
      <c r="D35" s="11" t="s">
        <v>14</v>
      </c>
      <c r="E35" s="91" t="s">
        <v>34</v>
      </c>
      <c r="F35" s="11" t="s">
        <v>14</v>
      </c>
      <c r="G35" s="43" t="s">
        <v>334</v>
      </c>
      <c r="H35" s="52" t="s">
        <v>418</v>
      </c>
      <c r="I35" s="67" t="s">
        <v>335</v>
      </c>
      <c r="J35" s="11" t="s">
        <v>14</v>
      </c>
      <c r="K35" s="52">
        <v>2</v>
      </c>
      <c r="L35" s="11" t="s">
        <v>800</v>
      </c>
      <c r="M35" s="11" t="s">
        <v>30</v>
      </c>
      <c r="N35" s="45" t="s">
        <v>336</v>
      </c>
      <c r="O35" s="11" t="s">
        <v>44</v>
      </c>
      <c r="P35" s="11" t="s">
        <v>802</v>
      </c>
    </row>
    <row r="36" spans="1:16">
      <c r="A36" s="11">
        <f t="shared" si="0"/>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9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9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55" t="s">
        <v>398</v>
      </c>
      <c r="D39" s="11" t="s">
        <v>14</v>
      </c>
      <c r="E39" s="91" t="s">
        <v>34</v>
      </c>
      <c r="F39" s="11" t="s">
        <v>14</v>
      </c>
      <c r="G39" s="43" t="s">
        <v>299</v>
      </c>
      <c r="H39" s="52" t="s">
        <v>418</v>
      </c>
      <c r="I39" s="55" t="s">
        <v>398</v>
      </c>
      <c r="J39" s="11" t="s">
        <v>14</v>
      </c>
      <c r="K39" s="11">
        <v>64</v>
      </c>
      <c r="L39" s="11" t="s">
        <v>800</v>
      </c>
      <c r="M39" s="11" t="s">
        <v>30</v>
      </c>
      <c r="N39" s="45" t="s">
        <v>296</v>
      </c>
      <c r="O39" s="11" t="s">
        <v>44</v>
      </c>
      <c r="P39" s="11" t="s">
        <v>802</v>
      </c>
    </row>
    <row r="40" spans="1:16">
      <c r="A40" s="11">
        <f t="shared" si="0"/>
        <v>35</v>
      </c>
      <c r="B40" s="58"/>
      <c r="C40" s="55" t="s">
        <v>400</v>
      </c>
      <c r="D40" s="11" t="s">
        <v>14</v>
      </c>
      <c r="E40" s="91" t="s">
        <v>34</v>
      </c>
      <c r="F40" s="11" t="s">
        <v>14</v>
      </c>
      <c r="G40" s="43" t="s">
        <v>415</v>
      </c>
      <c r="H40" s="52" t="s">
        <v>401</v>
      </c>
      <c r="I40" s="55" t="s">
        <v>402</v>
      </c>
      <c r="J40" s="11" t="s">
        <v>14</v>
      </c>
      <c r="K40" s="11"/>
      <c r="L40" s="11" t="s">
        <v>800</v>
      </c>
      <c r="M40" s="11" t="s">
        <v>30</v>
      </c>
      <c r="N40" s="45" t="s">
        <v>296</v>
      </c>
      <c r="O40" s="11" t="s">
        <v>44</v>
      </c>
      <c r="P40" s="11" t="s">
        <v>802</v>
      </c>
    </row>
    <row r="41" spans="1:16">
      <c r="A41" s="11">
        <f t="shared" si="0"/>
        <v>36</v>
      </c>
      <c r="B41" s="58" t="s">
        <v>412</v>
      </c>
      <c r="C41" s="55" t="s">
        <v>399</v>
      </c>
      <c r="D41" s="11" t="s">
        <v>14</v>
      </c>
      <c r="E41" s="91" t="s">
        <v>34</v>
      </c>
      <c r="F41" s="11" t="s">
        <v>14</v>
      </c>
      <c r="G41" s="13" t="s">
        <v>298</v>
      </c>
      <c r="H41" s="52" t="s">
        <v>418</v>
      </c>
      <c r="I41" s="55" t="s">
        <v>399</v>
      </c>
      <c r="J41" s="11" t="s">
        <v>14</v>
      </c>
      <c r="K41" s="11">
        <v>64</v>
      </c>
      <c r="L41" s="11" t="s">
        <v>800</v>
      </c>
      <c r="M41" s="11" t="s">
        <v>30</v>
      </c>
      <c r="N41" s="45" t="s">
        <v>297</v>
      </c>
      <c r="O41" s="11" t="s">
        <v>44</v>
      </c>
      <c r="P41" s="11" t="s">
        <v>802</v>
      </c>
    </row>
    <row r="42" spans="1:16">
      <c r="A42" s="11">
        <f t="shared" si="0"/>
        <v>37</v>
      </c>
      <c r="B42" s="58"/>
      <c r="C42" s="55" t="s">
        <v>404</v>
      </c>
      <c r="D42" s="11" t="s">
        <v>14</v>
      </c>
      <c r="E42" s="9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91" t="s">
        <v>34</v>
      </c>
      <c r="F43" s="11" t="s">
        <v>14</v>
      </c>
      <c r="G43" s="66"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91" t="s">
        <v>34</v>
      </c>
      <c r="F44" s="11" t="s">
        <v>14</v>
      </c>
      <c r="G44" s="66"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91" t="s">
        <v>34</v>
      </c>
      <c r="F45" s="11" t="s">
        <v>14</v>
      </c>
      <c r="G45" s="66"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91" t="s">
        <v>34</v>
      </c>
      <c r="F46" s="11" t="s">
        <v>14</v>
      </c>
      <c r="G46" s="66"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91" t="s">
        <v>34</v>
      </c>
      <c r="F47" s="11" t="s">
        <v>14</v>
      </c>
      <c r="G47" s="66"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91" t="s">
        <v>34</v>
      </c>
      <c r="F48" s="11" t="s">
        <v>14</v>
      </c>
      <c r="G48" s="66" t="s">
        <v>634</v>
      </c>
      <c r="H48" s="52" t="s">
        <v>538</v>
      </c>
      <c r="I48" s="52" t="s">
        <v>632</v>
      </c>
      <c r="J48" s="11" t="s">
        <v>14</v>
      </c>
      <c r="K48" s="11"/>
      <c r="L48" s="11" t="s">
        <v>800</v>
      </c>
      <c r="M48" s="11" t="s">
        <v>30</v>
      </c>
      <c r="N48" s="45" t="s">
        <v>524</v>
      </c>
      <c r="O48" s="11" t="s">
        <v>44</v>
      </c>
      <c r="P48" s="11" t="s">
        <v>802</v>
      </c>
    </row>
    <row r="49" spans="1:47">
      <c r="A49" s="11">
        <f t="shared" si="0"/>
        <v>44</v>
      </c>
      <c r="B49" s="58" t="s">
        <v>745</v>
      </c>
      <c r="C49" s="55" t="s">
        <v>747</v>
      </c>
      <c r="D49" s="11" t="s">
        <v>14</v>
      </c>
      <c r="E49" s="91" t="s">
        <v>34</v>
      </c>
      <c r="F49" s="11" t="s">
        <v>14</v>
      </c>
      <c r="G49" s="66" t="s">
        <v>744</v>
      </c>
      <c r="H49" s="55" t="s">
        <v>743</v>
      </c>
      <c r="I49" s="55" t="s">
        <v>747</v>
      </c>
      <c r="J49" s="11" t="s">
        <v>14</v>
      </c>
      <c r="K49" s="11">
        <v>1</v>
      </c>
      <c r="L49" s="11" t="s">
        <v>800</v>
      </c>
      <c r="M49" s="11" t="s">
        <v>30</v>
      </c>
      <c r="N49" s="45"/>
      <c r="O49" s="11" t="s">
        <v>44</v>
      </c>
      <c r="P49" s="11" t="s">
        <v>802</v>
      </c>
    </row>
    <row r="50" spans="1:47">
      <c r="A50" s="11">
        <f t="shared" si="0"/>
        <v>45</v>
      </c>
      <c r="B50" s="58" t="s">
        <v>746</v>
      </c>
      <c r="C50" s="55" t="s">
        <v>751</v>
      </c>
      <c r="D50" s="11" t="s">
        <v>14</v>
      </c>
      <c r="E50" s="91" t="s">
        <v>34</v>
      </c>
      <c r="F50" s="11" t="s">
        <v>14</v>
      </c>
      <c r="G50" s="66" t="s">
        <v>748</v>
      </c>
      <c r="H50" s="52" t="s">
        <v>749</v>
      </c>
      <c r="I50" s="55" t="s">
        <v>750</v>
      </c>
      <c r="J50" s="11" t="s">
        <v>14</v>
      </c>
      <c r="K50" s="11">
        <v>4</v>
      </c>
      <c r="L50" s="11" t="s">
        <v>800</v>
      </c>
      <c r="M50" s="11" t="s">
        <v>30</v>
      </c>
      <c r="N50" s="45"/>
      <c r="O50" s="11" t="s">
        <v>44</v>
      </c>
      <c r="P50" s="11" t="s">
        <v>802</v>
      </c>
    </row>
    <row r="51" spans="1:47">
      <c r="A51" s="11">
        <f t="shared" si="0"/>
        <v>46</v>
      </c>
      <c r="B51" s="58" t="s">
        <v>302</v>
      </c>
      <c r="C51" s="11" t="s">
        <v>789</v>
      </c>
      <c r="D51" s="11" t="s">
        <v>14</v>
      </c>
      <c r="E51" s="91" t="s">
        <v>34</v>
      </c>
      <c r="F51" s="11" t="s">
        <v>14</v>
      </c>
      <c r="G51" s="66" t="s">
        <v>786</v>
      </c>
      <c r="H51" s="52" t="s">
        <v>787</v>
      </c>
      <c r="I51" s="55" t="s">
        <v>785</v>
      </c>
      <c r="J51" s="11" t="s">
        <v>14</v>
      </c>
      <c r="K51" s="11">
        <v>1</v>
      </c>
      <c r="L51" s="11" t="s">
        <v>800</v>
      </c>
      <c r="M51" s="11" t="s">
        <v>30</v>
      </c>
      <c r="N51" s="45"/>
      <c r="O51" s="11" t="s">
        <v>44</v>
      </c>
      <c r="P51" s="11" t="s">
        <v>802</v>
      </c>
    </row>
    <row r="52" spans="1:47" s="206" customFormat="1">
      <c r="A52" s="200">
        <f t="shared" si="0"/>
        <v>47</v>
      </c>
      <c r="B52" s="201" t="s">
        <v>555</v>
      </c>
      <c r="C52" s="202" t="s">
        <v>211</v>
      </c>
      <c r="D52" s="200" t="s">
        <v>30</v>
      </c>
      <c r="E52" s="203" t="s">
        <v>527</v>
      </c>
      <c r="F52" s="200" t="s">
        <v>14</v>
      </c>
      <c r="G52" s="204" t="s">
        <v>209</v>
      </c>
      <c r="H52" s="200" t="s">
        <v>210</v>
      </c>
      <c r="I52" s="202" t="s">
        <v>213</v>
      </c>
      <c r="J52" s="200" t="s">
        <v>30</v>
      </c>
      <c r="K52" s="200">
        <v>8</v>
      </c>
      <c r="L52" s="200" t="s">
        <v>800</v>
      </c>
      <c r="M52" s="200" t="s">
        <v>30</v>
      </c>
      <c r="N52" s="205"/>
      <c r="O52" s="200" t="s">
        <v>50</v>
      </c>
      <c r="P52" s="200" t="s">
        <v>803</v>
      </c>
    </row>
    <row r="53" spans="1:47" s="206" customFormat="1">
      <c r="A53" s="200">
        <f t="shared" si="0"/>
        <v>48</v>
      </c>
      <c r="B53" s="201"/>
      <c r="C53" s="202" t="s">
        <v>212</v>
      </c>
      <c r="D53" s="200" t="s">
        <v>30</v>
      </c>
      <c r="E53" s="203" t="s">
        <v>527</v>
      </c>
      <c r="F53" s="200" t="s">
        <v>14</v>
      </c>
      <c r="G53" s="207" t="s">
        <v>209</v>
      </c>
      <c r="H53" s="200" t="s">
        <v>57</v>
      </c>
      <c r="I53" s="202" t="s">
        <v>214</v>
      </c>
      <c r="J53" s="200" t="s">
        <v>30</v>
      </c>
      <c r="K53" s="200"/>
      <c r="L53" s="200" t="s">
        <v>800</v>
      </c>
      <c r="M53" s="200" t="s">
        <v>30</v>
      </c>
      <c r="N53" s="205"/>
      <c r="O53" s="200" t="s">
        <v>50</v>
      </c>
      <c r="P53" s="200" t="s">
        <v>803</v>
      </c>
    </row>
    <row r="54" spans="1:47" s="39" customFormat="1" ht="14.5">
      <c r="A54" s="24">
        <f t="shared" si="0"/>
        <v>49</v>
      </c>
      <c r="B54" s="47" t="s">
        <v>556</v>
      </c>
      <c r="C54" s="24" t="s">
        <v>456</v>
      </c>
      <c r="D54" s="93" t="s">
        <v>30</v>
      </c>
      <c r="E54" s="91" t="s">
        <v>528</v>
      </c>
      <c r="F54" s="24" t="s">
        <v>14</v>
      </c>
      <c r="G54" s="13" t="s">
        <v>424</v>
      </c>
      <c r="H54" s="55" t="s">
        <v>464</v>
      </c>
      <c r="I54" s="55" t="s">
        <v>456</v>
      </c>
      <c r="J54" s="24" t="s">
        <v>30</v>
      </c>
      <c r="K54" s="24">
        <v>1</v>
      </c>
      <c r="L54" s="11" t="s">
        <v>800</v>
      </c>
      <c r="M54" s="11" t="s">
        <v>30</v>
      </c>
      <c r="N54" s="94"/>
      <c r="O54" s="24" t="s">
        <v>50</v>
      </c>
      <c r="P54" s="11" t="s">
        <v>802</v>
      </c>
    </row>
    <row r="55" spans="1:47" s="39" customFormat="1" ht="14.5">
      <c r="A55" s="24">
        <f t="shared" si="0"/>
        <v>50</v>
      </c>
      <c r="B55" s="47"/>
      <c r="C55" s="24" t="s">
        <v>462</v>
      </c>
      <c r="D55" s="93" t="s">
        <v>30</v>
      </c>
      <c r="E55" s="91" t="s">
        <v>528</v>
      </c>
      <c r="F55" s="24" t="s">
        <v>14</v>
      </c>
      <c r="G55" s="13" t="s">
        <v>425</v>
      </c>
      <c r="H55" s="55" t="s">
        <v>464</v>
      </c>
      <c r="I55" s="55" t="s">
        <v>462</v>
      </c>
      <c r="J55" s="24" t="s">
        <v>30</v>
      </c>
      <c r="K55" s="24"/>
      <c r="L55" s="11" t="s">
        <v>800</v>
      </c>
      <c r="M55" s="11" t="s">
        <v>30</v>
      </c>
      <c r="N55" s="94"/>
      <c r="O55" s="24" t="s">
        <v>50</v>
      </c>
      <c r="P55" s="11" t="s">
        <v>802</v>
      </c>
    </row>
    <row r="56" spans="1:47" s="39" customFormat="1" ht="14.5">
      <c r="A56" s="24">
        <f t="shared" si="0"/>
        <v>51</v>
      </c>
      <c r="B56" s="47"/>
      <c r="C56" s="24" t="s">
        <v>463</v>
      </c>
      <c r="D56" s="93" t="s">
        <v>30</v>
      </c>
      <c r="E56" s="91" t="s">
        <v>528</v>
      </c>
      <c r="F56" s="24" t="s">
        <v>14</v>
      </c>
      <c r="G56" s="13" t="s">
        <v>465</v>
      </c>
      <c r="H56" s="55" t="s">
        <v>464</v>
      </c>
      <c r="I56" s="55" t="s">
        <v>463</v>
      </c>
      <c r="J56" s="24" t="s">
        <v>30</v>
      </c>
      <c r="K56" s="24"/>
      <c r="L56" s="11" t="s">
        <v>800</v>
      </c>
      <c r="M56" s="11" t="s">
        <v>30</v>
      </c>
      <c r="N56" s="94"/>
      <c r="O56" s="24" t="s">
        <v>50</v>
      </c>
      <c r="P56" s="11" t="s">
        <v>802</v>
      </c>
    </row>
    <row r="57" spans="1:47" s="45" customFormat="1">
      <c r="A57" s="24">
        <f t="shared" si="0"/>
        <v>52</v>
      </c>
      <c r="B57" s="47"/>
      <c r="C57" s="24" t="s">
        <v>775</v>
      </c>
      <c r="D57" s="93" t="s">
        <v>30</v>
      </c>
      <c r="E57" s="91" t="s">
        <v>528</v>
      </c>
      <c r="F57" s="24" t="s">
        <v>14</v>
      </c>
      <c r="G57" s="13" t="s">
        <v>726</v>
      </c>
      <c r="H57" s="55" t="s">
        <v>464</v>
      </c>
      <c r="I57" s="55" t="str">
        <f>C57</f>
        <v>TEMP-S000229174</v>
      </c>
      <c r="J57" s="24" t="s">
        <v>30</v>
      </c>
      <c r="K57" s="24"/>
      <c r="L57" s="11" t="s">
        <v>800</v>
      </c>
      <c r="M57" s="11" t="s">
        <v>30</v>
      </c>
      <c r="N57" s="94"/>
      <c r="O57" s="24" t="s">
        <v>50</v>
      </c>
      <c r="P57" s="11" t="s">
        <v>802</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row>
    <row r="58" spans="1:47" s="25" customFormat="1" ht="14.5">
      <c r="A58" s="24">
        <f t="shared" si="0"/>
        <v>53</v>
      </c>
      <c r="B58" s="47" t="s">
        <v>557</v>
      </c>
      <c r="C58" s="11" t="s">
        <v>383</v>
      </c>
      <c r="D58" s="11" t="s">
        <v>30</v>
      </c>
      <c r="E58" s="90" t="s">
        <v>34</v>
      </c>
      <c r="F58" s="11" t="s">
        <v>30</v>
      </c>
      <c r="G58" s="53" t="s">
        <v>312</v>
      </c>
      <c r="H58" s="11" t="s">
        <v>51</v>
      </c>
      <c r="I58" s="11" t="s">
        <v>383</v>
      </c>
      <c r="J58" s="50" t="s">
        <v>127</v>
      </c>
      <c r="K58" s="50">
        <v>1</v>
      </c>
      <c r="L58" s="11" t="s">
        <v>800</v>
      </c>
      <c r="M58" s="11" t="s">
        <v>30</v>
      </c>
      <c r="N58" s="11"/>
      <c r="O58" s="52" t="s">
        <v>50</v>
      </c>
      <c r="P58" s="11" t="s">
        <v>802</v>
      </c>
    </row>
    <row r="59" spans="1:47" s="17" customFormat="1">
      <c r="A59" s="11">
        <f t="shared" si="0"/>
        <v>54</v>
      </c>
      <c r="B59" s="47" t="s">
        <v>752</v>
      </c>
      <c r="C59" s="24" t="s">
        <v>249</v>
      </c>
      <c r="D59" s="11" t="s">
        <v>30</v>
      </c>
      <c r="E59" s="91" t="s">
        <v>479</v>
      </c>
      <c r="F59" s="11" t="s">
        <v>14</v>
      </c>
      <c r="G59" s="13" t="s">
        <v>267</v>
      </c>
      <c r="H59" s="11" t="s">
        <v>39</v>
      </c>
      <c r="I59" s="24" t="s">
        <v>233</v>
      </c>
      <c r="J59" s="11" t="s">
        <v>700</v>
      </c>
      <c r="K59" s="11">
        <v>1</v>
      </c>
      <c r="L59" s="11" t="s">
        <v>800</v>
      </c>
      <c r="M59" s="11" t="s">
        <v>30</v>
      </c>
      <c r="N59" s="70" t="s">
        <v>268</v>
      </c>
      <c r="O59" s="11" t="s">
        <v>45</v>
      </c>
      <c r="P59" s="11" t="s">
        <v>802</v>
      </c>
    </row>
    <row r="60" spans="1:47" s="17" customFormat="1">
      <c r="A60" s="11">
        <f t="shared" si="0"/>
        <v>55</v>
      </c>
      <c r="B60" s="47" t="s">
        <v>753</v>
      </c>
      <c r="C60" s="55" t="s">
        <v>796</v>
      </c>
      <c r="D60" s="11" t="s">
        <v>30</v>
      </c>
      <c r="E60" s="91" t="s">
        <v>480</v>
      </c>
      <c r="F60" s="11" t="s">
        <v>14</v>
      </c>
      <c r="G60" s="13" t="s">
        <v>797</v>
      </c>
      <c r="H60" s="11" t="s">
        <v>39</v>
      </c>
      <c r="I60" s="24" t="s">
        <v>234</v>
      </c>
      <c r="J60" s="52" t="s">
        <v>773</v>
      </c>
      <c r="K60" s="11">
        <v>1</v>
      </c>
      <c r="L60" s="11" t="s">
        <v>800</v>
      </c>
      <c r="M60" s="11" t="s">
        <v>30</v>
      </c>
      <c r="N60" s="48" t="s">
        <v>192</v>
      </c>
      <c r="O60" s="11" t="s">
        <v>45</v>
      </c>
      <c r="P60" s="11" t="s">
        <v>802</v>
      </c>
    </row>
    <row r="61" spans="1:47" s="17" customFormat="1">
      <c r="A61" s="11">
        <f t="shared" si="0"/>
        <v>56</v>
      </c>
      <c r="B61" s="47" t="s">
        <v>758</v>
      </c>
      <c r="C61" s="55" t="s">
        <v>769</v>
      </c>
      <c r="D61" s="11" t="s">
        <v>30</v>
      </c>
      <c r="E61" s="91" t="s">
        <v>481</v>
      </c>
      <c r="F61" s="11" t="s">
        <v>14</v>
      </c>
      <c r="G61" s="13" t="s">
        <v>772</v>
      </c>
      <c r="H61" s="11" t="s">
        <v>39</v>
      </c>
      <c r="I61" s="24" t="s">
        <v>235</v>
      </c>
      <c r="J61" s="52" t="s">
        <v>773</v>
      </c>
      <c r="K61" s="11">
        <v>1</v>
      </c>
      <c r="L61" s="11" t="s">
        <v>800</v>
      </c>
      <c r="M61" s="11" t="s">
        <v>30</v>
      </c>
      <c r="N61" s="48" t="s">
        <v>193</v>
      </c>
      <c r="O61" s="11" t="s">
        <v>45</v>
      </c>
      <c r="P61" s="11" t="s">
        <v>802</v>
      </c>
    </row>
    <row r="62" spans="1:47" s="17" customFormat="1">
      <c r="A62" s="11">
        <f t="shared" si="0"/>
        <v>57</v>
      </c>
      <c r="B62" s="47" t="s">
        <v>155</v>
      </c>
      <c r="C62" s="55" t="s">
        <v>770</v>
      </c>
      <c r="D62" s="11" t="s">
        <v>30</v>
      </c>
      <c r="E62" s="91" t="s">
        <v>482</v>
      </c>
      <c r="F62" s="11" t="s">
        <v>14</v>
      </c>
      <c r="G62" s="13" t="s">
        <v>771</v>
      </c>
      <c r="H62" s="11" t="s">
        <v>39</v>
      </c>
      <c r="I62" s="24" t="s">
        <v>236</v>
      </c>
      <c r="J62" s="52" t="s">
        <v>702</v>
      </c>
      <c r="K62" s="11">
        <v>1</v>
      </c>
      <c r="L62" s="11" t="s">
        <v>800</v>
      </c>
      <c r="M62" s="11" t="s">
        <v>30</v>
      </c>
      <c r="N62" s="48" t="s">
        <v>194</v>
      </c>
      <c r="O62" s="11" t="s">
        <v>45</v>
      </c>
      <c r="P62" s="11" t="s">
        <v>802</v>
      </c>
    </row>
    <row r="63" spans="1:47" s="17" customFormat="1">
      <c r="A63" s="11">
        <f t="shared" si="0"/>
        <v>58</v>
      </c>
      <c r="B63" s="47" t="s">
        <v>121</v>
      </c>
      <c r="C63" s="24" t="s">
        <v>250</v>
      </c>
      <c r="D63" s="11" t="s">
        <v>30</v>
      </c>
      <c r="E63" s="91" t="s">
        <v>483</v>
      </c>
      <c r="F63" s="11" t="s">
        <v>14</v>
      </c>
      <c r="G63" s="13" t="s">
        <v>231</v>
      </c>
      <c r="H63" s="11" t="s">
        <v>39</v>
      </c>
      <c r="I63" s="24" t="s">
        <v>237</v>
      </c>
      <c r="J63" s="11" t="s">
        <v>702</v>
      </c>
      <c r="K63" s="11">
        <v>1</v>
      </c>
      <c r="L63" s="11" t="s">
        <v>800</v>
      </c>
      <c r="M63" s="11" t="s">
        <v>30</v>
      </c>
      <c r="N63" s="48" t="s">
        <v>195</v>
      </c>
      <c r="O63" s="11" t="s">
        <v>45</v>
      </c>
      <c r="P63" s="11" t="s">
        <v>802</v>
      </c>
    </row>
    <row r="64" spans="1:47" s="17" customFormat="1">
      <c r="A64" s="11">
        <f t="shared" si="0"/>
        <v>59</v>
      </c>
      <c r="B64" s="47" t="s">
        <v>122</v>
      </c>
      <c r="C64" s="24" t="s">
        <v>251</v>
      </c>
      <c r="D64" s="11" t="s">
        <v>30</v>
      </c>
      <c r="E64" s="91" t="s">
        <v>484</v>
      </c>
      <c r="F64" s="11" t="s">
        <v>14</v>
      </c>
      <c r="G64" s="43" t="s">
        <v>166</v>
      </c>
      <c r="H64" s="11" t="s">
        <v>39</v>
      </c>
      <c r="I64" s="24" t="s">
        <v>238</v>
      </c>
      <c r="J64" s="11" t="s">
        <v>701</v>
      </c>
      <c r="K64" s="11">
        <v>1</v>
      </c>
      <c r="L64" s="11" t="s">
        <v>800</v>
      </c>
      <c r="M64" s="11" t="s">
        <v>30</v>
      </c>
      <c r="N64" s="48" t="s">
        <v>196</v>
      </c>
      <c r="O64" s="11" t="s">
        <v>45</v>
      </c>
      <c r="P64" s="11" t="s">
        <v>802</v>
      </c>
    </row>
    <row r="65" spans="1:17" s="17" customFormat="1">
      <c r="A65" s="11">
        <f t="shared" si="0"/>
        <v>60</v>
      </c>
      <c r="B65" s="47" t="s">
        <v>123</v>
      </c>
      <c r="C65" s="24" t="s">
        <v>252</v>
      </c>
      <c r="D65" s="11" t="s">
        <v>30</v>
      </c>
      <c r="E65" s="91" t="s">
        <v>485</v>
      </c>
      <c r="F65" s="11" t="s">
        <v>14</v>
      </c>
      <c r="G65" s="43" t="s">
        <v>167</v>
      </c>
      <c r="H65" s="11" t="s">
        <v>39</v>
      </c>
      <c r="I65" s="24" t="s">
        <v>239</v>
      </c>
      <c r="J65" s="11" t="s">
        <v>701</v>
      </c>
      <c r="K65" s="11">
        <v>1</v>
      </c>
      <c r="L65" s="11" t="s">
        <v>800</v>
      </c>
      <c r="M65" s="11" t="s">
        <v>30</v>
      </c>
      <c r="N65" s="48" t="s">
        <v>197</v>
      </c>
      <c r="O65" s="11" t="s">
        <v>45</v>
      </c>
      <c r="P65" s="11" t="s">
        <v>802</v>
      </c>
    </row>
    <row r="66" spans="1:17" s="17" customFormat="1">
      <c r="A66" s="11">
        <f t="shared" si="0"/>
        <v>61</v>
      </c>
      <c r="B66" s="47" t="s">
        <v>124</v>
      </c>
      <c r="C66" s="24" t="s">
        <v>253</v>
      </c>
      <c r="D66" s="11" t="s">
        <v>30</v>
      </c>
      <c r="E66" s="91" t="s">
        <v>486</v>
      </c>
      <c r="F66" s="11" t="s">
        <v>14</v>
      </c>
      <c r="G66" s="43" t="s">
        <v>168</v>
      </c>
      <c r="H66" s="11" t="s">
        <v>39</v>
      </c>
      <c r="I66" s="24" t="s">
        <v>240</v>
      </c>
      <c r="J66" s="11" t="s">
        <v>701</v>
      </c>
      <c r="K66" s="11">
        <v>1</v>
      </c>
      <c r="L66" s="11" t="s">
        <v>800</v>
      </c>
      <c r="M66" s="11" t="s">
        <v>30</v>
      </c>
      <c r="N66" s="48" t="s">
        <v>198</v>
      </c>
      <c r="O66" s="11" t="s">
        <v>45</v>
      </c>
      <c r="P66" s="11" t="s">
        <v>802</v>
      </c>
    </row>
    <row r="67" spans="1:17" s="17" customFormat="1">
      <c r="A67" s="11">
        <f t="shared" si="0"/>
        <v>62</v>
      </c>
      <c r="B67" s="47" t="s">
        <v>156</v>
      </c>
      <c r="C67" s="24" t="s">
        <v>254</v>
      </c>
      <c r="D67" s="11" t="s">
        <v>30</v>
      </c>
      <c r="E67" s="91" t="s">
        <v>487</v>
      </c>
      <c r="F67" s="11" t="s">
        <v>14</v>
      </c>
      <c r="G67" s="43" t="s">
        <v>164</v>
      </c>
      <c r="H67" s="11" t="s">
        <v>39</v>
      </c>
      <c r="I67" s="24" t="s">
        <v>241</v>
      </c>
      <c r="J67" s="11" t="s">
        <v>701</v>
      </c>
      <c r="K67" s="11">
        <v>1</v>
      </c>
      <c r="L67" s="11" t="s">
        <v>800</v>
      </c>
      <c r="M67" s="11" t="s">
        <v>30</v>
      </c>
      <c r="N67" s="48" t="s">
        <v>199</v>
      </c>
      <c r="O67" s="11" t="s">
        <v>45</v>
      </c>
      <c r="P67" s="11" t="s">
        <v>802</v>
      </c>
    </row>
    <row r="68" spans="1:17" s="17" customFormat="1">
      <c r="A68" s="11">
        <f t="shared" si="0"/>
        <v>63</v>
      </c>
      <c r="B68" s="47" t="s">
        <v>157</v>
      </c>
      <c r="C68" s="24" t="s">
        <v>323</v>
      </c>
      <c r="D68" s="11" t="s">
        <v>30</v>
      </c>
      <c r="E68" s="91" t="s">
        <v>488</v>
      </c>
      <c r="F68" s="11" t="s">
        <v>14</v>
      </c>
      <c r="G68" s="43" t="s">
        <v>169</v>
      </c>
      <c r="H68" s="11" t="s">
        <v>39</v>
      </c>
      <c r="I68" s="24" t="s">
        <v>242</v>
      </c>
      <c r="J68" s="11" t="s">
        <v>701</v>
      </c>
      <c r="K68" s="11">
        <v>1</v>
      </c>
      <c r="L68" s="11" t="s">
        <v>800</v>
      </c>
      <c r="M68" s="11" t="s">
        <v>30</v>
      </c>
      <c r="N68" s="48" t="s">
        <v>200</v>
      </c>
      <c r="O68" s="11" t="s">
        <v>45</v>
      </c>
      <c r="P68" s="11" t="s">
        <v>802</v>
      </c>
    </row>
    <row r="69" spans="1:17" s="17" customFormat="1">
      <c r="A69" s="11">
        <f t="shared" si="0"/>
        <v>64</v>
      </c>
      <c r="B69" s="47" t="s">
        <v>176</v>
      </c>
      <c r="C69" s="24" t="s">
        <v>255</v>
      </c>
      <c r="D69" s="11" t="s">
        <v>30</v>
      </c>
      <c r="E69" s="91" t="s">
        <v>489</v>
      </c>
      <c r="F69" s="11" t="s">
        <v>14</v>
      </c>
      <c r="G69" s="43" t="s">
        <v>165</v>
      </c>
      <c r="H69" s="11" t="s">
        <v>39</v>
      </c>
      <c r="I69" s="24" t="s">
        <v>243</v>
      </c>
      <c r="J69" s="11" t="s">
        <v>701</v>
      </c>
      <c r="K69" s="11">
        <v>1</v>
      </c>
      <c r="L69" s="11" t="s">
        <v>800</v>
      </c>
      <c r="M69" s="11" t="s">
        <v>30</v>
      </c>
      <c r="N69" s="48" t="s">
        <v>201</v>
      </c>
      <c r="O69" s="11" t="s">
        <v>45</v>
      </c>
      <c r="P69" s="11" t="s">
        <v>802</v>
      </c>
    </row>
    <row r="70" spans="1:17" s="17" customFormat="1">
      <c r="A70" s="11">
        <f t="shared" si="0"/>
        <v>65</v>
      </c>
      <c r="B70" s="47" t="s">
        <v>158</v>
      </c>
      <c r="C70" s="24" t="s">
        <v>256</v>
      </c>
      <c r="D70" s="11" t="s">
        <v>30</v>
      </c>
      <c r="E70" s="91" t="s">
        <v>490</v>
      </c>
      <c r="F70" s="11" t="s">
        <v>14</v>
      </c>
      <c r="G70" s="43" t="s">
        <v>170</v>
      </c>
      <c r="H70" s="11" t="s">
        <v>39</v>
      </c>
      <c r="I70" s="24" t="s">
        <v>244</v>
      </c>
      <c r="J70" s="11" t="s">
        <v>701</v>
      </c>
      <c r="K70" s="11">
        <v>1</v>
      </c>
      <c r="L70" s="11" t="s">
        <v>800</v>
      </c>
      <c r="M70" s="11" t="s">
        <v>30</v>
      </c>
      <c r="N70" s="48" t="s">
        <v>202</v>
      </c>
      <c r="O70" s="11" t="s">
        <v>45</v>
      </c>
      <c r="P70" s="11" t="s">
        <v>802</v>
      </c>
    </row>
    <row r="71" spans="1:17" s="17" customFormat="1">
      <c r="A71" s="11">
        <f t="shared" si="0"/>
        <v>66</v>
      </c>
      <c r="B71" s="47" t="s">
        <v>270</v>
      </c>
      <c r="C71" s="24" t="s">
        <v>262</v>
      </c>
      <c r="D71" s="11" t="s">
        <v>30</v>
      </c>
      <c r="E71" s="91" t="s">
        <v>491</v>
      </c>
      <c r="F71" s="11" t="s">
        <v>14</v>
      </c>
      <c r="G71" s="43" t="s">
        <v>163</v>
      </c>
      <c r="H71" s="11" t="s">
        <v>39</v>
      </c>
      <c r="I71" s="54" t="s">
        <v>265</v>
      </c>
      <c r="J71" s="11" t="s">
        <v>700</v>
      </c>
      <c r="K71" s="11">
        <v>1</v>
      </c>
      <c r="L71" s="11" t="s">
        <v>800</v>
      </c>
      <c r="M71" s="11" t="s">
        <v>30</v>
      </c>
      <c r="N71" s="48" t="s">
        <v>203</v>
      </c>
      <c r="O71" s="11" t="s">
        <v>45</v>
      </c>
      <c r="P71" s="11" t="s">
        <v>802</v>
      </c>
    </row>
    <row r="72" spans="1:17" s="17" customFormat="1">
      <c r="A72" s="11">
        <f t="shared" ref="A72:A78" si="1">ROW(A72)-5</f>
        <v>67</v>
      </c>
      <c r="B72" s="47" t="s">
        <v>271</v>
      </c>
      <c r="C72" s="24" t="s">
        <v>257</v>
      </c>
      <c r="D72" s="11" t="s">
        <v>30</v>
      </c>
      <c r="E72" s="91" t="s">
        <v>492</v>
      </c>
      <c r="F72" s="11" t="s">
        <v>14</v>
      </c>
      <c r="G72" s="43" t="s">
        <v>171</v>
      </c>
      <c r="H72" s="11" t="s">
        <v>39</v>
      </c>
      <c r="I72" s="24" t="s">
        <v>245</v>
      </c>
      <c r="J72" s="11" t="s">
        <v>703</v>
      </c>
      <c r="K72" s="11">
        <v>1</v>
      </c>
      <c r="L72" s="11" t="s">
        <v>800</v>
      </c>
      <c r="M72" s="11" t="s">
        <v>30</v>
      </c>
      <c r="N72" s="48" t="s">
        <v>204</v>
      </c>
      <c r="O72" s="11" t="s">
        <v>45</v>
      </c>
      <c r="P72" s="11" t="s">
        <v>802</v>
      </c>
    </row>
    <row r="73" spans="1:17" s="17" customFormat="1">
      <c r="A73" s="11">
        <f t="shared" si="1"/>
        <v>68</v>
      </c>
      <c r="B73" s="47" t="s">
        <v>272</v>
      </c>
      <c r="C73" s="11" t="s">
        <v>258</v>
      </c>
      <c r="D73" s="11" t="s">
        <v>30</v>
      </c>
      <c r="E73" s="91" t="s">
        <v>493</v>
      </c>
      <c r="F73" s="11" t="s">
        <v>14</v>
      </c>
      <c r="G73" s="43" t="s">
        <v>172</v>
      </c>
      <c r="H73" s="11" t="s">
        <v>39</v>
      </c>
      <c r="I73" s="24" t="s">
        <v>246</v>
      </c>
      <c r="J73" s="11" t="s">
        <v>703</v>
      </c>
      <c r="K73" s="11">
        <v>1</v>
      </c>
      <c r="L73" s="11" t="s">
        <v>800</v>
      </c>
      <c r="M73" s="11" t="s">
        <v>30</v>
      </c>
      <c r="N73" s="48" t="s">
        <v>205</v>
      </c>
      <c r="O73" s="11" t="s">
        <v>45</v>
      </c>
      <c r="P73" s="11" t="s">
        <v>802</v>
      </c>
    </row>
    <row r="74" spans="1:17" s="17" customFormat="1">
      <c r="A74" s="11">
        <f t="shared" si="1"/>
        <v>69</v>
      </c>
      <c r="B74" s="47" t="s">
        <v>558</v>
      </c>
      <c r="C74" s="11" t="s">
        <v>259</v>
      </c>
      <c r="D74" s="11" t="s">
        <v>30</v>
      </c>
      <c r="E74" s="91" t="s">
        <v>494</v>
      </c>
      <c r="F74" s="11" t="s">
        <v>14</v>
      </c>
      <c r="G74" s="43" t="s">
        <v>190</v>
      </c>
      <c r="H74" s="11" t="s">
        <v>39</v>
      </c>
      <c r="I74" s="24" t="s">
        <v>247</v>
      </c>
      <c r="J74" s="11" t="s">
        <v>703</v>
      </c>
      <c r="K74" s="11">
        <v>1</v>
      </c>
      <c r="L74" s="11" t="s">
        <v>800</v>
      </c>
      <c r="M74" s="11" t="s">
        <v>30</v>
      </c>
      <c r="N74" s="48" t="s">
        <v>206</v>
      </c>
      <c r="O74" s="11" t="s">
        <v>45</v>
      </c>
      <c r="P74" s="11" t="s">
        <v>802</v>
      </c>
    </row>
    <row r="75" spans="1:17" s="17" customFormat="1">
      <c r="A75" s="11">
        <f t="shared" si="1"/>
        <v>70</v>
      </c>
      <c r="B75" s="47" t="s">
        <v>559</v>
      </c>
      <c r="C75" s="11" t="s">
        <v>260</v>
      </c>
      <c r="D75" s="11" t="s">
        <v>30</v>
      </c>
      <c r="E75" s="91" t="s">
        <v>495</v>
      </c>
      <c r="F75" s="11" t="s">
        <v>14</v>
      </c>
      <c r="G75" s="43" t="s">
        <v>191</v>
      </c>
      <c r="H75" s="11" t="s">
        <v>39</v>
      </c>
      <c r="I75" s="24" t="s">
        <v>248</v>
      </c>
      <c r="J75" s="11" t="s">
        <v>703</v>
      </c>
      <c r="K75" s="11">
        <v>1</v>
      </c>
      <c r="L75" s="11" t="s">
        <v>800</v>
      </c>
      <c r="M75" s="11" t="s">
        <v>30</v>
      </c>
      <c r="N75" s="48" t="s">
        <v>207</v>
      </c>
      <c r="O75" s="11" t="s">
        <v>45</v>
      </c>
      <c r="P75" s="11" t="s">
        <v>802</v>
      </c>
    </row>
    <row r="76" spans="1:17" s="17" customFormat="1">
      <c r="A76" s="11">
        <f t="shared" si="1"/>
        <v>71</v>
      </c>
      <c r="B76" s="47" t="s">
        <v>754</v>
      </c>
      <c r="C76" s="11" t="s">
        <v>263</v>
      </c>
      <c r="D76" s="11" t="s">
        <v>30</v>
      </c>
      <c r="E76" s="91" t="s">
        <v>496</v>
      </c>
      <c r="F76" s="11" t="s">
        <v>14</v>
      </c>
      <c r="G76" s="43" t="s">
        <v>208</v>
      </c>
      <c r="H76" s="11" t="s">
        <v>39</v>
      </c>
      <c r="I76" s="24" t="s">
        <v>264</v>
      </c>
      <c r="J76" s="11" t="s">
        <v>703</v>
      </c>
      <c r="K76" s="11">
        <v>1</v>
      </c>
      <c r="L76" s="11" t="s">
        <v>800</v>
      </c>
      <c r="M76" s="11" t="s">
        <v>30</v>
      </c>
      <c r="N76" s="48" t="s">
        <v>215</v>
      </c>
      <c r="O76" s="11" t="s">
        <v>45</v>
      </c>
      <c r="P76" s="11" t="s">
        <v>802</v>
      </c>
    </row>
    <row r="77" spans="1:17" s="17" customFormat="1">
      <c r="A77" s="11">
        <f t="shared" si="1"/>
        <v>72</v>
      </c>
      <c r="B77" s="47" t="s">
        <v>755</v>
      </c>
      <c r="C77" s="52" t="s">
        <v>778</v>
      </c>
      <c r="D77" s="11" t="s">
        <v>30</v>
      </c>
      <c r="E77" s="91" t="s">
        <v>497</v>
      </c>
      <c r="F77" s="11" t="s">
        <v>14</v>
      </c>
      <c r="G77" s="13" t="s">
        <v>533</v>
      </c>
      <c r="H77" s="52" t="s">
        <v>585</v>
      </c>
      <c r="I77" s="55" t="s">
        <v>780</v>
      </c>
      <c r="J77" s="11" t="s">
        <v>30</v>
      </c>
      <c r="K77" s="11">
        <v>1</v>
      </c>
      <c r="L77" s="11" t="s">
        <v>800</v>
      </c>
      <c r="M77" s="11" t="s">
        <v>30</v>
      </c>
      <c r="N77" s="48" t="s">
        <v>461</v>
      </c>
      <c r="O77" s="11" t="s">
        <v>269</v>
      </c>
      <c r="P77" s="11" t="s">
        <v>802</v>
      </c>
    </row>
    <row r="78" spans="1:17" s="17" customFormat="1">
      <c r="A78" s="11">
        <f t="shared" si="1"/>
        <v>73</v>
      </c>
      <c r="B78" s="47"/>
      <c r="C78" s="52" t="s">
        <v>779</v>
      </c>
      <c r="D78" s="11" t="s">
        <v>30</v>
      </c>
      <c r="E78" s="91" t="s">
        <v>497</v>
      </c>
      <c r="F78" s="11" t="s">
        <v>14</v>
      </c>
      <c r="G78" s="13" t="s">
        <v>533</v>
      </c>
      <c r="H78" s="52" t="s">
        <v>586</v>
      </c>
      <c r="I78" s="55" t="s">
        <v>781</v>
      </c>
      <c r="J78" s="11" t="s">
        <v>30</v>
      </c>
      <c r="K78" s="11"/>
      <c r="L78" s="11" t="s">
        <v>800</v>
      </c>
      <c r="M78" s="11" t="s">
        <v>30</v>
      </c>
      <c r="N78" s="48"/>
      <c r="O78" s="11" t="s">
        <v>269</v>
      </c>
      <c r="P78" s="11" t="s">
        <v>802</v>
      </c>
    </row>
    <row r="79" spans="1:17" s="17" customFormat="1">
      <c r="A79" s="11">
        <v>63</v>
      </c>
      <c r="B79" s="47" t="s">
        <v>560</v>
      </c>
      <c r="C79" s="96" t="s">
        <v>564</v>
      </c>
      <c r="D79" s="11" t="s">
        <v>30</v>
      </c>
      <c r="E79" s="91" t="s">
        <v>34</v>
      </c>
      <c r="F79" s="11" t="s">
        <v>30</v>
      </c>
      <c r="G79" s="53" t="s">
        <v>565</v>
      </c>
      <c r="H79" s="11" t="s">
        <v>566</v>
      </c>
      <c r="I79" s="96" t="s">
        <v>563</v>
      </c>
      <c r="J79" s="50" t="s">
        <v>127</v>
      </c>
      <c r="K79" s="50">
        <v>1</v>
      </c>
      <c r="L79" s="11" t="s">
        <v>800</v>
      </c>
      <c r="M79" s="11" t="s">
        <v>30</v>
      </c>
      <c r="N79" s="48" t="s">
        <v>567</v>
      </c>
      <c r="O79" s="52" t="s">
        <v>562</v>
      </c>
      <c r="P79" s="11" t="s">
        <v>802</v>
      </c>
      <c r="Q79" s="97"/>
    </row>
    <row r="80" spans="1:17">
      <c r="A80" s="45">
        <f t="shared" ref="A80:A82" si="2">ROW(A80)-5</f>
        <v>75</v>
      </c>
      <c r="B80" s="98" t="s">
        <v>561</v>
      </c>
      <c r="C80" s="45" t="s">
        <v>569</v>
      </c>
      <c r="D80" s="99" t="s">
        <v>14</v>
      </c>
      <c r="E80" s="45" t="s">
        <v>34</v>
      </c>
      <c r="F80" s="45" t="s">
        <v>14</v>
      </c>
      <c r="G80" s="100" t="s">
        <v>570</v>
      </c>
      <c r="H80" s="101" t="s">
        <v>51</v>
      </c>
      <c r="I80" s="45" t="s">
        <v>569</v>
      </c>
      <c r="J80" s="99" t="s">
        <v>14</v>
      </c>
      <c r="K80" s="102">
        <v>3</v>
      </c>
      <c r="L80" s="11" t="s">
        <v>800</v>
      </c>
      <c r="M80" s="11" t="s">
        <v>30</v>
      </c>
      <c r="N80" s="48" t="s">
        <v>573</v>
      </c>
      <c r="O80" s="101" t="s">
        <v>129</v>
      </c>
      <c r="P80" s="11" t="s">
        <v>802</v>
      </c>
      <c r="Q80" s="97"/>
    </row>
    <row r="81" spans="1:17">
      <c r="A81" s="45">
        <f t="shared" si="2"/>
        <v>76</v>
      </c>
      <c r="B81" s="98" t="s">
        <v>756</v>
      </c>
      <c r="C81" s="45" t="s">
        <v>571</v>
      </c>
      <c r="D81" s="99" t="s">
        <v>14</v>
      </c>
      <c r="E81" s="45" t="s">
        <v>34</v>
      </c>
      <c r="F81" s="45" t="s">
        <v>14</v>
      </c>
      <c r="G81" s="103" t="s">
        <v>572</v>
      </c>
      <c r="H81" s="101" t="s">
        <v>51</v>
      </c>
      <c r="I81" s="45" t="s">
        <v>571</v>
      </c>
      <c r="J81" s="99" t="s">
        <v>14</v>
      </c>
      <c r="K81" s="104">
        <v>4</v>
      </c>
      <c r="L81" s="11" t="s">
        <v>800</v>
      </c>
      <c r="M81" s="11" t="s">
        <v>30</v>
      </c>
      <c r="N81" s="48" t="s">
        <v>804</v>
      </c>
      <c r="O81" s="101" t="s">
        <v>129</v>
      </c>
      <c r="P81" s="11" t="s">
        <v>802</v>
      </c>
      <c r="Q81" s="97"/>
    </row>
    <row r="82" spans="1:17" s="25" customFormat="1">
      <c r="A82" s="11">
        <f t="shared" si="2"/>
        <v>77</v>
      </c>
      <c r="B82" s="47" t="s">
        <v>759</v>
      </c>
      <c r="C82" s="11" t="s">
        <v>179</v>
      </c>
      <c r="D82" s="11" t="s">
        <v>30</v>
      </c>
      <c r="E82" s="90" t="s">
        <v>34</v>
      </c>
      <c r="F82" s="11" t="s">
        <v>30</v>
      </c>
      <c r="G82" s="53" t="s">
        <v>230</v>
      </c>
      <c r="H82" s="11" t="s">
        <v>154</v>
      </c>
      <c r="I82" s="11" t="s">
        <v>179</v>
      </c>
      <c r="J82" s="50" t="s">
        <v>127</v>
      </c>
      <c r="K82" s="50">
        <v>1</v>
      </c>
      <c r="L82" s="11" t="s">
        <v>800</v>
      </c>
      <c r="M82" s="11" t="s">
        <v>30</v>
      </c>
      <c r="N82" s="48"/>
      <c r="O82" s="52" t="s">
        <v>129</v>
      </c>
      <c r="P82" s="11" t="s">
        <v>803</v>
      </c>
    </row>
    <row r="83" spans="1:17">
      <c r="B83" s="3"/>
      <c r="C83" s="2"/>
      <c r="H83" s="5"/>
      <c r="I83" s="2"/>
    </row>
    <row r="84" spans="1:17">
      <c r="A84" s="17"/>
      <c r="B84" s="1" t="s">
        <v>15</v>
      </c>
      <c r="C84" s="10" t="s">
        <v>16</v>
      </c>
      <c r="D84" s="18"/>
      <c r="E84" s="17"/>
      <c r="F84" s="17"/>
      <c r="G84" s="4"/>
      <c r="H84" s="17"/>
      <c r="I84" s="17"/>
      <c r="J84" s="17"/>
      <c r="O84" s="17"/>
      <c r="P84" s="17"/>
    </row>
    <row r="85" spans="1:17">
      <c r="A85" s="17"/>
      <c r="B85" s="17"/>
      <c r="C85" s="15" t="s">
        <v>5</v>
      </c>
      <c r="D85" s="17"/>
      <c r="E85" s="17"/>
      <c r="F85" s="17"/>
      <c r="G85" s="16"/>
      <c r="H85" s="17"/>
      <c r="I85" s="17"/>
      <c r="J85" s="17"/>
      <c r="O85" s="17"/>
      <c r="P85" s="17"/>
    </row>
    <row r="86" spans="1:17">
      <c r="A86" s="17"/>
      <c r="B86" s="17"/>
      <c r="C86" s="19" t="s">
        <v>6</v>
      </c>
      <c r="D86" s="17"/>
      <c r="E86" s="17"/>
      <c r="F86" s="17"/>
      <c r="G86" s="16"/>
      <c r="H86" s="17"/>
      <c r="I86" s="17"/>
      <c r="J86" s="17"/>
      <c r="O86" s="17"/>
      <c r="P86" s="17"/>
    </row>
    <row r="87" spans="1:17">
      <c r="C87" s="20" t="s">
        <v>52</v>
      </c>
      <c r="G87" s="18"/>
    </row>
    <row r="88" spans="1:17" ht="46.5">
      <c r="C88" s="29" t="s">
        <v>53</v>
      </c>
    </row>
    <row r="89" spans="1:17">
      <c r="K89" s="7"/>
      <c r="L89" s="7"/>
      <c r="M89" s="7"/>
    </row>
    <row r="90" spans="1:17">
      <c r="G90" s="22"/>
    </row>
  </sheetData>
  <autoFilter ref="A5:P5" xr:uid="{05074AC7-603B-48B1-A12A-45C14E85771A}"/>
  <mergeCells count="4">
    <mergeCell ref="A3:B3"/>
    <mergeCell ref="A4:B4"/>
    <mergeCell ref="A1:P1"/>
    <mergeCell ref="A2:P2"/>
  </mergeCells>
  <phoneticPr fontId="18" type="noConversion"/>
  <conditionalFormatting sqref="A23:B23 D23:D24">
    <cfRule type="containsText" dxfId="802" priority="165" operator="containsText" text="TBD">
      <formula>NOT(ISERROR(SEARCH("TBD",A23)))</formula>
    </cfRule>
  </conditionalFormatting>
  <conditionalFormatting sqref="A28:B28">
    <cfRule type="containsText" dxfId="801" priority="161" operator="containsText" text="TBD">
      <formula>NOT(ISERROR(SEARCH("TBD",A28)))</formula>
    </cfRule>
  </conditionalFormatting>
  <conditionalFormatting sqref="A43:B45 D43:F45">
    <cfRule type="containsText" dxfId="800" priority="72" operator="containsText" text="TBD">
      <formula>NOT(ISERROR(SEARCH("TBD",A43)))</formula>
    </cfRule>
  </conditionalFormatting>
  <conditionalFormatting sqref="A48:B52">
    <cfRule type="containsText" dxfId="799" priority="19" operator="containsText" text="TBD">
      <formula>NOT(ISERROR(SEARCH("TBD",A48)))</formula>
    </cfRule>
  </conditionalFormatting>
  <conditionalFormatting sqref="A54:B55 A56:A75">
    <cfRule type="containsText" dxfId="798" priority="54" operator="containsText" text="TBD">
      <formula>NOT(ISERROR(SEARCH("TBD",A54)))</formula>
    </cfRule>
  </conditionalFormatting>
  <conditionalFormatting sqref="A24:C25">
    <cfRule type="containsText" dxfId="797" priority="220" operator="containsText" text="TBD">
      <formula>NOT(ISERROR(SEARCH("TBD",A24)))</formula>
    </cfRule>
  </conditionalFormatting>
  <conditionalFormatting sqref="A9:D15">
    <cfRule type="containsText" dxfId="796" priority="206" operator="containsText" text="TBD">
      <formula>NOT(ISERROR(SEARCH("TBD",A9)))</formula>
    </cfRule>
  </conditionalFormatting>
  <conditionalFormatting sqref="A18:D22">
    <cfRule type="containsText" dxfId="795" priority="200" operator="containsText" text="TBD">
      <formula>NOT(ISERROR(SEARCH("TBD",A18)))</formula>
    </cfRule>
  </conditionalFormatting>
  <conditionalFormatting sqref="A31:G35">
    <cfRule type="containsText" dxfId="794" priority="102" operator="containsText" text="TBD">
      <formula>NOT(ISERROR(SEARCH("TBD",A31)))</formula>
    </cfRule>
  </conditionalFormatting>
  <conditionalFormatting sqref="B58:E58 A59:E79">
    <cfRule type="containsText" dxfId="793" priority="86" operator="containsText" text="TBD">
      <formula>NOT(ISERROR(SEARCH("TBD",A58)))</formula>
    </cfRule>
  </conditionalFormatting>
  <conditionalFormatting sqref="C21:C23">
    <cfRule type="containsText" dxfId="792" priority="164" operator="containsText" text="TBD">
      <formula>NOT(ISERROR(SEARCH("TBD",C21)))</formula>
    </cfRule>
  </conditionalFormatting>
  <conditionalFormatting sqref="C25">
    <cfRule type="duplicateValues" dxfId="791" priority="205"/>
    <cfRule type="duplicateValues" dxfId="790" priority="204"/>
  </conditionalFormatting>
  <conditionalFormatting sqref="C27:C30">
    <cfRule type="containsText" dxfId="789" priority="155" operator="containsText" text="TBD">
      <formula>NOT(ISERROR(SEARCH("TBD",C27)))</formula>
    </cfRule>
  </conditionalFormatting>
  <conditionalFormatting sqref="C36:C45">
    <cfRule type="containsText" dxfId="788" priority="68" operator="containsText" text="TBD">
      <formula>NOT(ISERROR(SEARCH("TBD",C36)))</formula>
    </cfRule>
  </conditionalFormatting>
  <conditionalFormatting sqref="C48:C72">
    <cfRule type="containsText" dxfId="787" priority="14" operator="containsText" text="TBD">
      <formula>NOT(ISERROR(SEARCH("TBD",C48)))</formula>
    </cfRule>
  </conditionalFormatting>
  <conditionalFormatting sqref="C84:C87">
    <cfRule type="containsText" dxfId="786" priority="219" operator="containsText" text="TBD">
      <formula>NOT(ISERROR(SEARCH("TBD",C84)))</formula>
    </cfRule>
  </conditionalFormatting>
  <conditionalFormatting sqref="C37:G38 C39:F39 A40:F42 D54:F54">
    <cfRule type="containsText" dxfId="785" priority="199" operator="containsText" text="TBD">
      <formula>NOT(ISERROR(SEARCH("TBD",A37)))</formula>
    </cfRule>
  </conditionalFormatting>
  <conditionalFormatting sqref="D55:D57 F55:F57 B56:B57">
    <cfRule type="containsText" dxfId="784" priority="24" operator="containsText" text="TBD">
      <formula>NOT(ISERROR(SEARCH("TBD",B55)))</formula>
    </cfRule>
  </conditionalFormatting>
  <conditionalFormatting sqref="D50:F50">
    <cfRule type="containsText" dxfId="783" priority="35" operator="containsText" text="TBD">
      <formula>NOT(ISERROR(SEARCH("TBD",D50)))</formula>
    </cfRule>
  </conditionalFormatting>
  <conditionalFormatting sqref="D36:G36">
    <cfRule type="containsText" dxfId="782" priority="94" operator="containsText" text="TBD">
      <formula>NOT(ISERROR(SEARCH("TBD",D36)))</formula>
    </cfRule>
  </conditionalFormatting>
  <conditionalFormatting sqref="D49:G49">
    <cfRule type="containsText" dxfId="781" priority="33" operator="containsText" text="TBD">
      <formula>NOT(ISERROR(SEARCH("TBD",D49)))</formula>
    </cfRule>
  </conditionalFormatting>
  <conditionalFormatting sqref="D25:H25">
    <cfRule type="containsText" dxfId="780" priority="174" operator="containsText" text="TBD">
      <formula>NOT(ISERROR(SEARCH("TBD",D25)))</formula>
    </cfRule>
  </conditionalFormatting>
  <conditionalFormatting sqref="D51:H52">
    <cfRule type="containsText" dxfId="779" priority="20" operator="containsText" text="TBD">
      <formula>NOT(ISERROR(SEARCH("TBD",D51)))</formula>
    </cfRule>
  </conditionalFormatting>
  <conditionalFormatting sqref="E6:E23">
    <cfRule type="containsText" dxfId="778" priority="73" operator="containsText" text="TBD">
      <formula>NOT(ISERROR(SEARCH("TBD",E6)))</formula>
    </cfRule>
  </conditionalFormatting>
  <conditionalFormatting sqref="E27:E45">
    <cfRule type="containsText" dxfId="777" priority="70" operator="containsText" text="TBD">
      <formula>NOT(ISERROR(SEARCH("TBD",E27)))</formula>
    </cfRule>
  </conditionalFormatting>
  <conditionalFormatting sqref="E48:E57">
    <cfRule type="containsText" dxfId="776" priority="17" operator="containsText" text="TBD">
      <formula>NOT(ISERROR(SEARCH("TBD",E48)))</formula>
    </cfRule>
  </conditionalFormatting>
  <conditionalFormatting sqref="F77:G78">
    <cfRule type="containsText" dxfId="775" priority="188" operator="containsText" text="TBD">
      <formula>NOT(ISERROR(SEARCH("TBD",F77)))</formula>
    </cfRule>
  </conditionalFormatting>
  <conditionalFormatting sqref="G39:G45">
    <cfRule type="containsText" dxfId="774" priority="66" operator="containsText" text="TBD">
      <formula>NOT(ISERROR(SEARCH("TBD",G39)))</formula>
    </cfRule>
  </conditionalFormatting>
  <conditionalFormatting sqref="G49:G51">
    <cfRule type="containsText" dxfId="773" priority="16" operator="containsText" text="TBD">
      <formula>NOT(ISERROR(SEARCH("TBD",G49)))</formula>
    </cfRule>
  </conditionalFormatting>
  <conditionalFormatting sqref="H31:H39 A36:B39">
    <cfRule type="containsText" dxfId="772" priority="101" operator="containsText" text="TBD">
      <formula>NOT(ISERROR(SEARCH("TBD",A31)))</formula>
    </cfRule>
  </conditionalFormatting>
  <conditionalFormatting sqref="H49:H50">
    <cfRule type="containsText" dxfId="771" priority="30" operator="containsText" text="TBD">
      <formula>NOT(ISERROR(SEARCH("TBD",H49)))</formula>
    </cfRule>
  </conditionalFormatting>
  <conditionalFormatting sqref="H77:H79">
    <cfRule type="containsText" dxfId="770" priority="91" operator="containsText" text="TBD">
      <formula>NOT(ISERROR(SEARCH("TBD",H77)))</formula>
    </cfRule>
  </conditionalFormatting>
  <conditionalFormatting sqref="I25">
    <cfRule type="duplicateValues" dxfId="769" priority="203"/>
    <cfRule type="duplicateValues" dxfId="768" priority="202"/>
  </conditionalFormatting>
  <conditionalFormatting sqref="I49:K52">
    <cfRule type="containsText" dxfId="767" priority="15" operator="containsText" text="TBD">
      <formula>NOT(ISERROR(SEARCH("TBD",I49)))</formula>
    </cfRule>
  </conditionalFormatting>
  <conditionalFormatting sqref="J71">
    <cfRule type="containsText" dxfId="766" priority="55" operator="containsText" text="TBD">
      <formula>NOT(ISERROR(SEARCH("TBD",J71)))</formula>
    </cfRule>
  </conditionalFormatting>
  <conditionalFormatting sqref="N79:N82">
    <cfRule type="containsText" dxfId="765" priority="1" operator="containsText" text="TBD">
      <formula>NOT(ISERROR(SEARCH("TBD",N79)))</formula>
    </cfRule>
  </conditionalFormatting>
  <conditionalFormatting sqref="N5:O5">
    <cfRule type="containsText" dxfId="764" priority="217" operator="containsText" text="TBD">
      <formula>NOT(ISERROR(SEARCH("TBD",N5)))</formula>
    </cfRule>
  </conditionalFormatting>
  <conditionalFormatting sqref="N7:O10">
    <cfRule type="containsText" dxfId="763" priority="162" operator="containsText" text="TBD">
      <formula>NOT(ISERROR(SEARCH("TBD",N7)))</formula>
    </cfRule>
  </conditionalFormatting>
  <conditionalFormatting sqref="O79:O82 A1:A2 A3:O6 O3:O15 A7:K8 L7:M82 F9:K15 N11:N15 A16:K17 N16:O24 F18:K24 J25:K25 N25:N26 O25:O30 A26:K27 D28:K28 A29:K30 I31:K33 J34:K35 I36:K39 H40:K45 A46:K47 D48:K48 A53:K53 G54:K57 F58:K76 Q58:XFD79 I77:K78 F79:K79 A80:K82 Q82:XFD1048576 A83:O1048576">
    <cfRule type="containsText" dxfId="762" priority="214" operator="containsText" text="TBD">
      <formula>NOT(ISERROR(SEARCH("TBD",A1)))</formula>
    </cfRule>
  </conditionalFormatting>
  <conditionalFormatting sqref="O81:P81">
    <cfRule type="containsText" dxfId="761" priority="9" operator="containsText" text="Group A">
      <formula>NOT(ISERROR(SEARCH("Group A",O81)))</formula>
    </cfRule>
    <cfRule type="containsText" dxfId="760" priority="8" operator="containsText" text="Group A">
      <formula>NOT(ISERROR(SEARCH("Group A",O81)))</formula>
    </cfRule>
    <cfRule type="containsText" dxfId="759" priority="7" operator="containsText" text="Group B">
      <formula>NOT(ISERROR(SEARCH("Group B",O81)))</formula>
    </cfRule>
    <cfRule type="containsText" dxfId="758" priority="6" operator="containsText" text="Group A">
      <formula>NOT(ISERROR(SEARCH("Group A",O81)))</formula>
    </cfRule>
  </conditionalFormatting>
  <conditionalFormatting sqref="P3:P1048576">
    <cfRule type="containsText" dxfId="757" priority="10" operator="containsText" text="TBD">
      <formula>NOT(ISERROR(SEARCH("TBD",P3)))</formula>
    </cfRule>
  </conditionalFormatting>
  <conditionalFormatting sqref="P11:P14">
    <cfRule type="containsText" dxfId="756" priority="4" operator="containsText" text="TBD">
      <formula>NOT(ISERROR(SEARCH("TBD",P11)))</formula>
    </cfRule>
  </conditionalFormatting>
  <conditionalFormatting sqref="P24">
    <cfRule type="containsText" dxfId="755" priority="3" operator="containsText" text="TBD">
      <formula>NOT(ISERROR(SEARCH("TBD",P24)))</formula>
    </cfRule>
  </conditionalFormatting>
  <conditionalFormatting sqref="P82">
    <cfRule type="containsText" dxfId="754" priority="2" operator="containsText" text="TBD">
      <formula>NOT(ISERROR(SEARCH("TBD",P82)))</formula>
    </cfRule>
  </conditionalFormatting>
  <conditionalFormatting sqref="Q1:XFD56 N27:O78">
    <cfRule type="containsText" dxfId="753" priority="127" operator="containsText" text="TBD">
      <formula>NOT(ISERROR(SEARCH("TBD",N1)))</formula>
    </cfRule>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4C770-70E9-471A-AD6F-073CCE7590CB}">
  <sheetPr>
    <tabColor theme="6" tint="-0.249977111117893"/>
  </sheetPr>
  <dimension ref="A1:AU90"/>
  <sheetViews>
    <sheetView topLeftCell="C1" zoomScale="70" zoomScaleNormal="70" workbookViewId="0">
      <pane ySplit="5" topLeftCell="A18" activePane="bottomLeft" state="frozen"/>
      <selection activeCell="H46" sqref="H46"/>
      <selection pane="bottomLeft" activeCell="H46" sqref="H46"/>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26953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40.36328125" style="6" customWidth="1"/>
    <col min="15" max="16" width="18.72656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30" t="str">
        <f>C6</f>
        <v>1A72BSJ00-600-GNA</v>
      </c>
      <c r="D3" s="26" t="s">
        <v>1</v>
      </c>
      <c r="E3" s="27" t="s">
        <v>14</v>
      </c>
      <c r="F3" s="26"/>
      <c r="G3" s="26"/>
      <c r="H3" s="26"/>
      <c r="I3" s="26"/>
      <c r="J3" s="26"/>
      <c r="K3" s="26"/>
      <c r="L3" s="26"/>
      <c r="M3" s="26"/>
      <c r="N3" s="44"/>
      <c r="O3" s="26"/>
      <c r="P3" s="26"/>
    </row>
    <row r="4" spans="1:16" s="8" customFormat="1">
      <c r="A4" s="176" t="s">
        <v>8</v>
      </c>
      <c r="B4" s="176"/>
      <c r="C4" s="89" t="str">
        <f>E6</f>
        <v>01-101139</v>
      </c>
      <c r="D4" s="26" t="s">
        <v>9</v>
      </c>
      <c r="E4" s="27" t="s">
        <v>14</v>
      </c>
      <c r="F4" s="26" t="s">
        <v>10</v>
      </c>
      <c r="G4" s="13" t="str">
        <f>G6</f>
        <v>Maxwell Mercury_L10 Compute Tray Assy_MGX-OCP, Samsung, without NVIDIA Group A</v>
      </c>
      <c r="H4" s="26"/>
      <c r="I4" s="26"/>
      <c r="J4" s="26"/>
      <c r="K4" s="26"/>
      <c r="L4" s="26"/>
      <c r="M4" s="26"/>
      <c r="N4" s="44"/>
      <c r="O4" s="26"/>
      <c r="P4" s="26"/>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 t="shared" ref="A6:A71" si="0">ROW(A6)-5</f>
        <v>1</v>
      </c>
      <c r="B6" s="49" t="s">
        <v>36</v>
      </c>
      <c r="C6" s="52" t="s">
        <v>665</v>
      </c>
      <c r="D6" s="11" t="s">
        <v>17</v>
      </c>
      <c r="E6" s="91" t="s">
        <v>675</v>
      </c>
      <c r="F6" s="11" t="s">
        <v>14</v>
      </c>
      <c r="G6" s="13" t="s">
        <v>686</v>
      </c>
      <c r="H6" s="11" t="s">
        <v>20</v>
      </c>
      <c r="I6" s="52" t="str">
        <f>C6</f>
        <v>1A72BSJ00-600-GNA</v>
      </c>
      <c r="J6" s="11" t="s">
        <v>14</v>
      </c>
      <c r="K6" s="11">
        <v>1</v>
      </c>
      <c r="L6" s="11" t="s">
        <v>800</v>
      </c>
      <c r="M6" s="11" t="s">
        <v>30</v>
      </c>
      <c r="N6" s="83"/>
      <c r="O6" s="11" t="s">
        <v>14</v>
      </c>
      <c r="P6" s="11" t="s">
        <v>802</v>
      </c>
    </row>
    <row r="7" spans="1:16" ht="62">
      <c r="A7" s="123">
        <f t="shared" si="0"/>
        <v>2</v>
      </c>
      <c r="B7" s="124" t="s">
        <v>29</v>
      </c>
      <c r="C7" s="125" t="s">
        <v>218</v>
      </c>
      <c r="D7" s="123" t="s">
        <v>17</v>
      </c>
      <c r="E7" s="126" t="s">
        <v>34</v>
      </c>
      <c r="F7" s="123" t="s">
        <v>14</v>
      </c>
      <c r="G7" s="127" t="s">
        <v>189</v>
      </c>
      <c r="H7" s="123" t="s">
        <v>40</v>
      </c>
      <c r="I7" s="128" t="s">
        <v>216</v>
      </c>
      <c r="J7" s="123" t="s">
        <v>14</v>
      </c>
      <c r="K7" s="123">
        <v>1</v>
      </c>
      <c r="L7" s="128" t="s">
        <v>800</v>
      </c>
      <c r="M7" s="128" t="s">
        <v>30</v>
      </c>
      <c r="N7" s="129" t="s">
        <v>460</v>
      </c>
      <c r="O7" s="123" t="s">
        <v>42</v>
      </c>
      <c r="P7" s="123" t="s">
        <v>803</v>
      </c>
    </row>
    <row r="8" spans="1:16" ht="62">
      <c r="A8" s="123">
        <f t="shared" si="0"/>
        <v>3</v>
      </c>
      <c r="B8" s="124" t="s">
        <v>37</v>
      </c>
      <c r="C8" s="125" t="s">
        <v>343</v>
      </c>
      <c r="D8" s="123" t="s">
        <v>17</v>
      </c>
      <c r="E8" s="126" t="s">
        <v>34</v>
      </c>
      <c r="F8" s="123" t="s">
        <v>14</v>
      </c>
      <c r="G8" s="127" t="s">
        <v>232</v>
      </c>
      <c r="H8" s="123" t="s">
        <v>40</v>
      </c>
      <c r="I8" s="125" t="s">
        <v>344</v>
      </c>
      <c r="J8" s="123" t="s">
        <v>14</v>
      </c>
      <c r="K8" s="123">
        <v>2</v>
      </c>
      <c r="L8" s="128" t="s">
        <v>800</v>
      </c>
      <c r="M8" s="128" t="s">
        <v>30</v>
      </c>
      <c r="N8" s="129" t="s">
        <v>685</v>
      </c>
      <c r="O8" s="123" t="s">
        <v>42</v>
      </c>
      <c r="P8" s="123" t="s">
        <v>803</v>
      </c>
    </row>
    <row r="9" spans="1:16" ht="31">
      <c r="A9" s="123">
        <f t="shared" si="0"/>
        <v>4</v>
      </c>
      <c r="B9" s="124" t="s">
        <v>117</v>
      </c>
      <c r="C9" s="123" t="s">
        <v>313</v>
      </c>
      <c r="D9" s="130" t="s">
        <v>30</v>
      </c>
      <c r="E9" s="126" t="s">
        <v>594</v>
      </c>
      <c r="F9" s="123" t="s">
        <v>14</v>
      </c>
      <c r="G9" s="127" t="s">
        <v>58</v>
      </c>
      <c r="H9" s="123" t="s">
        <v>40</v>
      </c>
      <c r="I9" s="128" t="s">
        <v>309</v>
      </c>
      <c r="J9" s="130" t="s">
        <v>30</v>
      </c>
      <c r="K9" s="123">
        <v>2</v>
      </c>
      <c r="L9" s="128" t="s">
        <v>800</v>
      </c>
      <c r="M9" s="128" t="s">
        <v>30</v>
      </c>
      <c r="N9" s="129" t="s">
        <v>505</v>
      </c>
      <c r="O9" s="123" t="s">
        <v>41</v>
      </c>
      <c r="P9" s="123" t="s">
        <v>803</v>
      </c>
    </row>
    <row r="10" spans="1:16" ht="46.5">
      <c r="A10" s="123">
        <f t="shared" si="0"/>
        <v>5</v>
      </c>
      <c r="B10" s="124" t="s">
        <v>118</v>
      </c>
      <c r="C10" s="128" t="s">
        <v>219</v>
      </c>
      <c r="D10" s="130" t="s">
        <v>30</v>
      </c>
      <c r="E10" s="126" t="s">
        <v>595</v>
      </c>
      <c r="F10" s="123" t="s">
        <v>14</v>
      </c>
      <c r="G10" s="127" t="s">
        <v>59</v>
      </c>
      <c r="H10" s="123" t="s">
        <v>40</v>
      </c>
      <c r="I10" s="128" t="s">
        <v>217</v>
      </c>
      <c r="J10" s="130" t="s">
        <v>30</v>
      </c>
      <c r="K10" s="123">
        <v>1</v>
      </c>
      <c r="L10" s="128" t="s">
        <v>800</v>
      </c>
      <c r="M10" s="128" t="s">
        <v>30</v>
      </c>
      <c r="N10" s="129" t="s">
        <v>329</v>
      </c>
      <c r="O10" s="123" t="s">
        <v>41</v>
      </c>
      <c r="P10" s="123"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223</v>
      </c>
      <c r="D14" s="56" t="s">
        <v>30</v>
      </c>
      <c r="E14" s="91" t="s">
        <v>470</v>
      </c>
      <c r="F14" s="11" t="s">
        <v>14</v>
      </c>
      <c r="G14" s="13" t="s">
        <v>188</v>
      </c>
      <c r="H14" s="11" t="s">
        <v>136</v>
      </c>
      <c r="I14" s="11" t="s">
        <v>143</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 t="shared" si="0"/>
        <v>14</v>
      </c>
      <c r="B19" s="58" t="s">
        <v>174</v>
      </c>
      <c r="C19" s="68" t="s">
        <v>151</v>
      </c>
      <c r="D19" s="61" t="s">
        <v>14</v>
      </c>
      <c r="E19" s="91" t="s">
        <v>526</v>
      </c>
      <c r="F19" s="11" t="s">
        <v>14</v>
      </c>
      <c r="G19" s="13" t="s">
        <v>532</v>
      </c>
      <c r="H19" s="11" t="s">
        <v>51</v>
      </c>
      <c r="I19" s="68" t="s">
        <v>151</v>
      </c>
      <c r="J19" s="11" t="s">
        <v>30</v>
      </c>
      <c r="K19" s="11">
        <v>1</v>
      </c>
      <c r="L19" s="11" t="s">
        <v>800</v>
      </c>
      <c r="M19" s="11" t="s">
        <v>30</v>
      </c>
      <c r="N19" s="64" t="s">
        <v>530</v>
      </c>
      <c r="O19" s="11" t="s">
        <v>159</v>
      </c>
      <c r="P19" s="11" t="s">
        <v>802</v>
      </c>
    </row>
    <row r="20" spans="1:16">
      <c r="A20" s="11">
        <f t="shared" si="0"/>
        <v>15</v>
      </c>
      <c r="B20" s="58" t="s">
        <v>131</v>
      </c>
      <c r="C20" s="11" t="s">
        <v>152</v>
      </c>
      <c r="D20" s="11" t="s">
        <v>14</v>
      </c>
      <c r="E20" s="91" t="s">
        <v>477</v>
      </c>
      <c r="F20" s="11" t="s">
        <v>14</v>
      </c>
      <c r="G20" s="13" t="s">
        <v>183</v>
      </c>
      <c r="H20" s="11" t="s">
        <v>51</v>
      </c>
      <c r="I20" s="11" t="str">
        <f>C20</f>
        <v>1A72BTD00-600-G</v>
      </c>
      <c r="J20" s="11" t="s">
        <v>14</v>
      </c>
      <c r="K20" s="11">
        <v>1</v>
      </c>
      <c r="L20" s="11" t="s">
        <v>800</v>
      </c>
      <c r="M20" s="11" t="s">
        <v>30</v>
      </c>
      <c r="N20" s="45" t="s">
        <v>304</v>
      </c>
      <c r="O20" s="11" t="s">
        <v>41</v>
      </c>
      <c r="P20" s="11" t="s">
        <v>802</v>
      </c>
    </row>
    <row r="21" spans="1:16">
      <c r="A21" s="11">
        <f t="shared" si="0"/>
        <v>16</v>
      </c>
      <c r="B21" s="58" t="s">
        <v>175</v>
      </c>
      <c r="C21" s="24" t="s">
        <v>162</v>
      </c>
      <c r="D21" s="11" t="s">
        <v>14</v>
      </c>
      <c r="E21" s="91" t="s">
        <v>473</v>
      </c>
      <c r="F21" s="11" t="s">
        <v>14</v>
      </c>
      <c r="G21" s="43" t="s">
        <v>161</v>
      </c>
      <c r="H21" s="11" t="s">
        <v>51</v>
      </c>
      <c r="I21" s="11" t="s">
        <v>162</v>
      </c>
      <c r="J21" s="11" t="s">
        <v>14</v>
      </c>
      <c r="K21" s="11">
        <v>1</v>
      </c>
      <c r="L21" s="11" t="s">
        <v>800</v>
      </c>
      <c r="M21" s="11" t="s">
        <v>30</v>
      </c>
      <c r="N21" s="45" t="s">
        <v>304</v>
      </c>
      <c r="O21" s="11" t="s">
        <v>41</v>
      </c>
      <c r="P21" s="11" t="s">
        <v>802</v>
      </c>
    </row>
    <row r="22" spans="1:16">
      <c r="A22" s="11">
        <f t="shared" si="0"/>
        <v>17</v>
      </c>
      <c r="B22" s="58" t="s">
        <v>310</v>
      </c>
      <c r="C22" s="24"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308</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23">
        <f t="shared" si="0"/>
        <v>19</v>
      </c>
      <c r="B24" s="131" t="s">
        <v>279</v>
      </c>
      <c r="C24" s="128" t="s">
        <v>278</v>
      </c>
      <c r="D24" s="123" t="s">
        <v>30</v>
      </c>
      <c r="E24" s="132" t="s">
        <v>593</v>
      </c>
      <c r="F24" s="123" t="s">
        <v>30</v>
      </c>
      <c r="G24" s="133" t="s">
        <v>276</v>
      </c>
      <c r="H24" s="123" t="s">
        <v>274</v>
      </c>
      <c r="I24" s="123" t="s">
        <v>275</v>
      </c>
      <c r="J24" s="123" t="s">
        <v>14</v>
      </c>
      <c r="K24" s="123">
        <v>2</v>
      </c>
      <c r="L24" s="128" t="s">
        <v>800</v>
      </c>
      <c r="M24" s="128" t="s">
        <v>30</v>
      </c>
      <c r="N24" s="134" t="s">
        <v>277</v>
      </c>
      <c r="O24" s="123" t="s">
        <v>273</v>
      </c>
      <c r="P24" s="123" t="s">
        <v>803</v>
      </c>
    </row>
    <row r="25" spans="1:16">
      <c r="A25" s="11">
        <f t="shared" si="0"/>
        <v>20</v>
      </c>
      <c r="B25" s="58" t="s">
        <v>280</v>
      </c>
      <c r="C25" s="24" t="s">
        <v>330</v>
      </c>
      <c r="D25" s="11" t="s">
        <v>14</v>
      </c>
      <c r="E25" s="91" t="s">
        <v>478</v>
      </c>
      <c r="F25" s="11" t="s">
        <v>14</v>
      </c>
      <c r="G25" s="43" t="s">
        <v>287</v>
      </c>
      <c r="H25" s="52" t="s">
        <v>418</v>
      </c>
      <c r="I25" s="65" t="s">
        <v>330</v>
      </c>
      <c r="J25" s="11" t="s">
        <v>14</v>
      </c>
      <c r="K25" s="11">
        <v>1</v>
      </c>
      <c r="L25" s="11" t="s">
        <v>800</v>
      </c>
      <c r="M25" s="11" t="s">
        <v>30</v>
      </c>
      <c r="N25" s="45" t="s">
        <v>331</v>
      </c>
      <c r="O25" s="11" t="s">
        <v>44</v>
      </c>
      <c r="P25" s="11" t="s">
        <v>802</v>
      </c>
    </row>
    <row r="26" spans="1:16">
      <c r="A26" s="11">
        <f t="shared" si="0"/>
        <v>21</v>
      </c>
      <c r="B26" s="58" t="s">
        <v>281</v>
      </c>
      <c r="C26" s="24" t="s">
        <v>286</v>
      </c>
      <c r="D26" s="11" t="s">
        <v>14</v>
      </c>
      <c r="E26" s="91" t="s">
        <v>34</v>
      </c>
      <c r="F26" s="11" t="s">
        <v>14</v>
      </c>
      <c r="G26" s="66" t="s">
        <v>285</v>
      </c>
      <c r="H26" s="52" t="s">
        <v>418</v>
      </c>
      <c r="I26" s="11" t="s">
        <v>286</v>
      </c>
      <c r="J26" s="11" t="s">
        <v>14</v>
      </c>
      <c r="K26" s="11">
        <v>3</v>
      </c>
      <c r="L26" s="11" t="s">
        <v>800</v>
      </c>
      <c r="M26" s="11" t="s">
        <v>30</v>
      </c>
      <c r="N26" s="45" t="s">
        <v>284</v>
      </c>
      <c r="O26" s="11" t="s">
        <v>44</v>
      </c>
      <c r="P26" s="11" t="s">
        <v>802</v>
      </c>
    </row>
    <row r="27" spans="1:16">
      <c r="A27" s="11">
        <f t="shared" si="0"/>
        <v>22</v>
      </c>
      <c r="B27" s="58"/>
      <c r="C27" s="55" t="s">
        <v>408</v>
      </c>
      <c r="D27" s="11" t="s">
        <v>14</v>
      </c>
      <c r="E27" s="91" t="s">
        <v>34</v>
      </c>
      <c r="F27" s="11" t="s">
        <v>14</v>
      </c>
      <c r="G27" s="43" t="s">
        <v>405</v>
      </c>
      <c r="H27" s="52" t="s">
        <v>406</v>
      </c>
      <c r="I27" s="55" t="s">
        <v>407</v>
      </c>
      <c r="J27" s="11" t="s">
        <v>14</v>
      </c>
      <c r="K27" s="11"/>
      <c r="L27" s="11" t="s">
        <v>800</v>
      </c>
      <c r="M27" s="11" t="s">
        <v>30</v>
      </c>
      <c r="N27" s="45" t="s">
        <v>284</v>
      </c>
      <c r="O27" s="11" t="s">
        <v>44</v>
      </c>
      <c r="P27" s="11" t="s">
        <v>802</v>
      </c>
    </row>
    <row r="28" spans="1:16">
      <c r="A28" s="11">
        <f t="shared" si="0"/>
        <v>23</v>
      </c>
      <c r="B28" s="58" t="s">
        <v>409</v>
      </c>
      <c r="C28" s="55" t="s">
        <v>506</v>
      </c>
      <c r="D28" s="11" t="s">
        <v>14</v>
      </c>
      <c r="E28" s="91" t="s">
        <v>34</v>
      </c>
      <c r="F28" s="11" t="s">
        <v>14</v>
      </c>
      <c r="G28" s="66" t="s">
        <v>507</v>
      </c>
      <c r="H28" s="52" t="s">
        <v>418</v>
      </c>
      <c r="I28" s="55" t="s">
        <v>506</v>
      </c>
      <c r="J28" s="11" t="s">
        <v>14</v>
      </c>
      <c r="K28" s="11">
        <v>4</v>
      </c>
      <c r="L28" s="11" t="s">
        <v>800</v>
      </c>
      <c r="M28" s="11" t="s">
        <v>30</v>
      </c>
      <c r="N28" s="45" t="s">
        <v>515</v>
      </c>
      <c r="O28" s="11" t="s">
        <v>44</v>
      </c>
      <c r="P28" s="11" t="s">
        <v>802</v>
      </c>
    </row>
    <row r="29" spans="1:16">
      <c r="A29" s="11">
        <f t="shared" si="0"/>
        <v>24</v>
      </c>
      <c r="B29" s="58"/>
      <c r="C29" s="55" t="s">
        <v>508</v>
      </c>
      <c r="D29" s="11" t="s">
        <v>14</v>
      </c>
      <c r="E29" s="9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0"/>
        <v>25</v>
      </c>
      <c r="B30" s="58"/>
      <c r="C30" s="55" t="s">
        <v>509</v>
      </c>
      <c r="D30" s="11" t="s">
        <v>14</v>
      </c>
      <c r="E30" s="9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9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91" t="s">
        <v>34</v>
      </c>
      <c r="F32" s="11" t="s">
        <v>14</v>
      </c>
      <c r="G32" s="43" t="s">
        <v>316</v>
      </c>
      <c r="H32" s="52" t="s">
        <v>418</v>
      </c>
      <c r="I32" s="24" t="s">
        <v>290</v>
      </c>
      <c r="J32" s="11" t="s">
        <v>14</v>
      </c>
      <c r="K32" s="11">
        <v>8</v>
      </c>
      <c r="L32" s="11" t="s">
        <v>800</v>
      </c>
      <c r="M32" s="11" t="s">
        <v>30</v>
      </c>
      <c r="N32" s="45" t="s">
        <v>289</v>
      </c>
      <c r="O32" s="11" t="s">
        <v>44</v>
      </c>
      <c r="P32" s="11" t="s">
        <v>802</v>
      </c>
    </row>
    <row r="33" spans="1:16">
      <c r="A33" s="11">
        <f t="shared" si="0"/>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46</v>
      </c>
      <c r="C34" s="24" t="s">
        <v>333</v>
      </c>
      <c r="D34" s="11" t="s">
        <v>14</v>
      </c>
      <c r="E34" s="91" t="s">
        <v>34</v>
      </c>
      <c r="F34" s="11" t="s">
        <v>14</v>
      </c>
      <c r="G34" s="43" t="s">
        <v>314</v>
      </c>
      <c r="H34" s="52" t="s">
        <v>418</v>
      </c>
      <c r="I34" s="67" t="s">
        <v>333</v>
      </c>
      <c r="J34" s="11" t="s">
        <v>14</v>
      </c>
      <c r="K34" s="11">
        <v>1</v>
      </c>
      <c r="L34" s="11" t="s">
        <v>800</v>
      </c>
      <c r="M34" s="11" t="s">
        <v>30</v>
      </c>
      <c r="N34" s="45" t="s">
        <v>332</v>
      </c>
      <c r="O34" s="11" t="s">
        <v>44</v>
      </c>
      <c r="P34" s="11" t="s">
        <v>802</v>
      </c>
    </row>
    <row r="35" spans="1:16">
      <c r="A35" s="11">
        <f t="shared" si="0"/>
        <v>30</v>
      </c>
      <c r="B35" s="58" t="s">
        <v>47</v>
      </c>
      <c r="C35" s="24" t="s">
        <v>548</v>
      </c>
      <c r="D35" s="11" t="s">
        <v>14</v>
      </c>
      <c r="E35" s="91" t="s">
        <v>34</v>
      </c>
      <c r="F35" s="11" t="s">
        <v>14</v>
      </c>
      <c r="G35" s="43" t="s">
        <v>334</v>
      </c>
      <c r="H35" s="52" t="s">
        <v>418</v>
      </c>
      <c r="I35" s="67" t="s">
        <v>335</v>
      </c>
      <c r="J35" s="11" t="s">
        <v>14</v>
      </c>
      <c r="K35" s="52">
        <v>2</v>
      </c>
      <c r="L35" s="11" t="s">
        <v>800</v>
      </c>
      <c r="M35" s="11" t="s">
        <v>30</v>
      </c>
      <c r="N35" s="45" t="s">
        <v>336</v>
      </c>
      <c r="O35" s="11" t="s">
        <v>44</v>
      </c>
      <c r="P35" s="11" t="s">
        <v>802</v>
      </c>
    </row>
    <row r="36" spans="1:16">
      <c r="A36" s="11">
        <f t="shared" si="0"/>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9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9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55" t="s">
        <v>398</v>
      </c>
      <c r="D39" s="11" t="s">
        <v>14</v>
      </c>
      <c r="E39" s="91" t="s">
        <v>34</v>
      </c>
      <c r="F39" s="11" t="s">
        <v>14</v>
      </c>
      <c r="G39" s="43" t="s">
        <v>299</v>
      </c>
      <c r="H39" s="52" t="s">
        <v>418</v>
      </c>
      <c r="I39" s="55" t="s">
        <v>398</v>
      </c>
      <c r="J39" s="11" t="s">
        <v>14</v>
      </c>
      <c r="K39" s="11">
        <v>64</v>
      </c>
      <c r="L39" s="11" t="s">
        <v>800</v>
      </c>
      <c r="M39" s="11" t="s">
        <v>30</v>
      </c>
      <c r="N39" s="45" t="s">
        <v>296</v>
      </c>
      <c r="O39" s="11" t="s">
        <v>44</v>
      </c>
      <c r="P39" s="11" t="s">
        <v>802</v>
      </c>
    </row>
    <row r="40" spans="1:16">
      <c r="A40" s="11">
        <f t="shared" si="0"/>
        <v>35</v>
      </c>
      <c r="B40" s="58"/>
      <c r="C40" s="55" t="s">
        <v>400</v>
      </c>
      <c r="D40" s="11" t="s">
        <v>14</v>
      </c>
      <c r="E40" s="91" t="s">
        <v>34</v>
      </c>
      <c r="F40" s="11" t="s">
        <v>14</v>
      </c>
      <c r="G40" s="43" t="s">
        <v>415</v>
      </c>
      <c r="H40" s="52" t="s">
        <v>401</v>
      </c>
      <c r="I40" s="55" t="s">
        <v>402</v>
      </c>
      <c r="J40" s="11" t="s">
        <v>14</v>
      </c>
      <c r="K40" s="11"/>
      <c r="L40" s="11" t="s">
        <v>800</v>
      </c>
      <c r="M40" s="11" t="s">
        <v>30</v>
      </c>
      <c r="N40" s="45" t="s">
        <v>296</v>
      </c>
      <c r="O40" s="11" t="s">
        <v>44</v>
      </c>
      <c r="P40" s="11" t="s">
        <v>802</v>
      </c>
    </row>
    <row r="41" spans="1:16">
      <c r="A41" s="11">
        <f t="shared" si="0"/>
        <v>36</v>
      </c>
      <c r="B41" s="58" t="s">
        <v>412</v>
      </c>
      <c r="C41" s="55" t="s">
        <v>399</v>
      </c>
      <c r="D41" s="11" t="s">
        <v>14</v>
      </c>
      <c r="E41" s="91" t="s">
        <v>34</v>
      </c>
      <c r="F41" s="11" t="s">
        <v>14</v>
      </c>
      <c r="G41" s="13" t="s">
        <v>298</v>
      </c>
      <c r="H41" s="52" t="s">
        <v>418</v>
      </c>
      <c r="I41" s="55" t="s">
        <v>399</v>
      </c>
      <c r="J41" s="11" t="s">
        <v>14</v>
      </c>
      <c r="K41" s="11">
        <v>64</v>
      </c>
      <c r="L41" s="11" t="s">
        <v>800</v>
      </c>
      <c r="M41" s="11" t="s">
        <v>30</v>
      </c>
      <c r="N41" s="45" t="s">
        <v>297</v>
      </c>
      <c r="O41" s="11" t="s">
        <v>44</v>
      </c>
      <c r="P41" s="11" t="s">
        <v>802</v>
      </c>
    </row>
    <row r="42" spans="1:16">
      <c r="A42" s="11">
        <f t="shared" si="0"/>
        <v>37</v>
      </c>
      <c r="B42" s="58"/>
      <c r="C42" s="55" t="s">
        <v>404</v>
      </c>
      <c r="D42" s="11" t="s">
        <v>14</v>
      </c>
      <c r="E42" s="9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91" t="s">
        <v>34</v>
      </c>
      <c r="F43" s="11" t="s">
        <v>14</v>
      </c>
      <c r="G43" s="66"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91" t="s">
        <v>34</v>
      </c>
      <c r="F44" s="11" t="s">
        <v>14</v>
      </c>
      <c r="G44" s="66"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91" t="s">
        <v>34</v>
      </c>
      <c r="F45" s="11" t="s">
        <v>14</v>
      </c>
      <c r="G45" s="66"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91" t="s">
        <v>34</v>
      </c>
      <c r="F46" s="11" t="s">
        <v>14</v>
      </c>
      <c r="G46" s="66"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91" t="s">
        <v>34</v>
      </c>
      <c r="F47" s="11" t="s">
        <v>14</v>
      </c>
      <c r="G47" s="66"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91" t="s">
        <v>34</v>
      </c>
      <c r="F48" s="11" t="s">
        <v>14</v>
      </c>
      <c r="G48" s="66" t="s">
        <v>634</v>
      </c>
      <c r="H48" s="52" t="s">
        <v>538</v>
      </c>
      <c r="I48" s="52" t="s">
        <v>632</v>
      </c>
      <c r="J48" s="11" t="s">
        <v>14</v>
      </c>
      <c r="K48" s="11"/>
      <c r="L48" s="11" t="s">
        <v>800</v>
      </c>
      <c r="M48" s="11" t="s">
        <v>30</v>
      </c>
      <c r="N48" s="45" t="s">
        <v>524</v>
      </c>
      <c r="O48" s="11" t="s">
        <v>44</v>
      </c>
      <c r="P48" s="11" t="s">
        <v>802</v>
      </c>
    </row>
    <row r="49" spans="1:47">
      <c r="A49" s="11">
        <f t="shared" si="0"/>
        <v>44</v>
      </c>
      <c r="B49" s="58" t="s">
        <v>745</v>
      </c>
      <c r="C49" s="55" t="s">
        <v>747</v>
      </c>
      <c r="D49" s="11" t="s">
        <v>14</v>
      </c>
      <c r="E49" s="91" t="s">
        <v>34</v>
      </c>
      <c r="F49" s="11" t="s">
        <v>14</v>
      </c>
      <c r="G49" s="66" t="s">
        <v>744</v>
      </c>
      <c r="H49" s="55" t="s">
        <v>743</v>
      </c>
      <c r="I49" s="55" t="s">
        <v>747</v>
      </c>
      <c r="J49" s="11" t="s">
        <v>14</v>
      </c>
      <c r="K49" s="11">
        <v>1</v>
      </c>
      <c r="L49" s="11" t="s">
        <v>800</v>
      </c>
      <c r="M49" s="11" t="s">
        <v>30</v>
      </c>
      <c r="N49" s="45"/>
      <c r="O49" s="11" t="s">
        <v>44</v>
      </c>
      <c r="P49" s="11" t="s">
        <v>802</v>
      </c>
    </row>
    <row r="50" spans="1:47">
      <c r="A50" s="11">
        <f t="shared" si="0"/>
        <v>45</v>
      </c>
      <c r="B50" s="58" t="s">
        <v>746</v>
      </c>
      <c r="C50" s="55" t="s">
        <v>751</v>
      </c>
      <c r="D50" s="11" t="s">
        <v>14</v>
      </c>
      <c r="E50" s="91" t="s">
        <v>34</v>
      </c>
      <c r="F50" s="11" t="s">
        <v>14</v>
      </c>
      <c r="G50" s="66" t="s">
        <v>748</v>
      </c>
      <c r="H50" s="52" t="s">
        <v>749</v>
      </c>
      <c r="I50" s="55" t="s">
        <v>750</v>
      </c>
      <c r="J50" s="11" t="s">
        <v>14</v>
      </c>
      <c r="K50" s="11">
        <v>4</v>
      </c>
      <c r="L50" s="11" t="s">
        <v>800</v>
      </c>
      <c r="M50" s="11" t="s">
        <v>30</v>
      </c>
      <c r="N50" s="45"/>
      <c r="O50" s="11" t="s">
        <v>44</v>
      </c>
      <c r="P50" s="11" t="s">
        <v>802</v>
      </c>
    </row>
    <row r="51" spans="1:47">
      <c r="A51" s="11">
        <f t="shared" si="0"/>
        <v>46</v>
      </c>
      <c r="B51" s="58" t="s">
        <v>302</v>
      </c>
      <c r="C51" s="11" t="s">
        <v>789</v>
      </c>
      <c r="D51" s="11" t="s">
        <v>14</v>
      </c>
      <c r="E51" s="91" t="s">
        <v>34</v>
      </c>
      <c r="F51" s="11" t="s">
        <v>14</v>
      </c>
      <c r="G51" s="66" t="s">
        <v>786</v>
      </c>
      <c r="H51" s="52" t="s">
        <v>787</v>
      </c>
      <c r="I51" s="55" t="s">
        <v>785</v>
      </c>
      <c r="J51" s="11" t="s">
        <v>14</v>
      </c>
      <c r="K51" s="11">
        <v>1</v>
      </c>
      <c r="L51" s="11" t="s">
        <v>800</v>
      </c>
      <c r="M51" s="11" t="s">
        <v>30</v>
      </c>
      <c r="N51" s="45"/>
      <c r="O51" s="11" t="s">
        <v>44</v>
      </c>
      <c r="P51" s="11" t="s">
        <v>802</v>
      </c>
    </row>
    <row r="52" spans="1:47" s="206" customFormat="1">
      <c r="A52" s="200">
        <f t="shared" si="0"/>
        <v>47</v>
      </c>
      <c r="B52" s="201" t="s">
        <v>555</v>
      </c>
      <c r="C52" s="202" t="s">
        <v>211</v>
      </c>
      <c r="D52" s="200" t="s">
        <v>30</v>
      </c>
      <c r="E52" s="203" t="s">
        <v>527</v>
      </c>
      <c r="F52" s="200" t="s">
        <v>14</v>
      </c>
      <c r="G52" s="204" t="s">
        <v>209</v>
      </c>
      <c r="H52" s="200" t="s">
        <v>210</v>
      </c>
      <c r="I52" s="202" t="s">
        <v>213</v>
      </c>
      <c r="J52" s="200" t="s">
        <v>30</v>
      </c>
      <c r="K52" s="200">
        <v>8</v>
      </c>
      <c r="L52" s="200" t="s">
        <v>800</v>
      </c>
      <c r="M52" s="200" t="s">
        <v>30</v>
      </c>
      <c r="N52" s="205"/>
      <c r="O52" s="200" t="s">
        <v>50</v>
      </c>
      <c r="P52" s="200" t="s">
        <v>803</v>
      </c>
    </row>
    <row r="53" spans="1:47" s="206" customFormat="1">
      <c r="A53" s="200">
        <f t="shared" si="0"/>
        <v>48</v>
      </c>
      <c r="B53" s="201"/>
      <c r="C53" s="202" t="s">
        <v>212</v>
      </c>
      <c r="D53" s="200" t="s">
        <v>30</v>
      </c>
      <c r="E53" s="203" t="s">
        <v>527</v>
      </c>
      <c r="F53" s="200" t="s">
        <v>14</v>
      </c>
      <c r="G53" s="207" t="s">
        <v>209</v>
      </c>
      <c r="H53" s="200" t="s">
        <v>57</v>
      </c>
      <c r="I53" s="202" t="s">
        <v>214</v>
      </c>
      <c r="J53" s="200" t="s">
        <v>30</v>
      </c>
      <c r="K53" s="200"/>
      <c r="L53" s="200" t="s">
        <v>800</v>
      </c>
      <c r="M53" s="200" t="s">
        <v>30</v>
      </c>
      <c r="N53" s="205"/>
      <c r="O53" s="200" t="s">
        <v>50</v>
      </c>
      <c r="P53" s="200" t="s">
        <v>803</v>
      </c>
    </row>
    <row r="54" spans="1:47" s="39" customFormat="1" ht="14.5">
      <c r="A54" s="128">
        <f t="shared" si="0"/>
        <v>49</v>
      </c>
      <c r="B54" s="135" t="s">
        <v>556</v>
      </c>
      <c r="C54" s="128" t="s">
        <v>456</v>
      </c>
      <c r="D54" s="136" t="s">
        <v>30</v>
      </c>
      <c r="E54" s="126" t="s">
        <v>528</v>
      </c>
      <c r="F54" s="128" t="s">
        <v>14</v>
      </c>
      <c r="G54" s="127" t="s">
        <v>424</v>
      </c>
      <c r="H54" s="125" t="s">
        <v>464</v>
      </c>
      <c r="I54" s="125" t="s">
        <v>456</v>
      </c>
      <c r="J54" s="128" t="s">
        <v>30</v>
      </c>
      <c r="K54" s="128">
        <v>1</v>
      </c>
      <c r="L54" s="128" t="s">
        <v>800</v>
      </c>
      <c r="M54" s="128" t="s">
        <v>30</v>
      </c>
      <c r="N54" s="137"/>
      <c r="O54" s="128" t="s">
        <v>50</v>
      </c>
      <c r="P54" s="128" t="s">
        <v>802</v>
      </c>
    </row>
    <row r="55" spans="1:47" s="39" customFormat="1" ht="14.5">
      <c r="A55" s="128">
        <f t="shared" si="0"/>
        <v>50</v>
      </c>
      <c r="B55" s="135"/>
      <c r="C55" s="128" t="s">
        <v>462</v>
      </c>
      <c r="D55" s="136" t="s">
        <v>30</v>
      </c>
      <c r="E55" s="126" t="s">
        <v>528</v>
      </c>
      <c r="F55" s="128" t="s">
        <v>14</v>
      </c>
      <c r="G55" s="127" t="s">
        <v>425</v>
      </c>
      <c r="H55" s="125" t="s">
        <v>464</v>
      </c>
      <c r="I55" s="125" t="s">
        <v>462</v>
      </c>
      <c r="J55" s="128" t="s">
        <v>30</v>
      </c>
      <c r="K55" s="128"/>
      <c r="L55" s="128" t="s">
        <v>800</v>
      </c>
      <c r="M55" s="128" t="s">
        <v>30</v>
      </c>
      <c r="N55" s="137"/>
      <c r="O55" s="128" t="s">
        <v>50</v>
      </c>
      <c r="P55" s="128" t="s">
        <v>802</v>
      </c>
    </row>
    <row r="56" spans="1:47" s="39" customFormat="1" ht="14.5">
      <c r="A56" s="128">
        <f t="shared" si="0"/>
        <v>51</v>
      </c>
      <c r="B56" s="135"/>
      <c r="C56" s="128" t="s">
        <v>463</v>
      </c>
      <c r="D56" s="136" t="s">
        <v>30</v>
      </c>
      <c r="E56" s="126" t="s">
        <v>528</v>
      </c>
      <c r="F56" s="128" t="s">
        <v>14</v>
      </c>
      <c r="G56" s="127" t="s">
        <v>465</v>
      </c>
      <c r="H56" s="125" t="s">
        <v>464</v>
      </c>
      <c r="I56" s="125" t="s">
        <v>463</v>
      </c>
      <c r="J56" s="128" t="s">
        <v>30</v>
      </c>
      <c r="K56" s="128"/>
      <c r="L56" s="128" t="s">
        <v>800</v>
      </c>
      <c r="M56" s="128" t="s">
        <v>30</v>
      </c>
      <c r="N56" s="137"/>
      <c r="O56" s="128" t="s">
        <v>50</v>
      </c>
      <c r="P56" s="128" t="s">
        <v>802</v>
      </c>
    </row>
    <row r="57" spans="1:47" s="45" customFormat="1">
      <c r="A57" s="128">
        <f t="shared" si="0"/>
        <v>52</v>
      </c>
      <c r="B57" s="135"/>
      <c r="C57" s="128" t="s">
        <v>775</v>
      </c>
      <c r="D57" s="136" t="s">
        <v>30</v>
      </c>
      <c r="E57" s="126" t="s">
        <v>528</v>
      </c>
      <c r="F57" s="128" t="s">
        <v>14</v>
      </c>
      <c r="G57" s="127" t="s">
        <v>726</v>
      </c>
      <c r="H57" s="125" t="s">
        <v>464</v>
      </c>
      <c r="I57" s="125" t="str">
        <f>C57</f>
        <v>TEMP-S000229174</v>
      </c>
      <c r="J57" s="128" t="s">
        <v>30</v>
      </c>
      <c r="K57" s="128"/>
      <c r="L57" s="128" t="s">
        <v>800</v>
      </c>
      <c r="M57" s="128" t="s">
        <v>30</v>
      </c>
      <c r="N57" s="137"/>
      <c r="O57" s="128" t="s">
        <v>50</v>
      </c>
      <c r="P57" s="128" t="s">
        <v>802</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row>
    <row r="58" spans="1:47" s="25" customFormat="1" ht="14.5">
      <c r="A58" s="128">
        <f t="shared" si="0"/>
        <v>53</v>
      </c>
      <c r="B58" s="135" t="s">
        <v>557</v>
      </c>
      <c r="C58" s="123" t="s">
        <v>383</v>
      </c>
      <c r="D58" s="123" t="s">
        <v>30</v>
      </c>
      <c r="E58" s="126" t="s">
        <v>34</v>
      </c>
      <c r="F58" s="123" t="s">
        <v>30</v>
      </c>
      <c r="G58" s="144" t="s">
        <v>312</v>
      </c>
      <c r="H58" s="123" t="s">
        <v>51</v>
      </c>
      <c r="I58" s="123" t="s">
        <v>383</v>
      </c>
      <c r="J58" s="145" t="s">
        <v>127</v>
      </c>
      <c r="K58" s="145">
        <v>1</v>
      </c>
      <c r="L58" s="128" t="s">
        <v>800</v>
      </c>
      <c r="M58" s="128" t="s">
        <v>30</v>
      </c>
      <c r="N58" s="123"/>
      <c r="O58" s="146" t="s">
        <v>50</v>
      </c>
      <c r="P58" s="128" t="s">
        <v>802</v>
      </c>
    </row>
    <row r="59" spans="1:47" s="17" customFormat="1">
      <c r="A59" s="11">
        <f t="shared" si="0"/>
        <v>54</v>
      </c>
      <c r="B59" s="47" t="s">
        <v>752</v>
      </c>
      <c r="C59" s="24" t="s">
        <v>249</v>
      </c>
      <c r="D59" s="11" t="s">
        <v>30</v>
      </c>
      <c r="E59" s="91" t="s">
        <v>479</v>
      </c>
      <c r="F59" s="11" t="s">
        <v>14</v>
      </c>
      <c r="G59" s="13" t="s">
        <v>267</v>
      </c>
      <c r="H59" s="11" t="s">
        <v>39</v>
      </c>
      <c r="I59" s="24" t="s">
        <v>233</v>
      </c>
      <c r="J59" s="11" t="s">
        <v>700</v>
      </c>
      <c r="K59" s="11">
        <v>1</v>
      </c>
      <c r="L59" s="11" t="s">
        <v>800</v>
      </c>
      <c r="M59" s="11" t="s">
        <v>30</v>
      </c>
      <c r="N59" s="70" t="s">
        <v>268</v>
      </c>
      <c r="O59" s="11" t="s">
        <v>45</v>
      </c>
      <c r="P59" s="11" t="s">
        <v>802</v>
      </c>
    </row>
    <row r="60" spans="1:47" s="17" customFormat="1">
      <c r="A60" s="11">
        <f t="shared" si="0"/>
        <v>55</v>
      </c>
      <c r="B60" s="47" t="s">
        <v>753</v>
      </c>
      <c r="C60" s="55" t="s">
        <v>796</v>
      </c>
      <c r="D60" s="11" t="s">
        <v>30</v>
      </c>
      <c r="E60" s="91" t="s">
        <v>480</v>
      </c>
      <c r="F60" s="11" t="s">
        <v>14</v>
      </c>
      <c r="G60" s="13" t="s">
        <v>797</v>
      </c>
      <c r="H60" s="11" t="s">
        <v>39</v>
      </c>
      <c r="I60" s="24" t="s">
        <v>234</v>
      </c>
      <c r="J60" s="52" t="s">
        <v>773</v>
      </c>
      <c r="K60" s="11">
        <v>1</v>
      </c>
      <c r="L60" s="11" t="s">
        <v>800</v>
      </c>
      <c r="M60" s="11" t="s">
        <v>30</v>
      </c>
      <c r="N60" s="48" t="s">
        <v>192</v>
      </c>
      <c r="O60" s="11" t="s">
        <v>45</v>
      </c>
      <c r="P60" s="11" t="s">
        <v>802</v>
      </c>
    </row>
    <row r="61" spans="1:47" s="17" customFormat="1">
      <c r="A61" s="11">
        <f t="shared" si="0"/>
        <v>56</v>
      </c>
      <c r="B61" s="47" t="s">
        <v>758</v>
      </c>
      <c r="C61" s="55" t="s">
        <v>769</v>
      </c>
      <c r="D61" s="11" t="s">
        <v>30</v>
      </c>
      <c r="E61" s="91" t="s">
        <v>481</v>
      </c>
      <c r="F61" s="11" t="s">
        <v>14</v>
      </c>
      <c r="G61" s="13" t="s">
        <v>772</v>
      </c>
      <c r="H61" s="11" t="s">
        <v>39</v>
      </c>
      <c r="I61" s="24" t="s">
        <v>235</v>
      </c>
      <c r="J61" s="52" t="s">
        <v>773</v>
      </c>
      <c r="K61" s="11">
        <v>1</v>
      </c>
      <c r="L61" s="11" t="s">
        <v>800</v>
      </c>
      <c r="M61" s="11" t="s">
        <v>30</v>
      </c>
      <c r="N61" s="48" t="s">
        <v>193</v>
      </c>
      <c r="O61" s="11" t="s">
        <v>45</v>
      </c>
      <c r="P61" s="11" t="s">
        <v>802</v>
      </c>
    </row>
    <row r="62" spans="1:47" s="17" customFormat="1">
      <c r="A62" s="11">
        <f t="shared" si="0"/>
        <v>57</v>
      </c>
      <c r="B62" s="47" t="s">
        <v>155</v>
      </c>
      <c r="C62" s="55" t="s">
        <v>770</v>
      </c>
      <c r="D62" s="11" t="s">
        <v>30</v>
      </c>
      <c r="E62" s="91" t="s">
        <v>482</v>
      </c>
      <c r="F62" s="11" t="s">
        <v>14</v>
      </c>
      <c r="G62" s="13" t="s">
        <v>771</v>
      </c>
      <c r="H62" s="11" t="s">
        <v>39</v>
      </c>
      <c r="I62" s="24" t="s">
        <v>236</v>
      </c>
      <c r="J62" s="52" t="s">
        <v>702</v>
      </c>
      <c r="K62" s="11">
        <v>1</v>
      </c>
      <c r="L62" s="11" t="s">
        <v>800</v>
      </c>
      <c r="M62" s="11" t="s">
        <v>30</v>
      </c>
      <c r="N62" s="48" t="s">
        <v>194</v>
      </c>
      <c r="O62" s="11" t="s">
        <v>45</v>
      </c>
      <c r="P62" s="11" t="s">
        <v>802</v>
      </c>
    </row>
    <row r="63" spans="1:47" s="17" customFormat="1">
      <c r="A63" s="11">
        <f t="shared" si="0"/>
        <v>58</v>
      </c>
      <c r="B63" s="47" t="s">
        <v>121</v>
      </c>
      <c r="C63" s="24" t="s">
        <v>250</v>
      </c>
      <c r="D63" s="11" t="s">
        <v>30</v>
      </c>
      <c r="E63" s="91" t="s">
        <v>483</v>
      </c>
      <c r="F63" s="11" t="s">
        <v>14</v>
      </c>
      <c r="G63" s="13" t="s">
        <v>231</v>
      </c>
      <c r="H63" s="11" t="s">
        <v>39</v>
      </c>
      <c r="I63" s="24" t="s">
        <v>237</v>
      </c>
      <c r="J63" s="11" t="s">
        <v>702</v>
      </c>
      <c r="K63" s="11">
        <v>1</v>
      </c>
      <c r="L63" s="11" t="s">
        <v>800</v>
      </c>
      <c r="M63" s="11" t="s">
        <v>30</v>
      </c>
      <c r="N63" s="48" t="s">
        <v>195</v>
      </c>
      <c r="O63" s="11" t="s">
        <v>45</v>
      </c>
      <c r="P63" s="11" t="s">
        <v>802</v>
      </c>
    </row>
    <row r="64" spans="1:47" s="17" customFormat="1">
      <c r="A64" s="11">
        <f t="shared" si="0"/>
        <v>59</v>
      </c>
      <c r="B64" s="47" t="s">
        <v>122</v>
      </c>
      <c r="C64" s="24" t="s">
        <v>251</v>
      </c>
      <c r="D64" s="11" t="s">
        <v>30</v>
      </c>
      <c r="E64" s="91" t="s">
        <v>484</v>
      </c>
      <c r="F64" s="11" t="s">
        <v>14</v>
      </c>
      <c r="G64" s="43" t="s">
        <v>166</v>
      </c>
      <c r="H64" s="11" t="s">
        <v>39</v>
      </c>
      <c r="I64" s="24" t="s">
        <v>238</v>
      </c>
      <c r="J64" s="11" t="s">
        <v>701</v>
      </c>
      <c r="K64" s="11">
        <v>1</v>
      </c>
      <c r="L64" s="11" t="s">
        <v>800</v>
      </c>
      <c r="M64" s="11" t="s">
        <v>30</v>
      </c>
      <c r="N64" s="48" t="s">
        <v>196</v>
      </c>
      <c r="O64" s="11" t="s">
        <v>45</v>
      </c>
      <c r="P64" s="11" t="s">
        <v>802</v>
      </c>
    </row>
    <row r="65" spans="1:17" s="17" customFormat="1">
      <c r="A65" s="11">
        <f t="shared" si="0"/>
        <v>60</v>
      </c>
      <c r="B65" s="47" t="s">
        <v>123</v>
      </c>
      <c r="C65" s="24" t="s">
        <v>252</v>
      </c>
      <c r="D65" s="11" t="s">
        <v>30</v>
      </c>
      <c r="E65" s="91" t="s">
        <v>485</v>
      </c>
      <c r="F65" s="11" t="s">
        <v>14</v>
      </c>
      <c r="G65" s="43" t="s">
        <v>167</v>
      </c>
      <c r="H65" s="11" t="s">
        <v>39</v>
      </c>
      <c r="I65" s="24" t="s">
        <v>239</v>
      </c>
      <c r="J65" s="11" t="s">
        <v>701</v>
      </c>
      <c r="K65" s="11">
        <v>1</v>
      </c>
      <c r="L65" s="11" t="s">
        <v>800</v>
      </c>
      <c r="M65" s="11" t="s">
        <v>30</v>
      </c>
      <c r="N65" s="48" t="s">
        <v>197</v>
      </c>
      <c r="O65" s="11" t="s">
        <v>45</v>
      </c>
      <c r="P65" s="11" t="s">
        <v>802</v>
      </c>
    </row>
    <row r="66" spans="1:17" s="17" customFormat="1">
      <c r="A66" s="11">
        <f t="shared" si="0"/>
        <v>61</v>
      </c>
      <c r="B66" s="47" t="s">
        <v>124</v>
      </c>
      <c r="C66" s="24" t="s">
        <v>253</v>
      </c>
      <c r="D66" s="11" t="s">
        <v>30</v>
      </c>
      <c r="E66" s="91" t="s">
        <v>486</v>
      </c>
      <c r="F66" s="11" t="s">
        <v>14</v>
      </c>
      <c r="G66" s="43" t="s">
        <v>168</v>
      </c>
      <c r="H66" s="11" t="s">
        <v>39</v>
      </c>
      <c r="I66" s="24" t="s">
        <v>240</v>
      </c>
      <c r="J66" s="11" t="s">
        <v>701</v>
      </c>
      <c r="K66" s="11">
        <v>1</v>
      </c>
      <c r="L66" s="11" t="s">
        <v>800</v>
      </c>
      <c r="M66" s="11" t="s">
        <v>30</v>
      </c>
      <c r="N66" s="48" t="s">
        <v>198</v>
      </c>
      <c r="O66" s="11" t="s">
        <v>45</v>
      </c>
      <c r="P66" s="11" t="s">
        <v>802</v>
      </c>
    </row>
    <row r="67" spans="1:17" s="17" customFormat="1">
      <c r="A67" s="11">
        <f t="shared" si="0"/>
        <v>62</v>
      </c>
      <c r="B67" s="47" t="s">
        <v>156</v>
      </c>
      <c r="C67" s="24" t="s">
        <v>254</v>
      </c>
      <c r="D67" s="11" t="s">
        <v>30</v>
      </c>
      <c r="E67" s="91" t="s">
        <v>487</v>
      </c>
      <c r="F67" s="11" t="s">
        <v>14</v>
      </c>
      <c r="G67" s="43" t="s">
        <v>164</v>
      </c>
      <c r="H67" s="11" t="s">
        <v>39</v>
      </c>
      <c r="I67" s="24" t="s">
        <v>241</v>
      </c>
      <c r="J67" s="11" t="s">
        <v>701</v>
      </c>
      <c r="K67" s="11">
        <v>1</v>
      </c>
      <c r="L67" s="11" t="s">
        <v>800</v>
      </c>
      <c r="M67" s="11" t="s">
        <v>30</v>
      </c>
      <c r="N67" s="48" t="s">
        <v>199</v>
      </c>
      <c r="O67" s="11" t="s">
        <v>45</v>
      </c>
      <c r="P67" s="11" t="s">
        <v>802</v>
      </c>
    </row>
    <row r="68" spans="1:17" s="17" customFormat="1">
      <c r="A68" s="11">
        <f t="shared" si="0"/>
        <v>63</v>
      </c>
      <c r="B68" s="47" t="s">
        <v>157</v>
      </c>
      <c r="C68" s="24" t="s">
        <v>323</v>
      </c>
      <c r="D68" s="11" t="s">
        <v>30</v>
      </c>
      <c r="E68" s="91" t="s">
        <v>488</v>
      </c>
      <c r="F68" s="11" t="s">
        <v>14</v>
      </c>
      <c r="G68" s="43" t="s">
        <v>169</v>
      </c>
      <c r="H68" s="11" t="s">
        <v>39</v>
      </c>
      <c r="I68" s="24" t="s">
        <v>242</v>
      </c>
      <c r="J68" s="11" t="s">
        <v>701</v>
      </c>
      <c r="K68" s="11">
        <v>1</v>
      </c>
      <c r="L68" s="11" t="s">
        <v>800</v>
      </c>
      <c r="M68" s="11" t="s">
        <v>30</v>
      </c>
      <c r="N68" s="48" t="s">
        <v>200</v>
      </c>
      <c r="O68" s="11" t="s">
        <v>45</v>
      </c>
      <c r="P68" s="11" t="s">
        <v>802</v>
      </c>
    </row>
    <row r="69" spans="1:17" s="17" customFormat="1">
      <c r="A69" s="11">
        <f t="shared" si="0"/>
        <v>64</v>
      </c>
      <c r="B69" s="47" t="s">
        <v>176</v>
      </c>
      <c r="C69" s="24" t="s">
        <v>255</v>
      </c>
      <c r="D69" s="11" t="s">
        <v>30</v>
      </c>
      <c r="E69" s="91" t="s">
        <v>489</v>
      </c>
      <c r="F69" s="11" t="s">
        <v>14</v>
      </c>
      <c r="G69" s="43" t="s">
        <v>165</v>
      </c>
      <c r="H69" s="11" t="s">
        <v>39</v>
      </c>
      <c r="I69" s="24" t="s">
        <v>243</v>
      </c>
      <c r="J69" s="11" t="s">
        <v>701</v>
      </c>
      <c r="K69" s="11">
        <v>1</v>
      </c>
      <c r="L69" s="11" t="s">
        <v>800</v>
      </c>
      <c r="M69" s="11" t="s">
        <v>30</v>
      </c>
      <c r="N69" s="48" t="s">
        <v>201</v>
      </c>
      <c r="O69" s="11" t="s">
        <v>45</v>
      </c>
      <c r="P69" s="11" t="s">
        <v>802</v>
      </c>
    </row>
    <row r="70" spans="1:17" s="17" customFormat="1">
      <c r="A70" s="11">
        <f t="shared" si="0"/>
        <v>65</v>
      </c>
      <c r="B70" s="47" t="s">
        <v>158</v>
      </c>
      <c r="C70" s="24" t="s">
        <v>256</v>
      </c>
      <c r="D70" s="11" t="s">
        <v>30</v>
      </c>
      <c r="E70" s="91" t="s">
        <v>490</v>
      </c>
      <c r="F70" s="11" t="s">
        <v>14</v>
      </c>
      <c r="G70" s="43" t="s">
        <v>170</v>
      </c>
      <c r="H70" s="11" t="s">
        <v>39</v>
      </c>
      <c r="I70" s="24" t="s">
        <v>244</v>
      </c>
      <c r="J70" s="11" t="s">
        <v>701</v>
      </c>
      <c r="K70" s="11">
        <v>1</v>
      </c>
      <c r="L70" s="11" t="s">
        <v>800</v>
      </c>
      <c r="M70" s="11" t="s">
        <v>30</v>
      </c>
      <c r="N70" s="48" t="s">
        <v>202</v>
      </c>
      <c r="O70" s="11" t="s">
        <v>45</v>
      </c>
      <c r="P70" s="11" t="s">
        <v>802</v>
      </c>
    </row>
    <row r="71" spans="1:17" s="17" customFormat="1">
      <c r="A71" s="11">
        <f t="shared" si="0"/>
        <v>66</v>
      </c>
      <c r="B71" s="47" t="s">
        <v>270</v>
      </c>
      <c r="C71" s="24" t="s">
        <v>262</v>
      </c>
      <c r="D71" s="11" t="s">
        <v>30</v>
      </c>
      <c r="E71" s="91" t="s">
        <v>491</v>
      </c>
      <c r="F71" s="11" t="s">
        <v>14</v>
      </c>
      <c r="G71" s="43" t="s">
        <v>163</v>
      </c>
      <c r="H71" s="11" t="s">
        <v>39</v>
      </c>
      <c r="I71" s="54" t="s">
        <v>265</v>
      </c>
      <c r="J71" s="11" t="s">
        <v>700</v>
      </c>
      <c r="K71" s="11">
        <v>1</v>
      </c>
      <c r="L71" s="11" t="s">
        <v>800</v>
      </c>
      <c r="M71" s="11" t="s">
        <v>30</v>
      </c>
      <c r="N71" s="48" t="s">
        <v>203</v>
      </c>
      <c r="O71" s="11" t="s">
        <v>45</v>
      </c>
      <c r="P71" s="11" t="s">
        <v>802</v>
      </c>
    </row>
    <row r="72" spans="1:17" s="17" customFormat="1">
      <c r="A72" s="11">
        <f t="shared" ref="A72:A78" si="1">ROW(A72)-5</f>
        <v>67</v>
      </c>
      <c r="B72" s="47" t="s">
        <v>271</v>
      </c>
      <c r="C72" s="24" t="s">
        <v>257</v>
      </c>
      <c r="D72" s="11" t="s">
        <v>30</v>
      </c>
      <c r="E72" s="91" t="s">
        <v>492</v>
      </c>
      <c r="F72" s="11" t="s">
        <v>14</v>
      </c>
      <c r="G72" s="43" t="s">
        <v>171</v>
      </c>
      <c r="H72" s="11" t="s">
        <v>39</v>
      </c>
      <c r="I72" s="24" t="s">
        <v>245</v>
      </c>
      <c r="J72" s="11" t="s">
        <v>703</v>
      </c>
      <c r="K72" s="11">
        <v>1</v>
      </c>
      <c r="L72" s="11" t="s">
        <v>800</v>
      </c>
      <c r="M72" s="11" t="s">
        <v>30</v>
      </c>
      <c r="N72" s="48" t="s">
        <v>204</v>
      </c>
      <c r="O72" s="11" t="s">
        <v>45</v>
      </c>
      <c r="P72" s="11" t="s">
        <v>802</v>
      </c>
    </row>
    <row r="73" spans="1:17" s="17" customFormat="1">
      <c r="A73" s="11">
        <f t="shared" si="1"/>
        <v>68</v>
      </c>
      <c r="B73" s="47" t="s">
        <v>272</v>
      </c>
      <c r="C73" s="11" t="s">
        <v>258</v>
      </c>
      <c r="D73" s="11" t="s">
        <v>30</v>
      </c>
      <c r="E73" s="91" t="s">
        <v>493</v>
      </c>
      <c r="F73" s="11" t="s">
        <v>14</v>
      </c>
      <c r="G73" s="43" t="s">
        <v>172</v>
      </c>
      <c r="H73" s="11" t="s">
        <v>39</v>
      </c>
      <c r="I73" s="24" t="s">
        <v>246</v>
      </c>
      <c r="J73" s="11" t="s">
        <v>703</v>
      </c>
      <c r="K73" s="11">
        <v>1</v>
      </c>
      <c r="L73" s="11" t="s">
        <v>800</v>
      </c>
      <c r="M73" s="11" t="s">
        <v>30</v>
      </c>
      <c r="N73" s="48" t="s">
        <v>205</v>
      </c>
      <c r="O73" s="11" t="s">
        <v>45</v>
      </c>
      <c r="P73" s="11" t="s">
        <v>802</v>
      </c>
    </row>
    <row r="74" spans="1:17" s="17" customFormat="1">
      <c r="A74" s="11">
        <f t="shared" si="1"/>
        <v>69</v>
      </c>
      <c r="B74" s="47" t="s">
        <v>558</v>
      </c>
      <c r="C74" s="11" t="s">
        <v>259</v>
      </c>
      <c r="D74" s="11" t="s">
        <v>30</v>
      </c>
      <c r="E74" s="91" t="s">
        <v>494</v>
      </c>
      <c r="F74" s="11" t="s">
        <v>14</v>
      </c>
      <c r="G74" s="43" t="s">
        <v>190</v>
      </c>
      <c r="H74" s="11" t="s">
        <v>39</v>
      </c>
      <c r="I74" s="24" t="s">
        <v>247</v>
      </c>
      <c r="J74" s="11" t="s">
        <v>703</v>
      </c>
      <c r="K74" s="11">
        <v>1</v>
      </c>
      <c r="L74" s="11" t="s">
        <v>800</v>
      </c>
      <c r="M74" s="11" t="s">
        <v>30</v>
      </c>
      <c r="N74" s="48" t="s">
        <v>206</v>
      </c>
      <c r="O74" s="11" t="s">
        <v>45</v>
      </c>
      <c r="P74" s="11" t="s">
        <v>802</v>
      </c>
    </row>
    <row r="75" spans="1:17" s="17" customFormat="1">
      <c r="A75" s="11">
        <f t="shared" si="1"/>
        <v>70</v>
      </c>
      <c r="B75" s="47" t="s">
        <v>559</v>
      </c>
      <c r="C75" s="11" t="s">
        <v>260</v>
      </c>
      <c r="D75" s="11" t="s">
        <v>30</v>
      </c>
      <c r="E75" s="91" t="s">
        <v>495</v>
      </c>
      <c r="F75" s="11" t="s">
        <v>14</v>
      </c>
      <c r="G75" s="43" t="s">
        <v>191</v>
      </c>
      <c r="H75" s="11" t="s">
        <v>39</v>
      </c>
      <c r="I75" s="24" t="s">
        <v>248</v>
      </c>
      <c r="J75" s="11" t="s">
        <v>703</v>
      </c>
      <c r="K75" s="11">
        <v>1</v>
      </c>
      <c r="L75" s="11" t="s">
        <v>800</v>
      </c>
      <c r="M75" s="11" t="s">
        <v>30</v>
      </c>
      <c r="N75" s="48" t="s">
        <v>207</v>
      </c>
      <c r="O75" s="11" t="s">
        <v>45</v>
      </c>
      <c r="P75" s="11" t="s">
        <v>802</v>
      </c>
    </row>
    <row r="76" spans="1:17" s="17" customFormat="1">
      <c r="A76" s="11">
        <f t="shared" si="1"/>
        <v>71</v>
      </c>
      <c r="B76" s="47" t="s">
        <v>754</v>
      </c>
      <c r="C76" s="11" t="s">
        <v>263</v>
      </c>
      <c r="D76" s="11" t="s">
        <v>30</v>
      </c>
      <c r="E76" s="91" t="s">
        <v>496</v>
      </c>
      <c r="F76" s="11" t="s">
        <v>14</v>
      </c>
      <c r="G76" s="43" t="s">
        <v>208</v>
      </c>
      <c r="H76" s="11" t="s">
        <v>39</v>
      </c>
      <c r="I76" s="24" t="s">
        <v>264</v>
      </c>
      <c r="J76" s="11" t="s">
        <v>703</v>
      </c>
      <c r="K76" s="11">
        <v>1</v>
      </c>
      <c r="L76" s="11" t="s">
        <v>800</v>
      </c>
      <c r="M76" s="11" t="s">
        <v>30</v>
      </c>
      <c r="N76" s="48" t="s">
        <v>215</v>
      </c>
      <c r="O76" s="11" t="s">
        <v>45</v>
      </c>
      <c r="P76" s="11" t="s">
        <v>802</v>
      </c>
    </row>
    <row r="77" spans="1:17" s="17" customFormat="1">
      <c r="A77" s="11">
        <f t="shared" si="1"/>
        <v>72</v>
      </c>
      <c r="B77" s="47" t="s">
        <v>755</v>
      </c>
      <c r="C77" s="52" t="s">
        <v>778</v>
      </c>
      <c r="D77" s="11" t="s">
        <v>30</v>
      </c>
      <c r="E77" s="91" t="s">
        <v>497</v>
      </c>
      <c r="F77" s="11" t="s">
        <v>14</v>
      </c>
      <c r="G77" s="13" t="s">
        <v>533</v>
      </c>
      <c r="H77" s="52" t="s">
        <v>585</v>
      </c>
      <c r="I77" s="55" t="s">
        <v>780</v>
      </c>
      <c r="J77" s="11" t="s">
        <v>30</v>
      </c>
      <c r="K77" s="11">
        <v>1</v>
      </c>
      <c r="L77" s="11" t="s">
        <v>800</v>
      </c>
      <c r="M77" s="11" t="s">
        <v>30</v>
      </c>
      <c r="N77" s="48" t="s">
        <v>461</v>
      </c>
      <c r="O77" s="11" t="s">
        <v>269</v>
      </c>
      <c r="P77" s="11" t="s">
        <v>802</v>
      </c>
    </row>
    <row r="78" spans="1:17" s="17" customFormat="1">
      <c r="A78" s="11">
        <f t="shared" si="1"/>
        <v>73</v>
      </c>
      <c r="B78" s="47"/>
      <c r="C78" s="52" t="s">
        <v>779</v>
      </c>
      <c r="D78" s="11" t="s">
        <v>30</v>
      </c>
      <c r="E78" s="91" t="s">
        <v>497</v>
      </c>
      <c r="F78" s="11" t="s">
        <v>14</v>
      </c>
      <c r="G78" s="13" t="s">
        <v>533</v>
      </c>
      <c r="H78" s="52" t="s">
        <v>586</v>
      </c>
      <c r="I78" s="55" t="s">
        <v>781</v>
      </c>
      <c r="J78" s="11" t="s">
        <v>30</v>
      </c>
      <c r="K78" s="11"/>
      <c r="L78" s="11" t="s">
        <v>800</v>
      </c>
      <c r="M78" s="11" t="s">
        <v>30</v>
      </c>
      <c r="N78" s="48"/>
      <c r="O78" s="11" t="s">
        <v>269</v>
      </c>
      <c r="P78" s="11" t="s">
        <v>802</v>
      </c>
    </row>
    <row r="79" spans="1:17" s="17" customFormat="1">
      <c r="A79" s="11">
        <v>63</v>
      </c>
      <c r="B79" s="47" t="s">
        <v>560</v>
      </c>
      <c r="C79" s="96" t="s">
        <v>564</v>
      </c>
      <c r="D79" s="11" t="s">
        <v>30</v>
      </c>
      <c r="E79" s="91" t="s">
        <v>34</v>
      </c>
      <c r="F79" s="11" t="s">
        <v>30</v>
      </c>
      <c r="G79" s="53" t="s">
        <v>565</v>
      </c>
      <c r="H79" s="11" t="s">
        <v>566</v>
      </c>
      <c r="I79" s="96" t="s">
        <v>563</v>
      </c>
      <c r="J79" s="50" t="s">
        <v>127</v>
      </c>
      <c r="K79" s="50">
        <v>1</v>
      </c>
      <c r="L79" s="11" t="s">
        <v>800</v>
      </c>
      <c r="M79" s="11" t="s">
        <v>30</v>
      </c>
      <c r="N79" s="48" t="s">
        <v>567</v>
      </c>
      <c r="O79" s="52" t="s">
        <v>562</v>
      </c>
      <c r="P79" s="11" t="s">
        <v>802</v>
      </c>
      <c r="Q79" s="97"/>
    </row>
    <row r="80" spans="1:17">
      <c r="A80" s="45">
        <f t="shared" ref="A80:A82" si="2">ROW(A80)-5</f>
        <v>75</v>
      </c>
      <c r="B80" s="98" t="s">
        <v>561</v>
      </c>
      <c r="C80" s="45" t="s">
        <v>569</v>
      </c>
      <c r="D80" s="99" t="s">
        <v>14</v>
      </c>
      <c r="E80" s="45" t="s">
        <v>34</v>
      </c>
      <c r="F80" s="45" t="s">
        <v>14</v>
      </c>
      <c r="G80" s="100" t="s">
        <v>570</v>
      </c>
      <c r="H80" s="101" t="s">
        <v>51</v>
      </c>
      <c r="I80" s="45" t="s">
        <v>569</v>
      </c>
      <c r="J80" s="99" t="s">
        <v>14</v>
      </c>
      <c r="K80" s="102">
        <v>3</v>
      </c>
      <c r="L80" s="11" t="s">
        <v>800</v>
      </c>
      <c r="M80" s="11" t="s">
        <v>30</v>
      </c>
      <c r="N80" s="48" t="s">
        <v>573</v>
      </c>
      <c r="O80" s="101" t="s">
        <v>129</v>
      </c>
      <c r="P80" s="11" t="s">
        <v>802</v>
      </c>
      <c r="Q80" s="97"/>
    </row>
    <row r="81" spans="1:17">
      <c r="A81" s="45">
        <f t="shared" si="2"/>
        <v>76</v>
      </c>
      <c r="B81" s="98" t="s">
        <v>756</v>
      </c>
      <c r="C81" s="45" t="s">
        <v>571</v>
      </c>
      <c r="D81" s="99" t="s">
        <v>14</v>
      </c>
      <c r="E81" s="45" t="s">
        <v>34</v>
      </c>
      <c r="F81" s="45" t="s">
        <v>14</v>
      </c>
      <c r="G81" s="103" t="s">
        <v>572</v>
      </c>
      <c r="H81" s="101" t="s">
        <v>51</v>
      </c>
      <c r="I81" s="45" t="s">
        <v>571</v>
      </c>
      <c r="J81" s="99" t="s">
        <v>14</v>
      </c>
      <c r="K81" s="104">
        <v>4</v>
      </c>
      <c r="L81" s="11" t="s">
        <v>800</v>
      </c>
      <c r="M81" s="11" t="s">
        <v>30</v>
      </c>
      <c r="N81" s="48" t="s">
        <v>804</v>
      </c>
      <c r="O81" s="101" t="s">
        <v>129</v>
      </c>
      <c r="P81" s="11" t="s">
        <v>802</v>
      </c>
      <c r="Q81" s="97"/>
    </row>
    <row r="82" spans="1:17" s="25" customFormat="1">
      <c r="A82" s="11">
        <f t="shared" si="2"/>
        <v>77</v>
      </c>
      <c r="B82" s="47" t="s">
        <v>759</v>
      </c>
      <c r="C82" s="11" t="s">
        <v>179</v>
      </c>
      <c r="D82" s="11" t="s">
        <v>30</v>
      </c>
      <c r="E82" s="90" t="s">
        <v>34</v>
      </c>
      <c r="F82" s="11" t="s">
        <v>30</v>
      </c>
      <c r="G82" s="53" t="s">
        <v>230</v>
      </c>
      <c r="H82" s="11" t="s">
        <v>154</v>
      </c>
      <c r="I82" s="11" t="s">
        <v>179</v>
      </c>
      <c r="J82" s="50" t="s">
        <v>127</v>
      </c>
      <c r="K82" s="50">
        <v>1</v>
      </c>
      <c r="L82" s="11" t="s">
        <v>800</v>
      </c>
      <c r="M82" s="11" t="s">
        <v>30</v>
      </c>
      <c r="N82" s="48"/>
      <c r="O82" s="52" t="s">
        <v>129</v>
      </c>
      <c r="P82" s="11" t="s">
        <v>803</v>
      </c>
    </row>
    <row r="83" spans="1:17">
      <c r="B83" s="3"/>
      <c r="C83" s="2"/>
      <c r="H83" s="5"/>
      <c r="I83" s="2"/>
    </row>
    <row r="84" spans="1:17">
      <c r="A84" s="17"/>
      <c r="B84" s="1" t="s">
        <v>15</v>
      </c>
      <c r="C84" s="10" t="s">
        <v>16</v>
      </c>
      <c r="D84" s="18"/>
      <c r="E84" s="17"/>
      <c r="F84" s="17"/>
      <c r="G84" s="4"/>
      <c r="H84" s="17"/>
      <c r="I84" s="17"/>
      <c r="J84" s="17"/>
      <c r="O84" s="17"/>
      <c r="P84" s="17"/>
    </row>
    <row r="85" spans="1:17">
      <c r="A85" s="17"/>
      <c r="B85" s="17"/>
      <c r="C85" s="15" t="s">
        <v>5</v>
      </c>
      <c r="D85" s="17"/>
      <c r="E85" s="17"/>
      <c r="F85" s="17"/>
      <c r="G85" s="16"/>
      <c r="H85" s="17"/>
      <c r="I85" s="17"/>
      <c r="J85" s="17"/>
      <c r="O85" s="17"/>
      <c r="P85" s="17"/>
    </row>
    <row r="86" spans="1:17">
      <c r="A86" s="17"/>
      <c r="B86" s="17"/>
      <c r="C86" s="19" t="s">
        <v>6</v>
      </c>
      <c r="D86" s="17"/>
      <c r="E86" s="17"/>
      <c r="F86" s="17"/>
      <c r="G86" s="16"/>
      <c r="H86" s="17"/>
      <c r="I86" s="17"/>
      <c r="J86" s="17"/>
      <c r="O86" s="17"/>
      <c r="P86" s="17"/>
    </row>
    <row r="87" spans="1:17">
      <c r="C87" s="20" t="s">
        <v>52</v>
      </c>
      <c r="G87" s="18"/>
    </row>
    <row r="88" spans="1:17" ht="46.5">
      <c r="C88" s="29" t="s">
        <v>53</v>
      </c>
    </row>
    <row r="89" spans="1:17">
      <c r="K89" s="7"/>
      <c r="L89" s="7"/>
      <c r="M89" s="7"/>
    </row>
    <row r="90" spans="1:17">
      <c r="G90" s="22"/>
    </row>
  </sheetData>
  <autoFilter ref="A5:P5" xr:uid="{E454C770-70E9-471A-AD6F-073CCE7590CB}"/>
  <mergeCells count="4">
    <mergeCell ref="A3:B3"/>
    <mergeCell ref="A4:B4"/>
    <mergeCell ref="A1:P1"/>
    <mergeCell ref="A2:P2"/>
  </mergeCells>
  <phoneticPr fontId="18" type="noConversion"/>
  <conditionalFormatting sqref="A23:B23 D23:D24">
    <cfRule type="containsText" dxfId="752" priority="161" operator="containsText" text="TBD">
      <formula>NOT(ISERROR(SEARCH("TBD",A23)))</formula>
    </cfRule>
  </conditionalFormatting>
  <conditionalFormatting sqref="A28:B28">
    <cfRule type="containsText" dxfId="751" priority="157" operator="containsText" text="TBD">
      <formula>NOT(ISERROR(SEARCH("TBD",A28)))</formula>
    </cfRule>
  </conditionalFormatting>
  <conditionalFormatting sqref="A43:B45 D43:F45">
    <cfRule type="containsText" dxfId="750" priority="68" operator="containsText" text="TBD">
      <formula>NOT(ISERROR(SEARCH("TBD",A43)))</formula>
    </cfRule>
  </conditionalFormatting>
  <conditionalFormatting sqref="A48:B51">
    <cfRule type="containsText" dxfId="749" priority="20" operator="containsText" text="TBD">
      <formula>NOT(ISERROR(SEARCH("TBD",A48)))</formula>
    </cfRule>
  </conditionalFormatting>
  <conditionalFormatting sqref="A54:B55 A56:A75">
    <cfRule type="containsText" dxfId="748" priority="50" operator="containsText" text="TBD">
      <formula>NOT(ISERROR(SEARCH("TBD",A54)))</formula>
    </cfRule>
  </conditionalFormatting>
  <conditionalFormatting sqref="A24:C25">
    <cfRule type="containsText" dxfId="747" priority="216" operator="containsText" text="TBD">
      <formula>NOT(ISERROR(SEARCH("TBD",A24)))</formula>
    </cfRule>
  </conditionalFormatting>
  <conditionalFormatting sqref="A9:D15">
    <cfRule type="containsText" dxfId="746" priority="202" operator="containsText" text="TBD">
      <formula>NOT(ISERROR(SEARCH("TBD",A9)))</formula>
    </cfRule>
  </conditionalFormatting>
  <conditionalFormatting sqref="A18:D22">
    <cfRule type="containsText" dxfId="745" priority="196" operator="containsText" text="TBD">
      <formula>NOT(ISERROR(SEARCH("TBD",A18)))</formula>
    </cfRule>
  </conditionalFormatting>
  <conditionalFormatting sqref="A31:G35">
    <cfRule type="containsText" dxfId="744" priority="98" operator="containsText" text="TBD">
      <formula>NOT(ISERROR(SEARCH("TBD",A31)))</formula>
    </cfRule>
  </conditionalFormatting>
  <conditionalFormatting sqref="B58:E58 A59:E79">
    <cfRule type="containsText" dxfId="743" priority="82" operator="containsText" text="TBD">
      <formula>NOT(ISERROR(SEARCH("TBD",A58)))</formula>
    </cfRule>
  </conditionalFormatting>
  <conditionalFormatting sqref="C21:C23">
    <cfRule type="containsText" dxfId="742" priority="160" operator="containsText" text="TBD">
      <formula>NOT(ISERROR(SEARCH("TBD",C21)))</formula>
    </cfRule>
  </conditionalFormatting>
  <conditionalFormatting sqref="C25">
    <cfRule type="duplicateValues" dxfId="741" priority="201"/>
    <cfRule type="duplicateValues" dxfId="740" priority="200"/>
  </conditionalFormatting>
  <conditionalFormatting sqref="C27:C30">
    <cfRule type="containsText" dxfId="739" priority="151" operator="containsText" text="TBD">
      <formula>NOT(ISERROR(SEARCH("TBD",C27)))</formula>
    </cfRule>
  </conditionalFormatting>
  <conditionalFormatting sqref="C36:C45">
    <cfRule type="containsText" dxfId="738" priority="64" operator="containsText" text="TBD">
      <formula>NOT(ISERROR(SEARCH("TBD",C36)))</formula>
    </cfRule>
  </conditionalFormatting>
  <conditionalFormatting sqref="C48:C72">
    <cfRule type="containsText" dxfId="737" priority="15" operator="containsText" text="TBD">
      <formula>NOT(ISERROR(SEARCH("TBD",C48)))</formula>
    </cfRule>
  </conditionalFormatting>
  <conditionalFormatting sqref="C84:C87">
    <cfRule type="containsText" dxfId="736" priority="215" operator="containsText" text="TBD">
      <formula>NOT(ISERROR(SEARCH("TBD",C84)))</formula>
    </cfRule>
  </conditionalFormatting>
  <conditionalFormatting sqref="C37:G38 C39:F39 A40:F42 D54:F54">
    <cfRule type="containsText" dxfId="735" priority="195" operator="containsText" text="TBD">
      <formula>NOT(ISERROR(SEARCH("TBD",A37)))</formula>
    </cfRule>
  </conditionalFormatting>
  <conditionalFormatting sqref="D55:D57 F55:F57 B56:B57">
    <cfRule type="containsText" dxfId="734" priority="25" operator="containsText" text="TBD">
      <formula>NOT(ISERROR(SEARCH("TBD",B55)))</formula>
    </cfRule>
  </conditionalFormatting>
  <conditionalFormatting sqref="D50:F50">
    <cfRule type="containsText" dxfId="733" priority="36" operator="containsText" text="TBD">
      <formula>NOT(ISERROR(SEARCH("TBD",D50)))</formula>
    </cfRule>
  </conditionalFormatting>
  <conditionalFormatting sqref="D36:G36">
    <cfRule type="containsText" dxfId="732" priority="90" operator="containsText" text="TBD">
      <formula>NOT(ISERROR(SEARCH("TBD",D36)))</formula>
    </cfRule>
  </conditionalFormatting>
  <conditionalFormatting sqref="D49:G49">
    <cfRule type="containsText" dxfId="731" priority="34" operator="containsText" text="TBD">
      <formula>NOT(ISERROR(SEARCH("TBD",D49)))</formula>
    </cfRule>
  </conditionalFormatting>
  <conditionalFormatting sqref="D25:H25">
    <cfRule type="containsText" dxfId="730" priority="170" operator="containsText" text="TBD">
      <formula>NOT(ISERROR(SEARCH("TBD",D25)))</formula>
    </cfRule>
  </conditionalFormatting>
  <conditionalFormatting sqref="D51:H51">
    <cfRule type="containsText" dxfId="729" priority="21" operator="containsText" text="TBD">
      <formula>NOT(ISERROR(SEARCH("TBD",D51)))</formula>
    </cfRule>
  </conditionalFormatting>
  <conditionalFormatting sqref="E6:E23">
    <cfRule type="containsText" dxfId="728" priority="69" operator="containsText" text="TBD">
      <formula>NOT(ISERROR(SEARCH("TBD",E6)))</formula>
    </cfRule>
  </conditionalFormatting>
  <conditionalFormatting sqref="E27:E45">
    <cfRule type="containsText" dxfId="727" priority="66" operator="containsText" text="TBD">
      <formula>NOT(ISERROR(SEARCH("TBD",E27)))</formula>
    </cfRule>
  </conditionalFormatting>
  <conditionalFormatting sqref="E48:E57">
    <cfRule type="containsText" dxfId="726" priority="18" operator="containsText" text="TBD">
      <formula>NOT(ISERROR(SEARCH("TBD",E48)))</formula>
    </cfRule>
  </conditionalFormatting>
  <conditionalFormatting sqref="F77:G78">
    <cfRule type="containsText" dxfId="725" priority="184" operator="containsText" text="TBD">
      <formula>NOT(ISERROR(SEARCH("TBD",F77)))</formula>
    </cfRule>
  </conditionalFormatting>
  <conditionalFormatting sqref="G39:G45">
    <cfRule type="containsText" dxfId="724" priority="62" operator="containsText" text="TBD">
      <formula>NOT(ISERROR(SEARCH("TBD",G39)))</formula>
    </cfRule>
  </conditionalFormatting>
  <conditionalFormatting sqref="G49:G51">
    <cfRule type="containsText" dxfId="723" priority="17" operator="containsText" text="TBD">
      <formula>NOT(ISERROR(SEARCH("TBD",G49)))</formula>
    </cfRule>
  </conditionalFormatting>
  <conditionalFormatting sqref="H31:H39 A36:B39">
    <cfRule type="containsText" dxfId="722" priority="97" operator="containsText" text="TBD">
      <formula>NOT(ISERROR(SEARCH("TBD",A31)))</formula>
    </cfRule>
  </conditionalFormatting>
  <conditionalFormatting sqref="H49:H50">
    <cfRule type="containsText" dxfId="721" priority="31" operator="containsText" text="TBD">
      <formula>NOT(ISERROR(SEARCH("TBD",H49)))</formula>
    </cfRule>
  </conditionalFormatting>
  <conditionalFormatting sqref="H77:H79">
    <cfRule type="containsText" dxfId="720" priority="87" operator="containsText" text="TBD">
      <formula>NOT(ISERROR(SEARCH("TBD",H77)))</formula>
    </cfRule>
  </conditionalFormatting>
  <conditionalFormatting sqref="I25">
    <cfRule type="duplicateValues" dxfId="719" priority="199"/>
    <cfRule type="duplicateValues" dxfId="718" priority="198"/>
  </conditionalFormatting>
  <conditionalFormatting sqref="I49:K51">
    <cfRule type="containsText" dxfId="717" priority="16" operator="containsText" text="TBD">
      <formula>NOT(ISERROR(SEARCH("TBD",I49)))</formula>
    </cfRule>
  </conditionalFormatting>
  <conditionalFormatting sqref="J71">
    <cfRule type="containsText" dxfId="716" priority="51" operator="containsText" text="TBD">
      <formula>NOT(ISERROR(SEARCH("TBD",J71)))</formula>
    </cfRule>
  </conditionalFormatting>
  <conditionalFormatting sqref="N79:N82">
    <cfRule type="containsText" dxfId="715" priority="1" operator="containsText" text="TBD">
      <formula>NOT(ISERROR(SEARCH("TBD",N79)))</formula>
    </cfRule>
  </conditionalFormatting>
  <conditionalFormatting sqref="N5:O5">
    <cfRule type="containsText" dxfId="714" priority="213" operator="containsText" text="TBD">
      <formula>NOT(ISERROR(SEARCH("TBD",N5)))</formula>
    </cfRule>
  </conditionalFormatting>
  <conditionalFormatting sqref="N7:O10">
    <cfRule type="containsText" dxfId="713" priority="158" operator="containsText" text="TBD">
      <formula>NOT(ISERROR(SEARCH("TBD",N7)))</formula>
    </cfRule>
  </conditionalFormatting>
  <conditionalFormatting sqref="O79:O82 A1:A2 A3:O6 O3:O15 A7:K8 L7:M82 F9:K15 N11:N15 A16:K17 N16:O24 F18:K24 J25:K25 N25:N26 O25:O30 A26:K27 D28:K28 A29:K30 I31:K33 J34:K35 I36:K39 H40:K45 A46:K47 D48:K48 A52:K53 G54:K57 F58:K76 Q58:XFD79 I77:K78 F79:K79 A80:K82 Q82:XFD1048576 A83:O1048576">
    <cfRule type="containsText" dxfId="712" priority="210" operator="containsText" text="TBD">
      <formula>NOT(ISERROR(SEARCH("TBD",A1)))</formula>
    </cfRule>
  </conditionalFormatting>
  <conditionalFormatting sqref="O81:P81">
    <cfRule type="containsText" dxfId="711" priority="9" operator="containsText" text="Group A">
      <formula>NOT(ISERROR(SEARCH("Group A",O81)))</formula>
    </cfRule>
    <cfRule type="containsText" dxfId="710" priority="10" operator="containsText" text="Group A">
      <formula>NOT(ISERROR(SEARCH("Group A",O81)))</formula>
    </cfRule>
    <cfRule type="containsText" dxfId="709" priority="8" operator="containsText" text="Group B">
      <formula>NOT(ISERROR(SEARCH("Group B",O81)))</formula>
    </cfRule>
    <cfRule type="containsText" dxfId="708" priority="7" operator="containsText" text="Group A">
      <formula>NOT(ISERROR(SEARCH("Group A",O81)))</formula>
    </cfRule>
  </conditionalFormatting>
  <conditionalFormatting sqref="P3:P58">
    <cfRule type="containsText" dxfId="707" priority="2" operator="containsText" text="TBD">
      <formula>NOT(ISERROR(SEARCH("TBD",P3)))</formula>
    </cfRule>
  </conditionalFormatting>
  <conditionalFormatting sqref="P59:P1048576">
    <cfRule type="containsText" dxfId="706" priority="13" operator="containsText" text="TBD">
      <formula>NOT(ISERROR(SEARCH("TBD",P59)))</formula>
    </cfRule>
  </conditionalFormatting>
  <conditionalFormatting sqref="P82">
    <cfRule type="containsText" dxfId="705" priority="3" operator="containsText" text="TBD">
      <formula>NOT(ISERROR(SEARCH("TBD",P82)))</formula>
    </cfRule>
  </conditionalFormatting>
  <conditionalFormatting sqref="Q1:XFD56 N27:O78">
    <cfRule type="containsText" dxfId="704" priority="123" operator="containsText" text="TBD">
      <formula>NOT(ISERROR(SEARCH("TBD",N1)))</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34498-EB1C-495A-B23E-BD445A4261D4}">
  <sheetPr>
    <tabColor theme="6" tint="-0.249977111117893"/>
  </sheetPr>
  <dimension ref="A1:AU90"/>
  <sheetViews>
    <sheetView zoomScale="70" zoomScaleNormal="70" workbookViewId="0">
      <pane ySplit="5" topLeftCell="A33" activePane="bottomLeft" state="frozen"/>
      <selection activeCell="H46" sqref="H46"/>
      <selection pane="bottomLeft" activeCell="H46" sqref="H46"/>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26953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40.36328125" style="6" customWidth="1"/>
    <col min="15" max="16" width="18.72656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1A72D1G00-600-GNA</v>
      </c>
      <c r="D3" s="26" t="s">
        <v>1</v>
      </c>
      <c r="E3" s="27" t="s">
        <v>14</v>
      </c>
      <c r="F3" s="26"/>
      <c r="G3" s="26"/>
      <c r="H3" s="26"/>
      <c r="I3" s="26"/>
      <c r="J3" s="26"/>
      <c r="K3" s="26"/>
      <c r="L3" s="26"/>
      <c r="M3" s="26"/>
      <c r="N3" s="44"/>
      <c r="O3" s="26"/>
      <c r="P3" s="26"/>
    </row>
    <row r="4" spans="1:16" s="8" customFormat="1">
      <c r="A4" s="176" t="s">
        <v>8</v>
      </c>
      <c r="B4" s="176"/>
      <c r="C4" s="89" t="str">
        <f>E6</f>
        <v>01-101140</v>
      </c>
      <c r="D4" s="26" t="s">
        <v>9</v>
      </c>
      <c r="E4" s="27" t="s">
        <v>14</v>
      </c>
      <c r="F4" s="26" t="s">
        <v>10</v>
      </c>
      <c r="G4" s="13" t="str">
        <f>G6</f>
        <v>Maxwell Mercury_L10 Compute Tray Assy_MGX-OCP, Micron, without NVIDIA Group A</v>
      </c>
      <c r="H4" s="26"/>
      <c r="I4" s="26"/>
      <c r="J4" s="26"/>
      <c r="K4" s="26"/>
      <c r="L4" s="26"/>
      <c r="M4" s="26"/>
      <c r="N4" s="44"/>
      <c r="O4" s="26"/>
      <c r="P4" s="26"/>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 t="shared" ref="A6:A73" si="0">ROW(A6)-5</f>
        <v>1</v>
      </c>
      <c r="B6" s="49" t="s">
        <v>36</v>
      </c>
      <c r="C6" s="52" t="s">
        <v>666</v>
      </c>
      <c r="D6" s="11" t="s">
        <v>17</v>
      </c>
      <c r="E6" s="91" t="s">
        <v>672</v>
      </c>
      <c r="F6" s="11" t="s">
        <v>14</v>
      </c>
      <c r="G6" s="13" t="s">
        <v>687</v>
      </c>
      <c r="H6" s="11" t="s">
        <v>20</v>
      </c>
      <c r="I6" s="52" t="str">
        <f>C6</f>
        <v>1A72D1G00-600-GNA</v>
      </c>
      <c r="J6" s="11" t="s">
        <v>14</v>
      </c>
      <c r="K6" s="11">
        <v>1</v>
      </c>
      <c r="L6" s="11" t="s">
        <v>800</v>
      </c>
      <c r="M6" s="11" t="s">
        <v>30</v>
      </c>
      <c r="N6" s="45"/>
      <c r="O6" s="11" t="s">
        <v>14</v>
      </c>
      <c r="P6" s="11" t="s">
        <v>802</v>
      </c>
    </row>
    <row r="7" spans="1:16" ht="62">
      <c r="A7" s="123">
        <f t="shared" si="0"/>
        <v>2</v>
      </c>
      <c r="B7" s="124" t="s">
        <v>29</v>
      </c>
      <c r="C7" s="125" t="s">
        <v>218</v>
      </c>
      <c r="D7" s="123" t="s">
        <v>17</v>
      </c>
      <c r="E7" s="126" t="s">
        <v>34</v>
      </c>
      <c r="F7" s="123" t="s">
        <v>14</v>
      </c>
      <c r="G7" s="127" t="s">
        <v>189</v>
      </c>
      <c r="H7" s="123" t="s">
        <v>40</v>
      </c>
      <c r="I7" s="128" t="s">
        <v>216</v>
      </c>
      <c r="J7" s="123" t="s">
        <v>14</v>
      </c>
      <c r="K7" s="123">
        <v>1</v>
      </c>
      <c r="L7" s="128" t="s">
        <v>800</v>
      </c>
      <c r="M7" s="128" t="s">
        <v>30</v>
      </c>
      <c r="N7" s="129" t="s">
        <v>460</v>
      </c>
      <c r="O7" s="123" t="s">
        <v>42</v>
      </c>
      <c r="P7" s="123" t="s">
        <v>803</v>
      </c>
    </row>
    <row r="8" spans="1:16" ht="62">
      <c r="A8" s="123">
        <f t="shared" si="0"/>
        <v>3</v>
      </c>
      <c r="B8" s="124" t="s">
        <v>37</v>
      </c>
      <c r="C8" s="125" t="s">
        <v>343</v>
      </c>
      <c r="D8" s="123" t="s">
        <v>17</v>
      </c>
      <c r="E8" s="126" t="s">
        <v>34</v>
      </c>
      <c r="F8" s="123" t="s">
        <v>14</v>
      </c>
      <c r="G8" s="127" t="s">
        <v>232</v>
      </c>
      <c r="H8" s="123" t="s">
        <v>40</v>
      </c>
      <c r="I8" s="125" t="s">
        <v>344</v>
      </c>
      <c r="J8" s="123" t="s">
        <v>14</v>
      </c>
      <c r="K8" s="123">
        <v>2</v>
      </c>
      <c r="L8" s="128" t="s">
        <v>800</v>
      </c>
      <c r="M8" s="128" t="s">
        <v>30</v>
      </c>
      <c r="N8" s="129" t="s">
        <v>685</v>
      </c>
      <c r="O8" s="123" t="s">
        <v>42</v>
      </c>
      <c r="P8" s="123" t="s">
        <v>803</v>
      </c>
    </row>
    <row r="9" spans="1:16" ht="31">
      <c r="A9" s="123">
        <f t="shared" si="0"/>
        <v>4</v>
      </c>
      <c r="B9" s="124" t="s">
        <v>117</v>
      </c>
      <c r="C9" s="123" t="s">
        <v>313</v>
      </c>
      <c r="D9" s="130" t="s">
        <v>30</v>
      </c>
      <c r="E9" s="126" t="s">
        <v>594</v>
      </c>
      <c r="F9" s="123" t="s">
        <v>14</v>
      </c>
      <c r="G9" s="127" t="s">
        <v>58</v>
      </c>
      <c r="H9" s="123" t="s">
        <v>40</v>
      </c>
      <c r="I9" s="128" t="s">
        <v>309</v>
      </c>
      <c r="J9" s="130" t="s">
        <v>30</v>
      </c>
      <c r="K9" s="123">
        <v>2</v>
      </c>
      <c r="L9" s="128" t="s">
        <v>800</v>
      </c>
      <c r="M9" s="128" t="s">
        <v>30</v>
      </c>
      <c r="N9" s="129" t="s">
        <v>505</v>
      </c>
      <c r="O9" s="123" t="s">
        <v>41</v>
      </c>
      <c r="P9" s="123" t="s">
        <v>803</v>
      </c>
    </row>
    <row r="10" spans="1:16" ht="46.5">
      <c r="A10" s="123">
        <f t="shared" si="0"/>
        <v>5</v>
      </c>
      <c r="B10" s="124" t="s">
        <v>118</v>
      </c>
      <c r="C10" s="128" t="s">
        <v>219</v>
      </c>
      <c r="D10" s="130" t="s">
        <v>30</v>
      </c>
      <c r="E10" s="126" t="s">
        <v>595</v>
      </c>
      <c r="F10" s="123" t="s">
        <v>14</v>
      </c>
      <c r="G10" s="127" t="s">
        <v>59</v>
      </c>
      <c r="H10" s="123" t="s">
        <v>40</v>
      </c>
      <c r="I10" s="128" t="s">
        <v>217</v>
      </c>
      <c r="J10" s="130" t="s">
        <v>30</v>
      </c>
      <c r="K10" s="123">
        <v>1</v>
      </c>
      <c r="L10" s="128" t="s">
        <v>800</v>
      </c>
      <c r="M10" s="128" t="s">
        <v>30</v>
      </c>
      <c r="N10" s="129" t="s">
        <v>329</v>
      </c>
      <c r="O10" s="123" t="s">
        <v>41</v>
      </c>
      <c r="P10" s="123"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225</v>
      </c>
      <c r="D14" s="56" t="s">
        <v>30</v>
      </c>
      <c r="E14" s="91" t="s">
        <v>468</v>
      </c>
      <c r="F14" s="11" t="s">
        <v>14</v>
      </c>
      <c r="G14" s="13" t="s">
        <v>188</v>
      </c>
      <c r="H14" s="11" t="s">
        <v>138</v>
      </c>
      <c r="I14" s="11" t="s">
        <v>145</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 t="shared" si="0"/>
        <v>14</v>
      </c>
      <c r="B19" s="58" t="s">
        <v>174</v>
      </c>
      <c r="C19" s="68" t="s">
        <v>151</v>
      </c>
      <c r="D19" s="61" t="s">
        <v>14</v>
      </c>
      <c r="E19" s="91" t="s">
        <v>526</v>
      </c>
      <c r="F19" s="11" t="s">
        <v>14</v>
      </c>
      <c r="G19" s="13" t="s">
        <v>532</v>
      </c>
      <c r="H19" s="11" t="s">
        <v>51</v>
      </c>
      <c r="I19" s="68" t="s">
        <v>151</v>
      </c>
      <c r="J19" s="11" t="s">
        <v>30</v>
      </c>
      <c r="K19" s="11">
        <v>1</v>
      </c>
      <c r="L19" s="11" t="s">
        <v>800</v>
      </c>
      <c r="M19" s="11" t="s">
        <v>30</v>
      </c>
      <c r="N19" s="64" t="s">
        <v>530</v>
      </c>
      <c r="O19" s="11" t="s">
        <v>159</v>
      </c>
      <c r="P19" s="11" t="s">
        <v>802</v>
      </c>
    </row>
    <row r="20" spans="1:16">
      <c r="A20" s="11">
        <f t="shared" si="0"/>
        <v>15</v>
      </c>
      <c r="B20" s="58" t="s">
        <v>131</v>
      </c>
      <c r="C20" s="11" t="s">
        <v>152</v>
      </c>
      <c r="D20" s="11" t="s">
        <v>14</v>
      </c>
      <c r="E20" s="91" t="s">
        <v>477</v>
      </c>
      <c r="F20" s="11" t="s">
        <v>14</v>
      </c>
      <c r="G20" s="13" t="s">
        <v>183</v>
      </c>
      <c r="H20" s="11" t="s">
        <v>51</v>
      </c>
      <c r="I20" s="11" t="str">
        <f>C20</f>
        <v>1A72BTD00-600-G</v>
      </c>
      <c r="J20" s="11" t="s">
        <v>14</v>
      </c>
      <c r="K20" s="11">
        <v>1</v>
      </c>
      <c r="L20" s="11" t="s">
        <v>800</v>
      </c>
      <c r="M20" s="11" t="s">
        <v>30</v>
      </c>
      <c r="N20" s="45" t="s">
        <v>304</v>
      </c>
      <c r="O20" s="11" t="s">
        <v>41</v>
      </c>
      <c r="P20" s="11" t="s">
        <v>802</v>
      </c>
    </row>
    <row r="21" spans="1:16">
      <c r="A21" s="11">
        <f t="shared" si="0"/>
        <v>16</v>
      </c>
      <c r="B21" s="58" t="s">
        <v>175</v>
      </c>
      <c r="C21" s="24" t="s">
        <v>162</v>
      </c>
      <c r="D21" s="11" t="s">
        <v>14</v>
      </c>
      <c r="E21" s="91" t="s">
        <v>473</v>
      </c>
      <c r="F21" s="11" t="s">
        <v>14</v>
      </c>
      <c r="G21" s="43" t="s">
        <v>161</v>
      </c>
      <c r="H21" s="11" t="s">
        <v>51</v>
      </c>
      <c r="I21" s="11" t="s">
        <v>162</v>
      </c>
      <c r="J21" s="11" t="s">
        <v>14</v>
      </c>
      <c r="K21" s="11">
        <v>1</v>
      </c>
      <c r="L21" s="11" t="s">
        <v>800</v>
      </c>
      <c r="M21" s="11" t="s">
        <v>30</v>
      </c>
      <c r="N21" s="45" t="s">
        <v>304</v>
      </c>
      <c r="O21" s="11" t="s">
        <v>41</v>
      </c>
      <c r="P21" s="11" t="s">
        <v>802</v>
      </c>
    </row>
    <row r="22" spans="1:16">
      <c r="A22" s="11">
        <f t="shared" si="0"/>
        <v>17</v>
      </c>
      <c r="B22" s="58" t="s">
        <v>310</v>
      </c>
      <c r="C22" s="24"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308</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23">
        <f t="shared" si="0"/>
        <v>19</v>
      </c>
      <c r="B24" s="131" t="s">
        <v>279</v>
      </c>
      <c r="C24" s="128" t="s">
        <v>278</v>
      </c>
      <c r="D24" s="123" t="s">
        <v>30</v>
      </c>
      <c r="E24" s="132" t="s">
        <v>593</v>
      </c>
      <c r="F24" s="123" t="s">
        <v>30</v>
      </c>
      <c r="G24" s="133" t="s">
        <v>276</v>
      </c>
      <c r="H24" s="123" t="s">
        <v>274</v>
      </c>
      <c r="I24" s="123" t="s">
        <v>275</v>
      </c>
      <c r="J24" s="123" t="s">
        <v>14</v>
      </c>
      <c r="K24" s="123">
        <v>2</v>
      </c>
      <c r="L24" s="128" t="s">
        <v>800</v>
      </c>
      <c r="M24" s="128" t="s">
        <v>30</v>
      </c>
      <c r="N24" s="134" t="s">
        <v>277</v>
      </c>
      <c r="O24" s="123" t="s">
        <v>273</v>
      </c>
      <c r="P24" s="123" t="s">
        <v>803</v>
      </c>
    </row>
    <row r="25" spans="1:16">
      <c r="A25" s="11">
        <f t="shared" si="0"/>
        <v>20</v>
      </c>
      <c r="B25" s="58" t="s">
        <v>280</v>
      </c>
      <c r="C25" s="24" t="s">
        <v>330</v>
      </c>
      <c r="D25" s="11" t="s">
        <v>14</v>
      </c>
      <c r="E25" s="91" t="s">
        <v>478</v>
      </c>
      <c r="F25" s="11" t="s">
        <v>14</v>
      </c>
      <c r="G25" s="43" t="s">
        <v>287</v>
      </c>
      <c r="H25" s="52" t="s">
        <v>418</v>
      </c>
      <c r="I25" s="65" t="s">
        <v>330</v>
      </c>
      <c r="J25" s="11" t="s">
        <v>14</v>
      </c>
      <c r="K25" s="11">
        <v>1</v>
      </c>
      <c r="L25" s="11" t="s">
        <v>800</v>
      </c>
      <c r="M25" s="11" t="s">
        <v>30</v>
      </c>
      <c r="N25" s="45" t="s">
        <v>331</v>
      </c>
      <c r="O25" s="11" t="s">
        <v>44</v>
      </c>
      <c r="P25" s="11" t="s">
        <v>802</v>
      </c>
    </row>
    <row r="26" spans="1:16">
      <c r="A26" s="11">
        <f t="shared" si="0"/>
        <v>21</v>
      </c>
      <c r="B26" s="58" t="s">
        <v>281</v>
      </c>
      <c r="C26" s="24" t="s">
        <v>286</v>
      </c>
      <c r="D26" s="11" t="s">
        <v>14</v>
      </c>
      <c r="E26" s="91" t="s">
        <v>34</v>
      </c>
      <c r="F26" s="11" t="s">
        <v>14</v>
      </c>
      <c r="G26" s="66" t="s">
        <v>285</v>
      </c>
      <c r="H26" s="52" t="s">
        <v>418</v>
      </c>
      <c r="I26" s="11" t="s">
        <v>286</v>
      </c>
      <c r="J26" s="11" t="s">
        <v>14</v>
      </c>
      <c r="K26" s="11">
        <v>3</v>
      </c>
      <c r="L26" s="11" t="s">
        <v>800</v>
      </c>
      <c r="M26" s="11" t="s">
        <v>30</v>
      </c>
      <c r="N26" s="45" t="s">
        <v>284</v>
      </c>
      <c r="O26" s="11" t="s">
        <v>44</v>
      </c>
      <c r="P26" s="11" t="s">
        <v>802</v>
      </c>
    </row>
    <row r="27" spans="1:16">
      <c r="A27" s="11">
        <f t="shared" si="0"/>
        <v>22</v>
      </c>
      <c r="B27" s="58"/>
      <c r="C27" s="55" t="s">
        <v>408</v>
      </c>
      <c r="D27" s="11" t="s">
        <v>14</v>
      </c>
      <c r="E27" s="91" t="s">
        <v>34</v>
      </c>
      <c r="F27" s="11" t="s">
        <v>14</v>
      </c>
      <c r="G27" s="43" t="s">
        <v>405</v>
      </c>
      <c r="H27" s="52" t="s">
        <v>406</v>
      </c>
      <c r="I27" s="55" t="s">
        <v>407</v>
      </c>
      <c r="J27" s="11" t="s">
        <v>14</v>
      </c>
      <c r="K27" s="11"/>
      <c r="L27" s="11" t="s">
        <v>800</v>
      </c>
      <c r="M27" s="11" t="s">
        <v>30</v>
      </c>
      <c r="N27" s="45" t="s">
        <v>284</v>
      </c>
      <c r="O27" s="11" t="s">
        <v>44</v>
      </c>
      <c r="P27" s="11" t="s">
        <v>802</v>
      </c>
    </row>
    <row r="28" spans="1:16">
      <c r="A28" s="11">
        <f t="shared" si="0"/>
        <v>23</v>
      </c>
      <c r="B28" s="58" t="s">
        <v>409</v>
      </c>
      <c r="C28" s="55" t="s">
        <v>506</v>
      </c>
      <c r="D28" s="11" t="s">
        <v>14</v>
      </c>
      <c r="E28" s="91" t="s">
        <v>34</v>
      </c>
      <c r="F28" s="11" t="s">
        <v>14</v>
      </c>
      <c r="G28" s="66" t="s">
        <v>507</v>
      </c>
      <c r="H28" s="52" t="s">
        <v>418</v>
      </c>
      <c r="I28" s="55" t="s">
        <v>506</v>
      </c>
      <c r="J28" s="11" t="s">
        <v>14</v>
      </c>
      <c r="K28" s="11">
        <v>4</v>
      </c>
      <c r="L28" s="11" t="s">
        <v>800</v>
      </c>
      <c r="M28" s="11" t="s">
        <v>30</v>
      </c>
      <c r="N28" s="45" t="s">
        <v>515</v>
      </c>
      <c r="O28" s="11" t="s">
        <v>44</v>
      </c>
      <c r="P28" s="11" t="s">
        <v>802</v>
      </c>
    </row>
    <row r="29" spans="1:16">
      <c r="A29" s="11">
        <f t="shared" si="0"/>
        <v>24</v>
      </c>
      <c r="B29" s="58"/>
      <c r="C29" s="55" t="s">
        <v>508</v>
      </c>
      <c r="D29" s="11" t="s">
        <v>14</v>
      </c>
      <c r="E29" s="9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0"/>
        <v>25</v>
      </c>
      <c r="B30" s="58"/>
      <c r="C30" s="55" t="s">
        <v>509</v>
      </c>
      <c r="D30" s="11" t="s">
        <v>14</v>
      </c>
      <c r="E30" s="9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9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91" t="s">
        <v>34</v>
      </c>
      <c r="F32" s="11" t="s">
        <v>14</v>
      </c>
      <c r="G32" s="43" t="s">
        <v>316</v>
      </c>
      <c r="H32" s="52" t="s">
        <v>418</v>
      </c>
      <c r="I32" s="24" t="s">
        <v>290</v>
      </c>
      <c r="J32" s="11" t="s">
        <v>14</v>
      </c>
      <c r="K32" s="11">
        <v>8</v>
      </c>
      <c r="L32" s="11" t="s">
        <v>800</v>
      </c>
      <c r="M32" s="11" t="s">
        <v>30</v>
      </c>
      <c r="N32" s="45" t="s">
        <v>289</v>
      </c>
      <c r="O32" s="11" t="s">
        <v>44</v>
      </c>
      <c r="P32" s="11" t="s">
        <v>802</v>
      </c>
    </row>
    <row r="33" spans="1:16">
      <c r="A33" s="11">
        <f t="shared" si="0"/>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46</v>
      </c>
      <c r="C34" s="24" t="s">
        <v>333</v>
      </c>
      <c r="D34" s="11" t="s">
        <v>14</v>
      </c>
      <c r="E34" s="91" t="s">
        <v>34</v>
      </c>
      <c r="F34" s="11" t="s">
        <v>14</v>
      </c>
      <c r="G34" s="43" t="s">
        <v>314</v>
      </c>
      <c r="H34" s="52" t="s">
        <v>418</v>
      </c>
      <c r="I34" s="67" t="s">
        <v>333</v>
      </c>
      <c r="J34" s="11" t="s">
        <v>14</v>
      </c>
      <c r="K34" s="11">
        <v>1</v>
      </c>
      <c r="L34" s="11" t="s">
        <v>800</v>
      </c>
      <c r="M34" s="11" t="s">
        <v>30</v>
      </c>
      <c r="N34" s="45" t="s">
        <v>332</v>
      </c>
      <c r="O34" s="11" t="s">
        <v>44</v>
      </c>
      <c r="P34" s="11" t="s">
        <v>802</v>
      </c>
    </row>
    <row r="35" spans="1:16">
      <c r="A35" s="11">
        <f t="shared" si="0"/>
        <v>30</v>
      </c>
      <c r="B35" s="58" t="s">
        <v>47</v>
      </c>
      <c r="C35" s="24" t="s">
        <v>548</v>
      </c>
      <c r="D35" s="11" t="s">
        <v>14</v>
      </c>
      <c r="E35" s="91" t="s">
        <v>34</v>
      </c>
      <c r="F35" s="11" t="s">
        <v>14</v>
      </c>
      <c r="G35" s="43" t="s">
        <v>334</v>
      </c>
      <c r="H35" s="52" t="s">
        <v>418</v>
      </c>
      <c r="I35" s="67" t="s">
        <v>335</v>
      </c>
      <c r="J35" s="11" t="s">
        <v>14</v>
      </c>
      <c r="K35" s="52">
        <v>2</v>
      </c>
      <c r="L35" s="11" t="s">
        <v>800</v>
      </c>
      <c r="M35" s="11" t="s">
        <v>30</v>
      </c>
      <c r="N35" s="45" t="s">
        <v>336</v>
      </c>
      <c r="O35" s="11" t="s">
        <v>44</v>
      </c>
      <c r="P35" s="11" t="s">
        <v>802</v>
      </c>
    </row>
    <row r="36" spans="1:16">
      <c r="A36" s="11">
        <f t="shared" si="0"/>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9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9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55" t="s">
        <v>398</v>
      </c>
      <c r="D39" s="11" t="s">
        <v>14</v>
      </c>
      <c r="E39" s="91" t="s">
        <v>34</v>
      </c>
      <c r="F39" s="11" t="s">
        <v>14</v>
      </c>
      <c r="G39" s="43" t="s">
        <v>299</v>
      </c>
      <c r="H39" s="52" t="s">
        <v>418</v>
      </c>
      <c r="I39" s="55" t="s">
        <v>398</v>
      </c>
      <c r="J39" s="11" t="s">
        <v>14</v>
      </c>
      <c r="K39" s="11">
        <v>64</v>
      </c>
      <c r="L39" s="11" t="s">
        <v>800</v>
      </c>
      <c r="M39" s="11" t="s">
        <v>30</v>
      </c>
      <c r="N39" s="45" t="s">
        <v>296</v>
      </c>
      <c r="O39" s="11" t="s">
        <v>44</v>
      </c>
      <c r="P39" s="11" t="s">
        <v>802</v>
      </c>
    </row>
    <row r="40" spans="1:16">
      <c r="A40" s="11">
        <f t="shared" si="0"/>
        <v>35</v>
      </c>
      <c r="B40" s="58"/>
      <c r="C40" s="55" t="s">
        <v>400</v>
      </c>
      <c r="D40" s="11" t="s">
        <v>14</v>
      </c>
      <c r="E40" s="91" t="s">
        <v>34</v>
      </c>
      <c r="F40" s="11" t="s">
        <v>14</v>
      </c>
      <c r="G40" s="43" t="s">
        <v>415</v>
      </c>
      <c r="H40" s="52" t="s">
        <v>401</v>
      </c>
      <c r="I40" s="55" t="s">
        <v>402</v>
      </c>
      <c r="J40" s="11" t="s">
        <v>14</v>
      </c>
      <c r="K40" s="11"/>
      <c r="L40" s="11" t="s">
        <v>800</v>
      </c>
      <c r="M40" s="11" t="s">
        <v>30</v>
      </c>
      <c r="N40" s="45" t="s">
        <v>296</v>
      </c>
      <c r="O40" s="11" t="s">
        <v>44</v>
      </c>
      <c r="P40" s="11" t="s">
        <v>802</v>
      </c>
    </row>
    <row r="41" spans="1:16">
      <c r="A41" s="11">
        <f t="shared" si="0"/>
        <v>36</v>
      </c>
      <c r="B41" s="58" t="s">
        <v>412</v>
      </c>
      <c r="C41" s="55" t="s">
        <v>399</v>
      </c>
      <c r="D41" s="11" t="s">
        <v>14</v>
      </c>
      <c r="E41" s="91" t="s">
        <v>34</v>
      </c>
      <c r="F41" s="11" t="s">
        <v>14</v>
      </c>
      <c r="G41" s="13" t="s">
        <v>298</v>
      </c>
      <c r="H41" s="52" t="s">
        <v>418</v>
      </c>
      <c r="I41" s="55" t="s">
        <v>399</v>
      </c>
      <c r="J41" s="11" t="s">
        <v>14</v>
      </c>
      <c r="K41" s="11">
        <v>64</v>
      </c>
      <c r="L41" s="11" t="s">
        <v>800</v>
      </c>
      <c r="M41" s="11" t="s">
        <v>30</v>
      </c>
      <c r="N41" s="45" t="s">
        <v>297</v>
      </c>
      <c r="O41" s="11" t="s">
        <v>44</v>
      </c>
      <c r="P41" s="11" t="s">
        <v>802</v>
      </c>
    </row>
    <row r="42" spans="1:16">
      <c r="A42" s="11">
        <f t="shared" si="0"/>
        <v>37</v>
      </c>
      <c r="B42" s="58"/>
      <c r="C42" s="55" t="s">
        <v>404</v>
      </c>
      <c r="D42" s="11" t="s">
        <v>14</v>
      </c>
      <c r="E42" s="9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91" t="s">
        <v>34</v>
      </c>
      <c r="F43" s="11" t="s">
        <v>14</v>
      </c>
      <c r="G43" s="66"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91" t="s">
        <v>34</v>
      </c>
      <c r="F44" s="11" t="s">
        <v>14</v>
      </c>
      <c r="G44" s="66"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91" t="s">
        <v>34</v>
      </c>
      <c r="F45" s="11" t="s">
        <v>14</v>
      </c>
      <c r="G45" s="66"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91" t="s">
        <v>34</v>
      </c>
      <c r="F46" s="11" t="s">
        <v>14</v>
      </c>
      <c r="G46" s="66"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91" t="s">
        <v>34</v>
      </c>
      <c r="F47" s="11" t="s">
        <v>14</v>
      </c>
      <c r="G47" s="66"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91" t="s">
        <v>34</v>
      </c>
      <c r="F48" s="11" t="s">
        <v>14</v>
      </c>
      <c r="G48" s="66" t="s">
        <v>634</v>
      </c>
      <c r="H48" s="52" t="s">
        <v>538</v>
      </c>
      <c r="I48" s="52" t="s">
        <v>632</v>
      </c>
      <c r="J48" s="11" t="s">
        <v>14</v>
      </c>
      <c r="K48" s="11"/>
      <c r="L48" s="11" t="s">
        <v>800</v>
      </c>
      <c r="M48" s="11" t="s">
        <v>30</v>
      </c>
      <c r="N48" s="45" t="s">
        <v>524</v>
      </c>
      <c r="O48" s="11" t="s">
        <v>44</v>
      </c>
      <c r="P48" s="11" t="s">
        <v>802</v>
      </c>
    </row>
    <row r="49" spans="1:47">
      <c r="A49" s="11">
        <f t="shared" si="0"/>
        <v>44</v>
      </c>
      <c r="B49" s="58" t="s">
        <v>745</v>
      </c>
      <c r="C49" s="55" t="s">
        <v>747</v>
      </c>
      <c r="D49" s="11" t="s">
        <v>14</v>
      </c>
      <c r="E49" s="91" t="s">
        <v>34</v>
      </c>
      <c r="F49" s="11" t="s">
        <v>14</v>
      </c>
      <c r="G49" s="66" t="s">
        <v>744</v>
      </c>
      <c r="H49" s="55" t="s">
        <v>743</v>
      </c>
      <c r="I49" s="55" t="s">
        <v>747</v>
      </c>
      <c r="J49" s="11" t="s">
        <v>14</v>
      </c>
      <c r="K49" s="11">
        <v>1</v>
      </c>
      <c r="L49" s="11" t="s">
        <v>800</v>
      </c>
      <c r="M49" s="11" t="s">
        <v>30</v>
      </c>
      <c r="N49" s="45"/>
      <c r="O49" s="11" t="s">
        <v>44</v>
      </c>
      <c r="P49" s="11" t="s">
        <v>802</v>
      </c>
    </row>
    <row r="50" spans="1:47">
      <c r="A50" s="11">
        <f t="shared" si="0"/>
        <v>45</v>
      </c>
      <c r="B50" s="58" t="s">
        <v>746</v>
      </c>
      <c r="C50" s="55" t="s">
        <v>751</v>
      </c>
      <c r="D50" s="11" t="s">
        <v>14</v>
      </c>
      <c r="E50" s="91" t="s">
        <v>34</v>
      </c>
      <c r="F50" s="11" t="s">
        <v>14</v>
      </c>
      <c r="G50" s="66" t="s">
        <v>748</v>
      </c>
      <c r="H50" s="52" t="s">
        <v>749</v>
      </c>
      <c r="I50" s="55" t="s">
        <v>750</v>
      </c>
      <c r="J50" s="11" t="s">
        <v>14</v>
      </c>
      <c r="K50" s="11">
        <v>4</v>
      </c>
      <c r="L50" s="11" t="s">
        <v>800</v>
      </c>
      <c r="M50" s="11" t="s">
        <v>30</v>
      </c>
      <c r="N50" s="45"/>
      <c r="O50" s="11" t="s">
        <v>44</v>
      </c>
      <c r="P50" s="11" t="s">
        <v>802</v>
      </c>
    </row>
    <row r="51" spans="1:47">
      <c r="A51" s="11">
        <f t="shared" si="0"/>
        <v>46</v>
      </c>
      <c r="B51" s="58" t="s">
        <v>302</v>
      </c>
      <c r="C51" s="11" t="s">
        <v>789</v>
      </c>
      <c r="D51" s="11" t="s">
        <v>14</v>
      </c>
      <c r="E51" s="91" t="s">
        <v>34</v>
      </c>
      <c r="F51" s="11" t="s">
        <v>14</v>
      </c>
      <c r="G51" s="66" t="s">
        <v>786</v>
      </c>
      <c r="H51" s="52" t="s">
        <v>787</v>
      </c>
      <c r="I51" s="55" t="s">
        <v>785</v>
      </c>
      <c r="J51" s="11" t="s">
        <v>14</v>
      </c>
      <c r="K51" s="11">
        <v>1</v>
      </c>
      <c r="L51" s="11" t="s">
        <v>800</v>
      </c>
      <c r="M51" s="11" t="s">
        <v>30</v>
      </c>
      <c r="N51" s="45"/>
      <c r="O51" s="11" t="s">
        <v>44</v>
      </c>
      <c r="P51" s="11" t="s">
        <v>802</v>
      </c>
    </row>
    <row r="52" spans="1:47" s="206" customFormat="1">
      <c r="A52" s="200">
        <f t="shared" si="0"/>
        <v>47</v>
      </c>
      <c r="B52" s="201" t="s">
        <v>555</v>
      </c>
      <c r="C52" s="202" t="s">
        <v>211</v>
      </c>
      <c r="D52" s="200" t="s">
        <v>30</v>
      </c>
      <c r="E52" s="203" t="s">
        <v>527</v>
      </c>
      <c r="F52" s="200" t="s">
        <v>14</v>
      </c>
      <c r="G52" s="204" t="s">
        <v>209</v>
      </c>
      <c r="H52" s="200" t="s">
        <v>210</v>
      </c>
      <c r="I52" s="202" t="s">
        <v>213</v>
      </c>
      <c r="J52" s="200" t="s">
        <v>30</v>
      </c>
      <c r="K52" s="200">
        <v>8</v>
      </c>
      <c r="L52" s="200" t="s">
        <v>800</v>
      </c>
      <c r="M52" s="200" t="s">
        <v>30</v>
      </c>
      <c r="N52" s="205"/>
      <c r="O52" s="200" t="s">
        <v>50</v>
      </c>
      <c r="P52" s="200" t="s">
        <v>803</v>
      </c>
    </row>
    <row r="53" spans="1:47" s="206" customFormat="1">
      <c r="A53" s="200">
        <f t="shared" si="0"/>
        <v>48</v>
      </c>
      <c r="B53" s="201"/>
      <c r="C53" s="202" t="s">
        <v>212</v>
      </c>
      <c r="D53" s="200" t="s">
        <v>30</v>
      </c>
      <c r="E53" s="203" t="s">
        <v>527</v>
      </c>
      <c r="F53" s="200" t="s">
        <v>14</v>
      </c>
      <c r="G53" s="207" t="s">
        <v>209</v>
      </c>
      <c r="H53" s="200" t="s">
        <v>57</v>
      </c>
      <c r="I53" s="202" t="s">
        <v>214</v>
      </c>
      <c r="J53" s="200" t="s">
        <v>30</v>
      </c>
      <c r="K53" s="200"/>
      <c r="L53" s="200" t="s">
        <v>800</v>
      </c>
      <c r="M53" s="200" t="s">
        <v>30</v>
      </c>
      <c r="N53" s="205"/>
      <c r="O53" s="200" t="s">
        <v>50</v>
      </c>
      <c r="P53" s="200" t="s">
        <v>803</v>
      </c>
    </row>
    <row r="54" spans="1:47" s="39" customFormat="1" ht="14.5">
      <c r="A54" s="128">
        <f t="shared" si="0"/>
        <v>49</v>
      </c>
      <c r="B54" s="135" t="s">
        <v>556</v>
      </c>
      <c r="C54" s="128" t="s">
        <v>456</v>
      </c>
      <c r="D54" s="136" t="s">
        <v>30</v>
      </c>
      <c r="E54" s="126" t="s">
        <v>528</v>
      </c>
      <c r="F54" s="128" t="s">
        <v>14</v>
      </c>
      <c r="G54" s="127" t="s">
        <v>424</v>
      </c>
      <c r="H54" s="125" t="s">
        <v>464</v>
      </c>
      <c r="I54" s="125" t="s">
        <v>456</v>
      </c>
      <c r="J54" s="128" t="s">
        <v>30</v>
      </c>
      <c r="K54" s="128">
        <v>1</v>
      </c>
      <c r="L54" s="128" t="s">
        <v>800</v>
      </c>
      <c r="M54" s="128" t="s">
        <v>30</v>
      </c>
      <c r="N54" s="137"/>
      <c r="O54" s="128" t="s">
        <v>50</v>
      </c>
      <c r="P54" s="128" t="s">
        <v>802</v>
      </c>
    </row>
    <row r="55" spans="1:47" s="39" customFormat="1" ht="14.5">
      <c r="A55" s="128">
        <f t="shared" si="0"/>
        <v>50</v>
      </c>
      <c r="B55" s="135"/>
      <c r="C55" s="128" t="s">
        <v>462</v>
      </c>
      <c r="D55" s="136" t="s">
        <v>30</v>
      </c>
      <c r="E55" s="126" t="s">
        <v>528</v>
      </c>
      <c r="F55" s="128" t="s">
        <v>14</v>
      </c>
      <c r="G55" s="127" t="s">
        <v>425</v>
      </c>
      <c r="H55" s="125" t="s">
        <v>464</v>
      </c>
      <c r="I55" s="125" t="s">
        <v>462</v>
      </c>
      <c r="J55" s="128" t="s">
        <v>30</v>
      </c>
      <c r="K55" s="128"/>
      <c r="L55" s="128" t="s">
        <v>800</v>
      </c>
      <c r="M55" s="128" t="s">
        <v>30</v>
      </c>
      <c r="N55" s="137"/>
      <c r="O55" s="128" t="s">
        <v>50</v>
      </c>
      <c r="P55" s="128" t="s">
        <v>802</v>
      </c>
    </row>
    <row r="56" spans="1:47" s="39" customFormat="1" ht="14.5">
      <c r="A56" s="128">
        <f t="shared" si="0"/>
        <v>51</v>
      </c>
      <c r="B56" s="135"/>
      <c r="C56" s="128" t="s">
        <v>463</v>
      </c>
      <c r="D56" s="136" t="s">
        <v>30</v>
      </c>
      <c r="E56" s="126" t="s">
        <v>528</v>
      </c>
      <c r="F56" s="128" t="s">
        <v>14</v>
      </c>
      <c r="G56" s="127" t="s">
        <v>465</v>
      </c>
      <c r="H56" s="125" t="s">
        <v>464</v>
      </c>
      <c r="I56" s="125" t="s">
        <v>463</v>
      </c>
      <c r="J56" s="128" t="s">
        <v>30</v>
      </c>
      <c r="K56" s="128"/>
      <c r="L56" s="128" t="s">
        <v>800</v>
      </c>
      <c r="M56" s="128" t="s">
        <v>30</v>
      </c>
      <c r="N56" s="137"/>
      <c r="O56" s="128" t="s">
        <v>50</v>
      </c>
      <c r="P56" s="128" t="s">
        <v>802</v>
      </c>
    </row>
    <row r="57" spans="1:47" s="45" customFormat="1">
      <c r="A57" s="128">
        <f t="shared" si="0"/>
        <v>52</v>
      </c>
      <c r="B57" s="135"/>
      <c r="C57" s="128" t="s">
        <v>775</v>
      </c>
      <c r="D57" s="136" t="s">
        <v>30</v>
      </c>
      <c r="E57" s="126" t="s">
        <v>528</v>
      </c>
      <c r="F57" s="128" t="s">
        <v>14</v>
      </c>
      <c r="G57" s="127" t="s">
        <v>726</v>
      </c>
      <c r="H57" s="125" t="s">
        <v>464</v>
      </c>
      <c r="I57" s="125" t="str">
        <f>C57</f>
        <v>TEMP-S000229174</v>
      </c>
      <c r="J57" s="128" t="s">
        <v>30</v>
      </c>
      <c r="K57" s="128"/>
      <c r="L57" s="128" t="s">
        <v>800</v>
      </c>
      <c r="M57" s="128" t="s">
        <v>30</v>
      </c>
      <c r="N57" s="137"/>
      <c r="O57" s="128" t="s">
        <v>50</v>
      </c>
      <c r="P57" s="128" t="s">
        <v>802</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row>
    <row r="58" spans="1:47" s="25" customFormat="1" ht="14.5">
      <c r="A58" s="128">
        <f t="shared" si="0"/>
        <v>53</v>
      </c>
      <c r="B58" s="135" t="s">
        <v>557</v>
      </c>
      <c r="C58" s="123" t="s">
        <v>383</v>
      </c>
      <c r="D58" s="123" t="s">
        <v>30</v>
      </c>
      <c r="E58" s="126" t="s">
        <v>34</v>
      </c>
      <c r="F58" s="123" t="s">
        <v>30</v>
      </c>
      <c r="G58" s="144" t="s">
        <v>312</v>
      </c>
      <c r="H58" s="123" t="s">
        <v>51</v>
      </c>
      <c r="I58" s="123" t="s">
        <v>383</v>
      </c>
      <c r="J58" s="145" t="s">
        <v>127</v>
      </c>
      <c r="K58" s="145">
        <v>1</v>
      </c>
      <c r="L58" s="128" t="s">
        <v>800</v>
      </c>
      <c r="M58" s="128" t="s">
        <v>30</v>
      </c>
      <c r="N58" s="123"/>
      <c r="O58" s="146" t="s">
        <v>50</v>
      </c>
      <c r="P58" s="128" t="s">
        <v>802</v>
      </c>
    </row>
    <row r="59" spans="1:47" s="17" customFormat="1">
      <c r="A59" s="11">
        <f t="shared" si="0"/>
        <v>54</v>
      </c>
      <c r="B59" s="47" t="s">
        <v>752</v>
      </c>
      <c r="C59" s="24" t="s">
        <v>249</v>
      </c>
      <c r="D59" s="11" t="s">
        <v>30</v>
      </c>
      <c r="E59" s="91" t="s">
        <v>479</v>
      </c>
      <c r="F59" s="11" t="s">
        <v>14</v>
      </c>
      <c r="G59" s="13" t="s">
        <v>267</v>
      </c>
      <c r="H59" s="11" t="s">
        <v>39</v>
      </c>
      <c r="I59" s="24" t="s">
        <v>233</v>
      </c>
      <c r="J59" s="11" t="s">
        <v>700</v>
      </c>
      <c r="K59" s="11">
        <v>1</v>
      </c>
      <c r="L59" s="11" t="s">
        <v>800</v>
      </c>
      <c r="M59" s="11" t="s">
        <v>30</v>
      </c>
      <c r="N59" s="70" t="s">
        <v>268</v>
      </c>
      <c r="O59" s="11" t="s">
        <v>45</v>
      </c>
      <c r="P59" s="11" t="s">
        <v>802</v>
      </c>
    </row>
    <row r="60" spans="1:47" s="17" customFormat="1">
      <c r="A60" s="11">
        <f t="shared" si="0"/>
        <v>55</v>
      </c>
      <c r="B60" s="47" t="s">
        <v>753</v>
      </c>
      <c r="C60" s="55" t="s">
        <v>796</v>
      </c>
      <c r="D60" s="11" t="s">
        <v>30</v>
      </c>
      <c r="E60" s="91" t="s">
        <v>480</v>
      </c>
      <c r="F60" s="11" t="s">
        <v>14</v>
      </c>
      <c r="G60" s="13" t="s">
        <v>797</v>
      </c>
      <c r="H60" s="11" t="s">
        <v>39</v>
      </c>
      <c r="I60" s="24" t="s">
        <v>234</v>
      </c>
      <c r="J60" s="52" t="s">
        <v>773</v>
      </c>
      <c r="K60" s="11">
        <v>1</v>
      </c>
      <c r="L60" s="11" t="s">
        <v>800</v>
      </c>
      <c r="M60" s="11" t="s">
        <v>30</v>
      </c>
      <c r="N60" s="48" t="s">
        <v>192</v>
      </c>
      <c r="O60" s="11" t="s">
        <v>45</v>
      </c>
      <c r="P60" s="11" t="s">
        <v>802</v>
      </c>
    </row>
    <row r="61" spans="1:47" s="17" customFormat="1">
      <c r="A61" s="11">
        <f t="shared" si="0"/>
        <v>56</v>
      </c>
      <c r="B61" s="47" t="s">
        <v>758</v>
      </c>
      <c r="C61" s="55" t="s">
        <v>769</v>
      </c>
      <c r="D61" s="11" t="s">
        <v>30</v>
      </c>
      <c r="E61" s="91" t="s">
        <v>481</v>
      </c>
      <c r="F61" s="11" t="s">
        <v>14</v>
      </c>
      <c r="G61" s="13" t="s">
        <v>772</v>
      </c>
      <c r="H61" s="11" t="s">
        <v>39</v>
      </c>
      <c r="I61" s="24" t="s">
        <v>235</v>
      </c>
      <c r="J61" s="52" t="s">
        <v>773</v>
      </c>
      <c r="K61" s="11">
        <v>1</v>
      </c>
      <c r="L61" s="11" t="s">
        <v>800</v>
      </c>
      <c r="M61" s="11" t="s">
        <v>30</v>
      </c>
      <c r="N61" s="48" t="s">
        <v>193</v>
      </c>
      <c r="O61" s="11" t="s">
        <v>45</v>
      </c>
      <c r="P61" s="11" t="s">
        <v>802</v>
      </c>
    </row>
    <row r="62" spans="1:47" s="17" customFormat="1">
      <c r="A62" s="11">
        <f t="shared" si="0"/>
        <v>57</v>
      </c>
      <c r="B62" s="47" t="s">
        <v>155</v>
      </c>
      <c r="C62" s="55" t="s">
        <v>770</v>
      </c>
      <c r="D62" s="11" t="s">
        <v>30</v>
      </c>
      <c r="E62" s="91" t="s">
        <v>482</v>
      </c>
      <c r="F62" s="11" t="s">
        <v>14</v>
      </c>
      <c r="G62" s="13" t="s">
        <v>771</v>
      </c>
      <c r="H62" s="11" t="s">
        <v>39</v>
      </c>
      <c r="I62" s="24" t="s">
        <v>236</v>
      </c>
      <c r="J62" s="52" t="s">
        <v>702</v>
      </c>
      <c r="K62" s="11">
        <v>1</v>
      </c>
      <c r="L62" s="11" t="s">
        <v>800</v>
      </c>
      <c r="M62" s="11" t="s">
        <v>30</v>
      </c>
      <c r="N62" s="48" t="s">
        <v>194</v>
      </c>
      <c r="O62" s="11" t="s">
        <v>45</v>
      </c>
      <c r="P62" s="11" t="s">
        <v>802</v>
      </c>
    </row>
    <row r="63" spans="1:47" s="17" customFormat="1">
      <c r="A63" s="11">
        <f t="shared" si="0"/>
        <v>58</v>
      </c>
      <c r="B63" s="47" t="s">
        <v>121</v>
      </c>
      <c r="C63" s="24" t="s">
        <v>250</v>
      </c>
      <c r="D63" s="11" t="s">
        <v>30</v>
      </c>
      <c r="E63" s="91" t="s">
        <v>483</v>
      </c>
      <c r="F63" s="11" t="s">
        <v>14</v>
      </c>
      <c r="G63" s="13" t="s">
        <v>231</v>
      </c>
      <c r="H63" s="11" t="s">
        <v>39</v>
      </c>
      <c r="I63" s="24" t="s">
        <v>237</v>
      </c>
      <c r="J63" s="11" t="s">
        <v>702</v>
      </c>
      <c r="K63" s="11">
        <v>1</v>
      </c>
      <c r="L63" s="11" t="s">
        <v>800</v>
      </c>
      <c r="M63" s="11" t="s">
        <v>30</v>
      </c>
      <c r="N63" s="48" t="s">
        <v>195</v>
      </c>
      <c r="O63" s="11" t="s">
        <v>45</v>
      </c>
      <c r="P63" s="11" t="s">
        <v>802</v>
      </c>
    </row>
    <row r="64" spans="1:47" s="17" customFormat="1">
      <c r="A64" s="11">
        <f t="shared" si="0"/>
        <v>59</v>
      </c>
      <c r="B64" s="47" t="s">
        <v>122</v>
      </c>
      <c r="C64" s="24" t="s">
        <v>251</v>
      </c>
      <c r="D64" s="11" t="s">
        <v>30</v>
      </c>
      <c r="E64" s="91" t="s">
        <v>484</v>
      </c>
      <c r="F64" s="11" t="s">
        <v>14</v>
      </c>
      <c r="G64" s="43" t="s">
        <v>166</v>
      </c>
      <c r="H64" s="11" t="s">
        <v>39</v>
      </c>
      <c r="I64" s="24" t="s">
        <v>238</v>
      </c>
      <c r="J64" s="11" t="s">
        <v>701</v>
      </c>
      <c r="K64" s="11">
        <v>1</v>
      </c>
      <c r="L64" s="11" t="s">
        <v>800</v>
      </c>
      <c r="M64" s="11" t="s">
        <v>30</v>
      </c>
      <c r="N64" s="48" t="s">
        <v>196</v>
      </c>
      <c r="O64" s="11" t="s">
        <v>45</v>
      </c>
      <c r="P64" s="11" t="s">
        <v>802</v>
      </c>
    </row>
    <row r="65" spans="1:17" s="17" customFormat="1">
      <c r="A65" s="11">
        <f t="shared" si="0"/>
        <v>60</v>
      </c>
      <c r="B65" s="47" t="s">
        <v>123</v>
      </c>
      <c r="C65" s="24" t="s">
        <v>252</v>
      </c>
      <c r="D65" s="11" t="s">
        <v>30</v>
      </c>
      <c r="E65" s="91" t="s">
        <v>485</v>
      </c>
      <c r="F65" s="11" t="s">
        <v>14</v>
      </c>
      <c r="G65" s="43" t="s">
        <v>167</v>
      </c>
      <c r="H65" s="11" t="s">
        <v>39</v>
      </c>
      <c r="I65" s="24" t="s">
        <v>239</v>
      </c>
      <c r="J65" s="11" t="s">
        <v>701</v>
      </c>
      <c r="K65" s="11">
        <v>1</v>
      </c>
      <c r="L65" s="11" t="s">
        <v>800</v>
      </c>
      <c r="M65" s="11" t="s">
        <v>30</v>
      </c>
      <c r="N65" s="48" t="s">
        <v>197</v>
      </c>
      <c r="O65" s="11" t="s">
        <v>45</v>
      </c>
      <c r="P65" s="11" t="s">
        <v>802</v>
      </c>
    </row>
    <row r="66" spans="1:17" s="17" customFormat="1">
      <c r="A66" s="11">
        <f t="shared" si="0"/>
        <v>61</v>
      </c>
      <c r="B66" s="47" t="s">
        <v>124</v>
      </c>
      <c r="C66" s="24" t="s">
        <v>253</v>
      </c>
      <c r="D66" s="11" t="s">
        <v>30</v>
      </c>
      <c r="E66" s="91" t="s">
        <v>486</v>
      </c>
      <c r="F66" s="11" t="s">
        <v>14</v>
      </c>
      <c r="G66" s="43" t="s">
        <v>168</v>
      </c>
      <c r="H66" s="11" t="s">
        <v>39</v>
      </c>
      <c r="I66" s="24" t="s">
        <v>240</v>
      </c>
      <c r="J66" s="11" t="s">
        <v>701</v>
      </c>
      <c r="K66" s="11">
        <v>1</v>
      </c>
      <c r="L66" s="11" t="s">
        <v>800</v>
      </c>
      <c r="M66" s="11" t="s">
        <v>30</v>
      </c>
      <c r="N66" s="48" t="s">
        <v>198</v>
      </c>
      <c r="O66" s="11" t="s">
        <v>45</v>
      </c>
      <c r="P66" s="11" t="s">
        <v>802</v>
      </c>
    </row>
    <row r="67" spans="1:17" s="17" customFormat="1">
      <c r="A67" s="11">
        <f t="shared" si="0"/>
        <v>62</v>
      </c>
      <c r="B67" s="47" t="s">
        <v>156</v>
      </c>
      <c r="C67" s="24" t="s">
        <v>254</v>
      </c>
      <c r="D67" s="11" t="s">
        <v>30</v>
      </c>
      <c r="E67" s="91" t="s">
        <v>487</v>
      </c>
      <c r="F67" s="11" t="s">
        <v>14</v>
      </c>
      <c r="G67" s="43" t="s">
        <v>164</v>
      </c>
      <c r="H67" s="11" t="s">
        <v>39</v>
      </c>
      <c r="I67" s="24" t="s">
        <v>241</v>
      </c>
      <c r="J67" s="11" t="s">
        <v>701</v>
      </c>
      <c r="K67" s="11">
        <v>1</v>
      </c>
      <c r="L67" s="11" t="s">
        <v>800</v>
      </c>
      <c r="M67" s="11" t="s">
        <v>30</v>
      </c>
      <c r="N67" s="48" t="s">
        <v>199</v>
      </c>
      <c r="O67" s="11" t="s">
        <v>45</v>
      </c>
      <c r="P67" s="11" t="s">
        <v>802</v>
      </c>
    </row>
    <row r="68" spans="1:17" s="17" customFormat="1">
      <c r="A68" s="11">
        <f t="shared" si="0"/>
        <v>63</v>
      </c>
      <c r="B68" s="47" t="s">
        <v>157</v>
      </c>
      <c r="C68" s="24" t="s">
        <v>323</v>
      </c>
      <c r="D68" s="11" t="s">
        <v>30</v>
      </c>
      <c r="E68" s="91" t="s">
        <v>488</v>
      </c>
      <c r="F68" s="11" t="s">
        <v>14</v>
      </c>
      <c r="G68" s="43" t="s">
        <v>169</v>
      </c>
      <c r="H68" s="11" t="s">
        <v>39</v>
      </c>
      <c r="I68" s="24" t="s">
        <v>242</v>
      </c>
      <c r="J68" s="11" t="s">
        <v>701</v>
      </c>
      <c r="K68" s="11">
        <v>1</v>
      </c>
      <c r="L68" s="11" t="s">
        <v>800</v>
      </c>
      <c r="M68" s="11" t="s">
        <v>30</v>
      </c>
      <c r="N68" s="48" t="s">
        <v>200</v>
      </c>
      <c r="O68" s="11" t="s">
        <v>45</v>
      </c>
      <c r="P68" s="11" t="s">
        <v>802</v>
      </c>
    </row>
    <row r="69" spans="1:17" s="17" customFormat="1">
      <c r="A69" s="11">
        <f t="shared" si="0"/>
        <v>64</v>
      </c>
      <c r="B69" s="47" t="s">
        <v>176</v>
      </c>
      <c r="C69" s="24" t="s">
        <v>255</v>
      </c>
      <c r="D69" s="11" t="s">
        <v>30</v>
      </c>
      <c r="E69" s="91" t="s">
        <v>489</v>
      </c>
      <c r="F69" s="11" t="s">
        <v>14</v>
      </c>
      <c r="G69" s="43" t="s">
        <v>165</v>
      </c>
      <c r="H69" s="11" t="s">
        <v>39</v>
      </c>
      <c r="I69" s="24" t="s">
        <v>243</v>
      </c>
      <c r="J69" s="11" t="s">
        <v>701</v>
      </c>
      <c r="K69" s="11">
        <v>1</v>
      </c>
      <c r="L69" s="11" t="s">
        <v>800</v>
      </c>
      <c r="M69" s="11" t="s">
        <v>30</v>
      </c>
      <c r="N69" s="48" t="s">
        <v>201</v>
      </c>
      <c r="O69" s="11" t="s">
        <v>45</v>
      </c>
      <c r="P69" s="11" t="s">
        <v>802</v>
      </c>
    </row>
    <row r="70" spans="1:17" s="17" customFormat="1">
      <c r="A70" s="11">
        <f t="shared" si="0"/>
        <v>65</v>
      </c>
      <c r="B70" s="47" t="s">
        <v>158</v>
      </c>
      <c r="C70" s="24" t="s">
        <v>256</v>
      </c>
      <c r="D70" s="11" t="s">
        <v>30</v>
      </c>
      <c r="E70" s="91" t="s">
        <v>490</v>
      </c>
      <c r="F70" s="11" t="s">
        <v>14</v>
      </c>
      <c r="G70" s="43" t="s">
        <v>170</v>
      </c>
      <c r="H70" s="11" t="s">
        <v>39</v>
      </c>
      <c r="I70" s="24" t="s">
        <v>244</v>
      </c>
      <c r="J70" s="11" t="s">
        <v>701</v>
      </c>
      <c r="K70" s="11">
        <v>1</v>
      </c>
      <c r="L70" s="11" t="s">
        <v>800</v>
      </c>
      <c r="M70" s="11" t="s">
        <v>30</v>
      </c>
      <c r="N70" s="48" t="s">
        <v>202</v>
      </c>
      <c r="O70" s="11" t="s">
        <v>45</v>
      </c>
      <c r="P70" s="11" t="s">
        <v>802</v>
      </c>
    </row>
    <row r="71" spans="1:17" s="17" customFormat="1">
      <c r="A71" s="11">
        <f t="shared" si="0"/>
        <v>66</v>
      </c>
      <c r="B71" s="47" t="s">
        <v>270</v>
      </c>
      <c r="C71" s="24" t="s">
        <v>262</v>
      </c>
      <c r="D71" s="11" t="s">
        <v>30</v>
      </c>
      <c r="E71" s="91" t="s">
        <v>491</v>
      </c>
      <c r="F71" s="11" t="s">
        <v>14</v>
      </c>
      <c r="G71" s="43" t="s">
        <v>163</v>
      </c>
      <c r="H71" s="11" t="s">
        <v>39</v>
      </c>
      <c r="I71" s="54" t="s">
        <v>265</v>
      </c>
      <c r="J71" s="11" t="s">
        <v>700</v>
      </c>
      <c r="K71" s="11">
        <v>1</v>
      </c>
      <c r="L71" s="11" t="s">
        <v>800</v>
      </c>
      <c r="M71" s="11" t="s">
        <v>30</v>
      </c>
      <c r="N71" s="48" t="s">
        <v>203</v>
      </c>
      <c r="O71" s="11" t="s">
        <v>45</v>
      </c>
      <c r="P71" s="11" t="s">
        <v>802</v>
      </c>
    </row>
    <row r="72" spans="1:17" s="17" customFormat="1">
      <c r="A72" s="11">
        <f t="shared" si="0"/>
        <v>67</v>
      </c>
      <c r="B72" s="47" t="s">
        <v>271</v>
      </c>
      <c r="C72" s="24" t="s">
        <v>257</v>
      </c>
      <c r="D72" s="11" t="s">
        <v>30</v>
      </c>
      <c r="E72" s="91" t="s">
        <v>492</v>
      </c>
      <c r="F72" s="11" t="s">
        <v>14</v>
      </c>
      <c r="G72" s="43" t="s">
        <v>171</v>
      </c>
      <c r="H72" s="11" t="s">
        <v>39</v>
      </c>
      <c r="I72" s="24" t="s">
        <v>245</v>
      </c>
      <c r="J72" s="11" t="s">
        <v>703</v>
      </c>
      <c r="K72" s="11">
        <v>1</v>
      </c>
      <c r="L72" s="11" t="s">
        <v>800</v>
      </c>
      <c r="M72" s="11" t="s">
        <v>30</v>
      </c>
      <c r="N72" s="48" t="s">
        <v>204</v>
      </c>
      <c r="O72" s="11" t="s">
        <v>45</v>
      </c>
      <c r="P72" s="11" t="s">
        <v>802</v>
      </c>
    </row>
    <row r="73" spans="1:17" s="17" customFormat="1">
      <c r="A73" s="11">
        <f t="shared" si="0"/>
        <v>68</v>
      </c>
      <c r="B73" s="47" t="s">
        <v>272</v>
      </c>
      <c r="C73" s="11" t="s">
        <v>258</v>
      </c>
      <c r="D73" s="11" t="s">
        <v>30</v>
      </c>
      <c r="E73" s="91" t="s">
        <v>493</v>
      </c>
      <c r="F73" s="11" t="s">
        <v>14</v>
      </c>
      <c r="G73" s="43" t="s">
        <v>172</v>
      </c>
      <c r="H73" s="11" t="s">
        <v>39</v>
      </c>
      <c r="I73" s="24" t="s">
        <v>246</v>
      </c>
      <c r="J73" s="11" t="s">
        <v>703</v>
      </c>
      <c r="K73" s="11">
        <v>1</v>
      </c>
      <c r="L73" s="11" t="s">
        <v>800</v>
      </c>
      <c r="M73" s="11" t="s">
        <v>30</v>
      </c>
      <c r="N73" s="48" t="s">
        <v>205</v>
      </c>
      <c r="O73" s="11" t="s">
        <v>45</v>
      </c>
      <c r="P73" s="11" t="s">
        <v>802</v>
      </c>
    </row>
    <row r="74" spans="1:17" s="17" customFormat="1">
      <c r="A74" s="11">
        <f t="shared" ref="A74:A78" si="1">ROW(A74)-5</f>
        <v>69</v>
      </c>
      <c r="B74" s="47" t="s">
        <v>558</v>
      </c>
      <c r="C74" s="11" t="s">
        <v>259</v>
      </c>
      <c r="D74" s="11" t="s">
        <v>30</v>
      </c>
      <c r="E74" s="91" t="s">
        <v>494</v>
      </c>
      <c r="F74" s="11" t="s">
        <v>14</v>
      </c>
      <c r="G74" s="43" t="s">
        <v>190</v>
      </c>
      <c r="H74" s="11" t="s">
        <v>39</v>
      </c>
      <c r="I74" s="24" t="s">
        <v>247</v>
      </c>
      <c r="J74" s="11" t="s">
        <v>703</v>
      </c>
      <c r="K74" s="11">
        <v>1</v>
      </c>
      <c r="L74" s="11" t="s">
        <v>800</v>
      </c>
      <c r="M74" s="11" t="s">
        <v>30</v>
      </c>
      <c r="N74" s="48" t="s">
        <v>206</v>
      </c>
      <c r="O74" s="11" t="s">
        <v>45</v>
      </c>
      <c r="P74" s="11" t="s">
        <v>802</v>
      </c>
    </row>
    <row r="75" spans="1:17" s="17" customFormat="1">
      <c r="A75" s="11">
        <f t="shared" si="1"/>
        <v>70</v>
      </c>
      <c r="B75" s="47" t="s">
        <v>559</v>
      </c>
      <c r="C75" s="11" t="s">
        <v>260</v>
      </c>
      <c r="D75" s="11" t="s">
        <v>30</v>
      </c>
      <c r="E75" s="91" t="s">
        <v>495</v>
      </c>
      <c r="F75" s="11" t="s">
        <v>14</v>
      </c>
      <c r="G75" s="43" t="s">
        <v>191</v>
      </c>
      <c r="H75" s="11" t="s">
        <v>39</v>
      </c>
      <c r="I75" s="24" t="s">
        <v>248</v>
      </c>
      <c r="J75" s="11" t="s">
        <v>703</v>
      </c>
      <c r="K75" s="11">
        <v>1</v>
      </c>
      <c r="L75" s="11" t="s">
        <v>800</v>
      </c>
      <c r="M75" s="11" t="s">
        <v>30</v>
      </c>
      <c r="N75" s="48" t="s">
        <v>207</v>
      </c>
      <c r="O75" s="11" t="s">
        <v>45</v>
      </c>
      <c r="P75" s="11" t="s">
        <v>802</v>
      </c>
    </row>
    <row r="76" spans="1:17" s="17" customFormat="1">
      <c r="A76" s="11">
        <f t="shared" si="1"/>
        <v>71</v>
      </c>
      <c r="B76" s="47" t="s">
        <v>754</v>
      </c>
      <c r="C76" s="11" t="s">
        <v>263</v>
      </c>
      <c r="D76" s="11" t="s">
        <v>30</v>
      </c>
      <c r="E76" s="91" t="s">
        <v>496</v>
      </c>
      <c r="F76" s="11" t="s">
        <v>14</v>
      </c>
      <c r="G76" s="43" t="s">
        <v>208</v>
      </c>
      <c r="H76" s="11" t="s">
        <v>39</v>
      </c>
      <c r="I76" s="24" t="s">
        <v>264</v>
      </c>
      <c r="J76" s="11" t="s">
        <v>703</v>
      </c>
      <c r="K76" s="11">
        <v>1</v>
      </c>
      <c r="L76" s="11" t="s">
        <v>800</v>
      </c>
      <c r="M76" s="11" t="s">
        <v>30</v>
      </c>
      <c r="N76" s="48" t="s">
        <v>215</v>
      </c>
      <c r="O76" s="11" t="s">
        <v>45</v>
      </c>
      <c r="P76" s="11" t="s">
        <v>802</v>
      </c>
    </row>
    <row r="77" spans="1:17" s="17" customFormat="1">
      <c r="A77" s="11">
        <f t="shared" si="1"/>
        <v>72</v>
      </c>
      <c r="B77" s="47" t="s">
        <v>755</v>
      </c>
      <c r="C77" s="52" t="s">
        <v>778</v>
      </c>
      <c r="D77" s="11" t="s">
        <v>30</v>
      </c>
      <c r="E77" s="91" t="s">
        <v>497</v>
      </c>
      <c r="F77" s="11" t="s">
        <v>14</v>
      </c>
      <c r="G77" s="13" t="s">
        <v>533</v>
      </c>
      <c r="H77" s="52" t="s">
        <v>585</v>
      </c>
      <c r="I77" s="55" t="s">
        <v>780</v>
      </c>
      <c r="J77" s="11" t="s">
        <v>30</v>
      </c>
      <c r="K77" s="11">
        <v>1</v>
      </c>
      <c r="L77" s="11" t="s">
        <v>800</v>
      </c>
      <c r="M77" s="11" t="s">
        <v>30</v>
      </c>
      <c r="N77" s="48" t="s">
        <v>461</v>
      </c>
      <c r="O77" s="11" t="s">
        <v>269</v>
      </c>
      <c r="P77" s="11" t="s">
        <v>802</v>
      </c>
    </row>
    <row r="78" spans="1:17" s="17" customFormat="1">
      <c r="A78" s="11">
        <f t="shared" si="1"/>
        <v>73</v>
      </c>
      <c r="B78" s="47"/>
      <c r="C78" s="52" t="s">
        <v>779</v>
      </c>
      <c r="D78" s="11" t="s">
        <v>30</v>
      </c>
      <c r="E78" s="91" t="s">
        <v>497</v>
      </c>
      <c r="F78" s="11" t="s">
        <v>14</v>
      </c>
      <c r="G78" s="13" t="s">
        <v>533</v>
      </c>
      <c r="H78" s="52" t="s">
        <v>586</v>
      </c>
      <c r="I78" s="55" t="s">
        <v>781</v>
      </c>
      <c r="J78" s="11" t="s">
        <v>30</v>
      </c>
      <c r="K78" s="11"/>
      <c r="L78" s="11" t="s">
        <v>800</v>
      </c>
      <c r="M78" s="11" t="s">
        <v>30</v>
      </c>
      <c r="N78" s="48"/>
      <c r="O78" s="11" t="s">
        <v>269</v>
      </c>
      <c r="P78" s="11" t="s">
        <v>802</v>
      </c>
    </row>
    <row r="79" spans="1:17" s="17" customFormat="1">
      <c r="A79" s="11">
        <v>63</v>
      </c>
      <c r="B79" s="47" t="s">
        <v>560</v>
      </c>
      <c r="C79" s="96" t="s">
        <v>564</v>
      </c>
      <c r="D79" s="11" t="s">
        <v>30</v>
      </c>
      <c r="E79" s="91" t="s">
        <v>34</v>
      </c>
      <c r="F79" s="11" t="s">
        <v>30</v>
      </c>
      <c r="G79" s="53" t="s">
        <v>565</v>
      </c>
      <c r="H79" s="11" t="s">
        <v>566</v>
      </c>
      <c r="I79" s="96" t="s">
        <v>563</v>
      </c>
      <c r="J79" s="50" t="s">
        <v>127</v>
      </c>
      <c r="K79" s="50">
        <v>1</v>
      </c>
      <c r="L79" s="11" t="s">
        <v>800</v>
      </c>
      <c r="M79" s="11" t="s">
        <v>30</v>
      </c>
      <c r="N79" s="48" t="s">
        <v>567</v>
      </c>
      <c r="O79" s="52" t="s">
        <v>562</v>
      </c>
      <c r="P79" s="11" t="s">
        <v>802</v>
      </c>
      <c r="Q79" s="97"/>
    </row>
    <row r="80" spans="1:17">
      <c r="A80" s="45">
        <f t="shared" ref="A80:A82" si="2">ROW(A80)-5</f>
        <v>75</v>
      </c>
      <c r="B80" s="98" t="s">
        <v>561</v>
      </c>
      <c r="C80" s="45" t="s">
        <v>569</v>
      </c>
      <c r="D80" s="99" t="s">
        <v>14</v>
      </c>
      <c r="E80" s="45" t="s">
        <v>34</v>
      </c>
      <c r="F80" s="45" t="s">
        <v>14</v>
      </c>
      <c r="G80" s="100" t="s">
        <v>570</v>
      </c>
      <c r="H80" s="101" t="s">
        <v>51</v>
      </c>
      <c r="I80" s="45" t="s">
        <v>569</v>
      </c>
      <c r="J80" s="99" t="s">
        <v>14</v>
      </c>
      <c r="K80" s="102">
        <v>3</v>
      </c>
      <c r="L80" s="11" t="s">
        <v>800</v>
      </c>
      <c r="M80" s="11" t="s">
        <v>30</v>
      </c>
      <c r="N80" s="48" t="s">
        <v>573</v>
      </c>
      <c r="O80" s="101" t="s">
        <v>129</v>
      </c>
      <c r="P80" s="11" t="s">
        <v>802</v>
      </c>
      <c r="Q80" s="97"/>
    </row>
    <row r="81" spans="1:17">
      <c r="A81" s="45">
        <f t="shared" si="2"/>
        <v>76</v>
      </c>
      <c r="B81" s="98" t="s">
        <v>756</v>
      </c>
      <c r="C81" s="45" t="s">
        <v>571</v>
      </c>
      <c r="D81" s="99" t="s">
        <v>14</v>
      </c>
      <c r="E81" s="45" t="s">
        <v>34</v>
      </c>
      <c r="F81" s="45" t="s">
        <v>14</v>
      </c>
      <c r="G81" s="103" t="s">
        <v>572</v>
      </c>
      <c r="H81" s="101" t="s">
        <v>51</v>
      </c>
      <c r="I81" s="45" t="s">
        <v>571</v>
      </c>
      <c r="J81" s="99" t="s">
        <v>14</v>
      </c>
      <c r="K81" s="104">
        <v>4</v>
      </c>
      <c r="L81" s="11" t="s">
        <v>800</v>
      </c>
      <c r="M81" s="11" t="s">
        <v>30</v>
      </c>
      <c r="N81" s="48" t="s">
        <v>804</v>
      </c>
      <c r="O81" s="101" t="s">
        <v>129</v>
      </c>
      <c r="P81" s="11" t="s">
        <v>802</v>
      </c>
      <c r="Q81" s="97"/>
    </row>
    <row r="82" spans="1:17" s="25" customFormat="1">
      <c r="A82" s="11">
        <f t="shared" si="2"/>
        <v>77</v>
      </c>
      <c r="B82" s="47" t="s">
        <v>759</v>
      </c>
      <c r="C82" s="11" t="s">
        <v>179</v>
      </c>
      <c r="D82" s="11" t="s">
        <v>30</v>
      </c>
      <c r="E82" s="90" t="s">
        <v>34</v>
      </c>
      <c r="F82" s="11" t="s">
        <v>30</v>
      </c>
      <c r="G82" s="53" t="s">
        <v>230</v>
      </c>
      <c r="H82" s="11" t="s">
        <v>154</v>
      </c>
      <c r="I82" s="11" t="s">
        <v>179</v>
      </c>
      <c r="J82" s="50" t="s">
        <v>127</v>
      </c>
      <c r="K82" s="50">
        <v>1</v>
      </c>
      <c r="L82" s="11" t="s">
        <v>800</v>
      </c>
      <c r="M82" s="11" t="s">
        <v>30</v>
      </c>
      <c r="N82" s="48"/>
      <c r="O82" s="52" t="s">
        <v>129</v>
      </c>
      <c r="P82" s="11" t="s">
        <v>803</v>
      </c>
    </row>
    <row r="83" spans="1:17">
      <c r="B83" s="3"/>
      <c r="C83" s="2"/>
      <c r="H83" s="5"/>
      <c r="I83" s="2"/>
    </row>
    <row r="84" spans="1:17">
      <c r="A84" s="17"/>
      <c r="B84" s="1" t="s">
        <v>15</v>
      </c>
      <c r="C84" s="10" t="s">
        <v>16</v>
      </c>
      <c r="D84" s="18"/>
      <c r="E84" s="17"/>
      <c r="F84" s="17"/>
      <c r="G84" s="4"/>
      <c r="H84" s="17"/>
      <c r="I84" s="17"/>
      <c r="J84" s="17"/>
      <c r="O84" s="17"/>
      <c r="P84" s="17"/>
    </row>
    <row r="85" spans="1:17">
      <c r="A85" s="17"/>
      <c r="B85" s="17"/>
      <c r="C85" s="15" t="s">
        <v>5</v>
      </c>
      <c r="D85" s="17"/>
      <c r="E85" s="17"/>
      <c r="F85" s="17"/>
      <c r="G85" s="16"/>
      <c r="H85" s="17"/>
      <c r="I85" s="17"/>
      <c r="J85" s="17"/>
      <c r="O85" s="17"/>
      <c r="P85" s="17"/>
    </row>
    <row r="86" spans="1:17">
      <c r="A86" s="17"/>
      <c r="B86" s="17"/>
      <c r="C86" s="19" t="s">
        <v>6</v>
      </c>
      <c r="D86" s="17"/>
      <c r="E86" s="17"/>
      <c r="F86" s="17"/>
      <c r="G86" s="16"/>
      <c r="H86" s="17"/>
      <c r="I86" s="17"/>
      <c r="J86" s="17"/>
      <c r="O86" s="17"/>
      <c r="P86" s="17"/>
    </row>
    <row r="87" spans="1:17">
      <c r="C87" s="20" t="s">
        <v>52</v>
      </c>
      <c r="G87" s="18"/>
    </row>
    <row r="88" spans="1:17" ht="46.5">
      <c r="C88" s="29" t="s">
        <v>53</v>
      </c>
    </row>
    <row r="89" spans="1:17">
      <c r="K89" s="7"/>
      <c r="L89" s="7"/>
      <c r="M89" s="7"/>
    </row>
    <row r="90" spans="1:17">
      <c r="G90" s="22"/>
    </row>
  </sheetData>
  <autoFilter ref="A5:P5" xr:uid="{65434498-EB1C-495A-B23E-BD445A4261D4}"/>
  <mergeCells count="4">
    <mergeCell ref="A3:B3"/>
    <mergeCell ref="A4:B4"/>
    <mergeCell ref="A1:P1"/>
    <mergeCell ref="A2:P2"/>
  </mergeCells>
  <phoneticPr fontId="18" type="noConversion"/>
  <conditionalFormatting sqref="A23:B23 D23:D24">
    <cfRule type="containsText" dxfId="703" priority="161" operator="containsText" text="TBD">
      <formula>NOT(ISERROR(SEARCH("TBD",A23)))</formula>
    </cfRule>
  </conditionalFormatting>
  <conditionalFormatting sqref="A28:B28">
    <cfRule type="containsText" dxfId="702" priority="157" operator="containsText" text="TBD">
      <formula>NOT(ISERROR(SEARCH("TBD",A28)))</formula>
    </cfRule>
  </conditionalFormatting>
  <conditionalFormatting sqref="A43:B45 D43:F45">
    <cfRule type="containsText" dxfId="701" priority="68" operator="containsText" text="TBD">
      <formula>NOT(ISERROR(SEARCH("TBD",A43)))</formula>
    </cfRule>
  </conditionalFormatting>
  <conditionalFormatting sqref="A48:B51">
    <cfRule type="containsText" dxfId="700" priority="20" operator="containsText" text="TBD">
      <formula>NOT(ISERROR(SEARCH("TBD",A48)))</formula>
    </cfRule>
  </conditionalFormatting>
  <conditionalFormatting sqref="A54:B55 A56:A75">
    <cfRule type="containsText" dxfId="699" priority="50" operator="containsText" text="TBD">
      <formula>NOT(ISERROR(SEARCH("TBD",A54)))</formula>
    </cfRule>
  </conditionalFormatting>
  <conditionalFormatting sqref="A24:C25">
    <cfRule type="containsText" dxfId="698" priority="216" operator="containsText" text="TBD">
      <formula>NOT(ISERROR(SEARCH("TBD",A24)))</formula>
    </cfRule>
  </conditionalFormatting>
  <conditionalFormatting sqref="A9:D15">
    <cfRule type="containsText" dxfId="697" priority="202" operator="containsText" text="TBD">
      <formula>NOT(ISERROR(SEARCH("TBD",A9)))</formula>
    </cfRule>
  </conditionalFormatting>
  <conditionalFormatting sqref="A18:D22">
    <cfRule type="containsText" dxfId="696" priority="196" operator="containsText" text="TBD">
      <formula>NOT(ISERROR(SEARCH("TBD",A18)))</formula>
    </cfRule>
  </conditionalFormatting>
  <conditionalFormatting sqref="A31:G35">
    <cfRule type="containsText" dxfId="695" priority="98" operator="containsText" text="TBD">
      <formula>NOT(ISERROR(SEARCH("TBD",A31)))</formula>
    </cfRule>
  </conditionalFormatting>
  <conditionalFormatting sqref="B58:E58 A59:E79">
    <cfRule type="containsText" dxfId="694" priority="82" operator="containsText" text="TBD">
      <formula>NOT(ISERROR(SEARCH("TBD",A58)))</formula>
    </cfRule>
  </conditionalFormatting>
  <conditionalFormatting sqref="C21:C23">
    <cfRule type="containsText" dxfId="693" priority="160" operator="containsText" text="TBD">
      <formula>NOT(ISERROR(SEARCH("TBD",C21)))</formula>
    </cfRule>
  </conditionalFormatting>
  <conditionalFormatting sqref="C25">
    <cfRule type="duplicateValues" dxfId="692" priority="201"/>
    <cfRule type="duplicateValues" dxfId="691" priority="200"/>
  </conditionalFormatting>
  <conditionalFormatting sqref="C27:C30">
    <cfRule type="containsText" dxfId="690" priority="151" operator="containsText" text="TBD">
      <formula>NOT(ISERROR(SEARCH("TBD",C27)))</formula>
    </cfRule>
  </conditionalFormatting>
  <conditionalFormatting sqref="C36:C45">
    <cfRule type="containsText" dxfId="689" priority="64" operator="containsText" text="TBD">
      <formula>NOT(ISERROR(SEARCH("TBD",C36)))</formula>
    </cfRule>
  </conditionalFormatting>
  <conditionalFormatting sqref="C48:C72">
    <cfRule type="containsText" dxfId="688" priority="15" operator="containsText" text="TBD">
      <formula>NOT(ISERROR(SEARCH("TBD",C48)))</formula>
    </cfRule>
  </conditionalFormatting>
  <conditionalFormatting sqref="C84:C87">
    <cfRule type="containsText" dxfId="687" priority="215" operator="containsText" text="TBD">
      <formula>NOT(ISERROR(SEARCH("TBD",C84)))</formula>
    </cfRule>
  </conditionalFormatting>
  <conditionalFormatting sqref="C37:G38 C39:F39 A40:F42 D54:F54">
    <cfRule type="containsText" dxfId="686" priority="195" operator="containsText" text="TBD">
      <formula>NOT(ISERROR(SEARCH("TBD",A37)))</formula>
    </cfRule>
  </conditionalFormatting>
  <conditionalFormatting sqref="D55:D57 F55:F57 B56:B57">
    <cfRule type="containsText" dxfId="685" priority="25" operator="containsText" text="TBD">
      <formula>NOT(ISERROR(SEARCH("TBD",B55)))</formula>
    </cfRule>
  </conditionalFormatting>
  <conditionalFormatting sqref="D50:F50">
    <cfRule type="containsText" dxfId="684" priority="36" operator="containsText" text="TBD">
      <formula>NOT(ISERROR(SEARCH("TBD",D50)))</formula>
    </cfRule>
  </conditionalFormatting>
  <conditionalFormatting sqref="D36:G36">
    <cfRule type="containsText" dxfId="683" priority="90" operator="containsText" text="TBD">
      <formula>NOT(ISERROR(SEARCH("TBD",D36)))</formula>
    </cfRule>
  </conditionalFormatting>
  <conditionalFormatting sqref="D49:G49">
    <cfRule type="containsText" dxfId="682" priority="34" operator="containsText" text="TBD">
      <formula>NOT(ISERROR(SEARCH("TBD",D49)))</formula>
    </cfRule>
  </conditionalFormatting>
  <conditionalFormatting sqref="D25:H25">
    <cfRule type="containsText" dxfId="681" priority="170" operator="containsText" text="TBD">
      <formula>NOT(ISERROR(SEARCH("TBD",D25)))</formula>
    </cfRule>
  </conditionalFormatting>
  <conditionalFormatting sqref="D51:H51">
    <cfRule type="containsText" dxfId="680" priority="21" operator="containsText" text="TBD">
      <formula>NOT(ISERROR(SEARCH("TBD",D51)))</formula>
    </cfRule>
  </conditionalFormatting>
  <conditionalFormatting sqref="E6:E23">
    <cfRule type="containsText" dxfId="679" priority="69" operator="containsText" text="TBD">
      <formula>NOT(ISERROR(SEARCH("TBD",E6)))</formula>
    </cfRule>
  </conditionalFormatting>
  <conditionalFormatting sqref="E27:E45">
    <cfRule type="containsText" dxfId="678" priority="66" operator="containsText" text="TBD">
      <formula>NOT(ISERROR(SEARCH("TBD",E27)))</formula>
    </cfRule>
  </conditionalFormatting>
  <conditionalFormatting sqref="E48:E57">
    <cfRule type="containsText" dxfId="677" priority="18" operator="containsText" text="TBD">
      <formula>NOT(ISERROR(SEARCH("TBD",E48)))</formula>
    </cfRule>
  </conditionalFormatting>
  <conditionalFormatting sqref="F77:G78">
    <cfRule type="containsText" dxfId="676" priority="184" operator="containsText" text="TBD">
      <formula>NOT(ISERROR(SEARCH("TBD",F77)))</formula>
    </cfRule>
  </conditionalFormatting>
  <conditionalFormatting sqref="G39:G45">
    <cfRule type="containsText" dxfId="675" priority="62" operator="containsText" text="TBD">
      <formula>NOT(ISERROR(SEARCH("TBD",G39)))</formula>
    </cfRule>
  </conditionalFormatting>
  <conditionalFormatting sqref="G49:G51">
    <cfRule type="containsText" dxfId="674" priority="17" operator="containsText" text="TBD">
      <formula>NOT(ISERROR(SEARCH("TBD",G49)))</formula>
    </cfRule>
  </conditionalFormatting>
  <conditionalFormatting sqref="H31:H39 A36:B39">
    <cfRule type="containsText" dxfId="673" priority="97" operator="containsText" text="TBD">
      <formula>NOT(ISERROR(SEARCH("TBD",A31)))</formula>
    </cfRule>
  </conditionalFormatting>
  <conditionalFormatting sqref="H49:H50">
    <cfRule type="containsText" dxfId="672" priority="31" operator="containsText" text="TBD">
      <formula>NOT(ISERROR(SEARCH("TBD",H49)))</formula>
    </cfRule>
  </conditionalFormatting>
  <conditionalFormatting sqref="H77:H79">
    <cfRule type="containsText" dxfId="671" priority="87" operator="containsText" text="TBD">
      <formula>NOT(ISERROR(SEARCH("TBD",H77)))</formula>
    </cfRule>
  </conditionalFormatting>
  <conditionalFormatting sqref="I25">
    <cfRule type="duplicateValues" dxfId="670" priority="199"/>
    <cfRule type="duplicateValues" dxfId="669" priority="198"/>
  </conditionalFormatting>
  <conditionalFormatting sqref="I49:K51">
    <cfRule type="containsText" dxfId="668" priority="16" operator="containsText" text="TBD">
      <formula>NOT(ISERROR(SEARCH("TBD",I49)))</formula>
    </cfRule>
  </conditionalFormatting>
  <conditionalFormatting sqref="J71">
    <cfRule type="containsText" dxfId="667" priority="51" operator="containsText" text="TBD">
      <formula>NOT(ISERROR(SEARCH("TBD",J71)))</formula>
    </cfRule>
  </conditionalFormatting>
  <conditionalFormatting sqref="N79:N82">
    <cfRule type="containsText" dxfId="666" priority="1" operator="containsText" text="TBD">
      <formula>NOT(ISERROR(SEARCH("TBD",N79)))</formula>
    </cfRule>
  </conditionalFormatting>
  <conditionalFormatting sqref="N5:O5">
    <cfRule type="containsText" dxfId="665" priority="213" operator="containsText" text="TBD">
      <formula>NOT(ISERROR(SEARCH("TBD",N5)))</formula>
    </cfRule>
  </conditionalFormatting>
  <conditionalFormatting sqref="N7:O10">
    <cfRule type="containsText" dxfId="664" priority="158" operator="containsText" text="TBD">
      <formula>NOT(ISERROR(SEARCH("TBD",N7)))</formula>
    </cfRule>
  </conditionalFormatting>
  <conditionalFormatting sqref="O79:O82 A1:A2 A3:O6 O3:O15 A7:K8 L7:M82 F9:K15 N11:N15 A16:K17 N16:O24 F18:K24 J25:K25 N25:N26 O25:O30 A26:K27 D28:K28 A29:K30 I31:K33 J34:K35 I36:K39 H40:K45 A46:K47 D48:K48 A52:K53 G54:K57 F58:K76 Q58:XFD79 I77:K78 F79:K79 A80:K82 Q82:XFD1048576 A83:O1048576">
    <cfRule type="containsText" dxfId="663" priority="210" operator="containsText" text="TBD">
      <formula>NOT(ISERROR(SEARCH("TBD",A1)))</formula>
    </cfRule>
  </conditionalFormatting>
  <conditionalFormatting sqref="O81:P81">
    <cfRule type="containsText" dxfId="662" priority="9" operator="containsText" text="Group A">
      <formula>NOT(ISERROR(SEARCH("Group A",O81)))</formula>
    </cfRule>
    <cfRule type="containsText" dxfId="661" priority="10" operator="containsText" text="Group A">
      <formula>NOT(ISERROR(SEARCH("Group A",O81)))</formula>
    </cfRule>
    <cfRule type="containsText" dxfId="660" priority="8" operator="containsText" text="Group B">
      <formula>NOT(ISERROR(SEARCH("Group B",O81)))</formula>
    </cfRule>
    <cfRule type="containsText" dxfId="659" priority="7" operator="containsText" text="Group A">
      <formula>NOT(ISERROR(SEARCH("Group A",O81)))</formula>
    </cfRule>
  </conditionalFormatting>
  <conditionalFormatting sqref="P3:P58">
    <cfRule type="containsText" dxfId="658" priority="2" operator="containsText" text="TBD">
      <formula>NOT(ISERROR(SEARCH("TBD",P3)))</formula>
    </cfRule>
  </conditionalFormatting>
  <conditionalFormatting sqref="P59:P1048576">
    <cfRule type="containsText" dxfId="657" priority="13" operator="containsText" text="TBD">
      <formula>NOT(ISERROR(SEARCH("TBD",P59)))</formula>
    </cfRule>
  </conditionalFormatting>
  <conditionalFormatting sqref="P82">
    <cfRule type="containsText" dxfId="656" priority="3" operator="containsText" text="TBD">
      <formula>NOT(ISERROR(SEARCH("TBD",P82)))</formula>
    </cfRule>
  </conditionalFormatting>
  <conditionalFormatting sqref="Q1:XFD56 N27:O78">
    <cfRule type="containsText" dxfId="655" priority="123" operator="containsText" text="TBD">
      <formula>NOT(ISERROR(SEARCH("TBD",N1)))</formula>
    </cfRule>
  </conditionalFormatting>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5019A-614A-43E1-98B4-5739000E2BA6}">
  <sheetPr>
    <tabColor theme="6" tint="-0.249977111117893"/>
  </sheetPr>
  <dimension ref="A1:AU90"/>
  <sheetViews>
    <sheetView topLeftCell="E1" zoomScale="70" zoomScaleNormal="70" workbookViewId="0">
      <pane ySplit="5" topLeftCell="A27" activePane="bottomLeft" state="frozen"/>
      <selection activeCell="I57" sqref="I57"/>
      <selection pane="bottomLeft" activeCell="G51" sqref="G51"/>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26953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40.36328125" style="6" customWidth="1"/>
    <col min="15" max="16" width="18.72656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1A72D1H00-600-GNA</v>
      </c>
      <c r="D3" s="26" t="s">
        <v>1</v>
      </c>
      <c r="E3" s="27" t="s">
        <v>14</v>
      </c>
      <c r="F3" s="26"/>
      <c r="G3" s="26"/>
      <c r="H3" s="26"/>
      <c r="I3" s="26"/>
      <c r="J3" s="26"/>
      <c r="K3" s="26"/>
      <c r="L3" s="26"/>
      <c r="M3" s="26"/>
      <c r="N3" s="44"/>
      <c r="O3" s="26"/>
      <c r="P3" s="26"/>
    </row>
    <row r="4" spans="1:16" s="8" customFormat="1">
      <c r="A4" s="176" t="s">
        <v>8</v>
      </c>
      <c r="B4" s="176"/>
      <c r="C4" s="89" t="str">
        <f>E6</f>
        <v>01-101141</v>
      </c>
      <c r="D4" s="26" t="s">
        <v>9</v>
      </c>
      <c r="E4" s="27" t="s">
        <v>14</v>
      </c>
      <c r="F4" s="26" t="s">
        <v>10</v>
      </c>
      <c r="G4" s="13" t="str">
        <f>G6</f>
        <v>Maxwell Mercury_L10 Compute Tray Assy_MGX-OCP, WD, without NVIDIA Group A</v>
      </c>
      <c r="H4" s="26"/>
      <c r="I4" s="26"/>
      <c r="J4" s="26"/>
      <c r="K4" s="26"/>
      <c r="L4" s="26"/>
      <c r="M4" s="26"/>
      <c r="N4" s="44"/>
      <c r="O4" s="26"/>
      <c r="P4" s="26"/>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 t="shared" ref="A6:A73" si="0">ROW(A6)-5</f>
        <v>1</v>
      </c>
      <c r="B6" s="49" t="s">
        <v>36</v>
      </c>
      <c r="C6" s="52" t="s">
        <v>667</v>
      </c>
      <c r="D6" s="11" t="s">
        <v>17</v>
      </c>
      <c r="E6" s="91" t="s">
        <v>673</v>
      </c>
      <c r="F6" s="11" t="s">
        <v>14</v>
      </c>
      <c r="G6" s="13" t="s">
        <v>688</v>
      </c>
      <c r="H6" s="11" t="s">
        <v>20</v>
      </c>
      <c r="I6" s="52" t="str">
        <f>C6</f>
        <v>1A72D1H00-600-GNA</v>
      </c>
      <c r="J6" s="11" t="s">
        <v>14</v>
      </c>
      <c r="K6" s="11">
        <v>1</v>
      </c>
      <c r="L6" s="11" t="s">
        <v>800</v>
      </c>
      <c r="M6" s="11" t="s">
        <v>30</v>
      </c>
      <c r="N6" s="45"/>
      <c r="O6" s="11" t="s">
        <v>14</v>
      </c>
      <c r="P6" s="11" t="s">
        <v>802</v>
      </c>
    </row>
    <row r="7" spans="1:16" ht="62">
      <c r="A7" s="123">
        <f t="shared" si="0"/>
        <v>2</v>
      </c>
      <c r="B7" s="124" t="s">
        <v>29</v>
      </c>
      <c r="C7" s="125" t="s">
        <v>218</v>
      </c>
      <c r="D7" s="123" t="s">
        <v>17</v>
      </c>
      <c r="E7" s="126" t="s">
        <v>34</v>
      </c>
      <c r="F7" s="123" t="s">
        <v>14</v>
      </c>
      <c r="G7" s="127" t="s">
        <v>189</v>
      </c>
      <c r="H7" s="123" t="s">
        <v>40</v>
      </c>
      <c r="I7" s="128" t="s">
        <v>216</v>
      </c>
      <c r="J7" s="123" t="s">
        <v>14</v>
      </c>
      <c r="K7" s="123">
        <v>1</v>
      </c>
      <c r="L7" s="128" t="s">
        <v>800</v>
      </c>
      <c r="M7" s="128" t="s">
        <v>30</v>
      </c>
      <c r="N7" s="129" t="s">
        <v>460</v>
      </c>
      <c r="O7" s="123" t="s">
        <v>42</v>
      </c>
      <c r="P7" s="123" t="s">
        <v>803</v>
      </c>
    </row>
    <row r="8" spans="1:16" ht="62">
      <c r="A8" s="123">
        <f t="shared" si="0"/>
        <v>3</v>
      </c>
      <c r="B8" s="124" t="s">
        <v>37</v>
      </c>
      <c r="C8" s="125" t="s">
        <v>343</v>
      </c>
      <c r="D8" s="123" t="s">
        <v>17</v>
      </c>
      <c r="E8" s="126" t="s">
        <v>34</v>
      </c>
      <c r="F8" s="123" t="s">
        <v>14</v>
      </c>
      <c r="G8" s="127" t="s">
        <v>232</v>
      </c>
      <c r="H8" s="123" t="s">
        <v>40</v>
      </c>
      <c r="I8" s="125" t="s">
        <v>344</v>
      </c>
      <c r="J8" s="123" t="s">
        <v>14</v>
      </c>
      <c r="K8" s="123">
        <v>2</v>
      </c>
      <c r="L8" s="128" t="s">
        <v>800</v>
      </c>
      <c r="M8" s="128" t="s">
        <v>30</v>
      </c>
      <c r="N8" s="129" t="s">
        <v>685</v>
      </c>
      <c r="O8" s="123" t="s">
        <v>42</v>
      </c>
      <c r="P8" s="123" t="s">
        <v>803</v>
      </c>
    </row>
    <row r="9" spans="1:16" ht="31">
      <c r="A9" s="123">
        <f t="shared" si="0"/>
        <v>4</v>
      </c>
      <c r="B9" s="124" t="s">
        <v>117</v>
      </c>
      <c r="C9" s="123" t="s">
        <v>313</v>
      </c>
      <c r="D9" s="130" t="s">
        <v>30</v>
      </c>
      <c r="E9" s="126" t="s">
        <v>594</v>
      </c>
      <c r="F9" s="123" t="s">
        <v>14</v>
      </c>
      <c r="G9" s="127" t="s">
        <v>58</v>
      </c>
      <c r="H9" s="123" t="s">
        <v>40</v>
      </c>
      <c r="I9" s="128" t="s">
        <v>309</v>
      </c>
      <c r="J9" s="130" t="s">
        <v>30</v>
      </c>
      <c r="K9" s="123">
        <v>2</v>
      </c>
      <c r="L9" s="128" t="s">
        <v>800</v>
      </c>
      <c r="M9" s="128" t="s">
        <v>30</v>
      </c>
      <c r="N9" s="129" t="s">
        <v>505</v>
      </c>
      <c r="O9" s="123" t="s">
        <v>41</v>
      </c>
      <c r="P9" s="123" t="s">
        <v>803</v>
      </c>
    </row>
    <row r="10" spans="1:16" ht="46.5">
      <c r="A10" s="123">
        <f t="shared" si="0"/>
        <v>5</v>
      </c>
      <c r="B10" s="124" t="s">
        <v>118</v>
      </c>
      <c r="C10" s="128" t="s">
        <v>219</v>
      </c>
      <c r="D10" s="130" t="s">
        <v>30</v>
      </c>
      <c r="E10" s="126" t="s">
        <v>595</v>
      </c>
      <c r="F10" s="123" t="s">
        <v>14</v>
      </c>
      <c r="G10" s="127" t="s">
        <v>59</v>
      </c>
      <c r="H10" s="123" t="s">
        <v>40</v>
      </c>
      <c r="I10" s="128" t="s">
        <v>217</v>
      </c>
      <c r="J10" s="130" t="s">
        <v>30</v>
      </c>
      <c r="K10" s="123">
        <v>1</v>
      </c>
      <c r="L10" s="128" t="s">
        <v>800</v>
      </c>
      <c r="M10" s="128" t="s">
        <v>30</v>
      </c>
      <c r="N10" s="129" t="s">
        <v>329</v>
      </c>
      <c r="O10" s="123" t="s">
        <v>41</v>
      </c>
      <c r="P10" s="123"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224</v>
      </c>
      <c r="D14" s="56" t="s">
        <v>30</v>
      </c>
      <c r="E14" s="91" t="s">
        <v>471</v>
      </c>
      <c r="F14" s="11" t="s">
        <v>14</v>
      </c>
      <c r="G14" s="13" t="s">
        <v>188</v>
      </c>
      <c r="H14" s="11" t="s">
        <v>142</v>
      </c>
      <c r="I14" s="11" t="s">
        <v>144</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 t="shared" si="0"/>
        <v>14</v>
      </c>
      <c r="B19" s="58" t="s">
        <v>174</v>
      </c>
      <c r="C19" s="68" t="s">
        <v>151</v>
      </c>
      <c r="D19" s="61" t="s">
        <v>14</v>
      </c>
      <c r="E19" s="91" t="s">
        <v>526</v>
      </c>
      <c r="F19" s="11" t="s">
        <v>14</v>
      </c>
      <c r="G19" s="13" t="s">
        <v>532</v>
      </c>
      <c r="H19" s="11" t="s">
        <v>51</v>
      </c>
      <c r="I19" s="68" t="s">
        <v>151</v>
      </c>
      <c r="J19" s="11" t="s">
        <v>30</v>
      </c>
      <c r="K19" s="11">
        <v>1</v>
      </c>
      <c r="L19" s="11" t="s">
        <v>800</v>
      </c>
      <c r="M19" s="11" t="s">
        <v>30</v>
      </c>
      <c r="N19" s="64" t="s">
        <v>530</v>
      </c>
      <c r="O19" s="11" t="s">
        <v>159</v>
      </c>
      <c r="P19" s="11" t="s">
        <v>802</v>
      </c>
    </row>
    <row r="20" spans="1:16">
      <c r="A20" s="11">
        <f t="shared" si="0"/>
        <v>15</v>
      </c>
      <c r="B20" s="58" t="s">
        <v>131</v>
      </c>
      <c r="C20" s="11" t="s">
        <v>152</v>
      </c>
      <c r="D20" s="11" t="s">
        <v>14</v>
      </c>
      <c r="E20" s="91" t="s">
        <v>477</v>
      </c>
      <c r="F20" s="11" t="s">
        <v>14</v>
      </c>
      <c r="G20" s="13" t="s">
        <v>183</v>
      </c>
      <c r="H20" s="11" t="s">
        <v>51</v>
      </c>
      <c r="I20" s="11" t="str">
        <f>C20</f>
        <v>1A72BTD00-600-G</v>
      </c>
      <c r="J20" s="11" t="s">
        <v>14</v>
      </c>
      <c r="K20" s="11">
        <v>1</v>
      </c>
      <c r="L20" s="11" t="s">
        <v>800</v>
      </c>
      <c r="M20" s="11" t="s">
        <v>30</v>
      </c>
      <c r="N20" s="45" t="s">
        <v>304</v>
      </c>
      <c r="O20" s="11" t="s">
        <v>41</v>
      </c>
      <c r="P20" s="11" t="s">
        <v>802</v>
      </c>
    </row>
    <row r="21" spans="1:16">
      <c r="A21" s="11">
        <f t="shared" si="0"/>
        <v>16</v>
      </c>
      <c r="B21" s="58" t="s">
        <v>175</v>
      </c>
      <c r="C21" s="24" t="s">
        <v>162</v>
      </c>
      <c r="D21" s="11" t="s">
        <v>14</v>
      </c>
      <c r="E21" s="91" t="s">
        <v>473</v>
      </c>
      <c r="F21" s="11" t="s">
        <v>14</v>
      </c>
      <c r="G21" s="43" t="s">
        <v>161</v>
      </c>
      <c r="H21" s="11" t="s">
        <v>51</v>
      </c>
      <c r="I21" s="11" t="s">
        <v>162</v>
      </c>
      <c r="J21" s="11" t="s">
        <v>14</v>
      </c>
      <c r="K21" s="11">
        <v>1</v>
      </c>
      <c r="L21" s="11" t="s">
        <v>800</v>
      </c>
      <c r="M21" s="11" t="s">
        <v>30</v>
      </c>
      <c r="N21" s="45" t="s">
        <v>304</v>
      </c>
      <c r="O21" s="11" t="s">
        <v>41</v>
      </c>
      <c r="P21" s="11" t="s">
        <v>802</v>
      </c>
    </row>
    <row r="22" spans="1:16">
      <c r="A22" s="11">
        <f t="shared" si="0"/>
        <v>17</v>
      </c>
      <c r="B22" s="58" t="s">
        <v>310</v>
      </c>
      <c r="C22" s="24"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308</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23">
        <f t="shared" si="0"/>
        <v>19</v>
      </c>
      <c r="B24" s="131" t="s">
        <v>279</v>
      </c>
      <c r="C24" s="128" t="s">
        <v>278</v>
      </c>
      <c r="D24" s="123" t="s">
        <v>30</v>
      </c>
      <c r="E24" s="132" t="s">
        <v>593</v>
      </c>
      <c r="F24" s="123" t="s">
        <v>30</v>
      </c>
      <c r="G24" s="133" t="s">
        <v>276</v>
      </c>
      <c r="H24" s="123" t="s">
        <v>274</v>
      </c>
      <c r="I24" s="123" t="s">
        <v>275</v>
      </c>
      <c r="J24" s="123" t="s">
        <v>14</v>
      </c>
      <c r="K24" s="123">
        <v>2</v>
      </c>
      <c r="L24" s="128" t="s">
        <v>800</v>
      </c>
      <c r="M24" s="128" t="s">
        <v>30</v>
      </c>
      <c r="N24" s="134" t="s">
        <v>277</v>
      </c>
      <c r="O24" s="123" t="s">
        <v>273</v>
      </c>
      <c r="P24" s="123" t="s">
        <v>803</v>
      </c>
    </row>
    <row r="25" spans="1:16">
      <c r="A25" s="11">
        <f t="shared" si="0"/>
        <v>20</v>
      </c>
      <c r="B25" s="58" t="s">
        <v>280</v>
      </c>
      <c r="C25" s="24" t="s">
        <v>330</v>
      </c>
      <c r="D25" s="11" t="s">
        <v>14</v>
      </c>
      <c r="E25" s="91" t="s">
        <v>478</v>
      </c>
      <c r="F25" s="11" t="s">
        <v>14</v>
      </c>
      <c r="G25" s="43" t="s">
        <v>287</v>
      </c>
      <c r="H25" s="52" t="s">
        <v>418</v>
      </c>
      <c r="I25" s="65" t="s">
        <v>330</v>
      </c>
      <c r="J25" s="11" t="s">
        <v>14</v>
      </c>
      <c r="K25" s="11">
        <v>1</v>
      </c>
      <c r="L25" s="11" t="s">
        <v>800</v>
      </c>
      <c r="M25" s="11" t="s">
        <v>30</v>
      </c>
      <c r="N25" s="45" t="s">
        <v>331</v>
      </c>
      <c r="O25" s="11" t="s">
        <v>44</v>
      </c>
      <c r="P25" s="11" t="s">
        <v>802</v>
      </c>
    </row>
    <row r="26" spans="1:16">
      <c r="A26" s="11">
        <f t="shared" si="0"/>
        <v>21</v>
      </c>
      <c r="B26" s="58" t="s">
        <v>281</v>
      </c>
      <c r="C26" s="24" t="s">
        <v>286</v>
      </c>
      <c r="D26" s="11" t="s">
        <v>14</v>
      </c>
      <c r="E26" s="91" t="s">
        <v>34</v>
      </c>
      <c r="F26" s="11" t="s">
        <v>14</v>
      </c>
      <c r="G26" s="66" t="s">
        <v>285</v>
      </c>
      <c r="H26" s="52" t="s">
        <v>418</v>
      </c>
      <c r="I26" s="11" t="s">
        <v>286</v>
      </c>
      <c r="J26" s="11" t="s">
        <v>14</v>
      </c>
      <c r="K26" s="11">
        <v>3</v>
      </c>
      <c r="L26" s="11" t="s">
        <v>800</v>
      </c>
      <c r="M26" s="11" t="s">
        <v>30</v>
      </c>
      <c r="N26" s="45" t="s">
        <v>284</v>
      </c>
      <c r="O26" s="11" t="s">
        <v>44</v>
      </c>
      <c r="P26" s="11" t="s">
        <v>802</v>
      </c>
    </row>
    <row r="27" spans="1:16">
      <c r="A27" s="11">
        <f t="shared" si="0"/>
        <v>22</v>
      </c>
      <c r="B27" s="58"/>
      <c r="C27" s="55" t="s">
        <v>408</v>
      </c>
      <c r="D27" s="11" t="s">
        <v>14</v>
      </c>
      <c r="E27" s="91" t="s">
        <v>34</v>
      </c>
      <c r="F27" s="11" t="s">
        <v>14</v>
      </c>
      <c r="G27" s="43" t="s">
        <v>405</v>
      </c>
      <c r="H27" s="52" t="s">
        <v>406</v>
      </c>
      <c r="I27" s="55" t="s">
        <v>407</v>
      </c>
      <c r="J27" s="11" t="s">
        <v>14</v>
      </c>
      <c r="K27" s="11"/>
      <c r="L27" s="11" t="s">
        <v>800</v>
      </c>
      <c r="M27" s="11" t="s">
        <v>30</v>
      </c>
      <c r="N27" s="45" t="s">
        <v>284</v>
      </c>
      <c r="O27" s="11" t="s">
        <v>44</v>
      </c>
      <c r="P27" s="11" t="s">
        <v>802</v>
      </c>
    </row>
    <row r="28" spans="1:16">
      <c r="A28" s="11">
        <f t="shared" si="0"/>
        <v>23</v>
      </c>
      <c r="B28" s="58" t="s">
        <v>409</v>
      </c>
      <c r="C28" s="55" t="s">
        <v>506</v>
      </c>
      <c r="D28" s="11" t="s">
        <v>14</v>
      </c>
      <c r="E28" s="91" t="s">
        <v>34</v>
      </c>
      <c r="F28" s="11" t="s">
        <v>14</v>
      </c>
      <c r="G28" s="66" t="s">
        <v>507</v>
      </c>
      <c r="H28" s="52" t="s">
        <v>418</v>
      </c>
      <c r="I28" s="55" t="s">
        <v>506</v>
      </c>
      <c r="J28" s="11" t="s">
        <v>14</v>
      </c>
      <c r="K28" s="11">
        <v>4</v>
      </c>
      <c r="L28" s="11" t="s">
        <v>800</v>
      </c>
      <c r="M28" s="11" t="s">
        <v>30</v>
      </c>
      <c r="N28" s="45" t="s">
        <v>515</v>
      </c>
      <c r="O28" s="11" t="s">
        <v>44</v>
      </c>
      <c r="P28" s="11" t="s">
        <v>802</v>
      </c>
    </row>
    <row r="29" spans="1:16">
      <c r="A29" s="11">
        <f t="shared" si="0"/>
        <v>24</v>
      </c>
      <c r="B29" s="58"/>
      <c r="C29" s="55" t="s">
        <v>508</v>
      </c>
      <c r="D29" s="11" t="s">
        <v>14</v>
      </c>
      <c r="E29" s="9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0"/>
        <v>25</v>
      </c>
      <c r="B30" s="58"/>
      <c r="C30" s="55" t="s">
        <v>509</v>
      </c>
      <c r="D30" s="11" t="s">
        <v>14</v>
      </c>
      <c r="E30" s="9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9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91" t="s">
        <v>34</v>
      </c>
      <c r="F32" s="11" t="s">
        <v>14</v>
      </c>
      <c r="G32" s="43" t="s">
        <v>316</v>
      </c>
      <c r="H32" s="52" t="s">
        <v>418</v>
      </c>
      <c r="I32" s="24" t="s">
        <v>290</v>
      </c>
      <c r="J32" s="11" t="s">
        <v>14</v>
      </c>
      <c r="K32" s="11">
        <v>8</v>
      </c>
      <c r="L32" s="11" t="s">
        <v>800</v>
      </c>
      <c r="M32" s="11" t="s">
        <v>30</v>
      </c>
      <c r="N32" s="45" t="s">
        <v>289</v>
      </c>
      <c r="O32" s="11" t="s">
        <v>44</v>
      </c>
      <c r="P32" s="11" t="s">
        <v>802</v>
      </c>
    </row>
    <row r="33" spans="1:16">
      <c r="A33" s="11">
        <f t="shared" si="0"/>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46</v>
      </c>
      <c r="C34" s="24" t="s">
        <v>333</v>
      </c>
      <c r="D34" s="11" t="s">
        <v>14</v>
      </c>
      <c r="E34" s="91" t="s">
        <v>34</v>
      </c>
      <c r="F34" s="11" t="s">
        <v>14</v>
      </c>
      <c r="G34" s="43" t="s">
        <v>314</v>
      </c>
      <c r="H34" s="52" t="s">
        <v>418</v>
      </c>
      <c r="I34" s="67" t="s">
        <v>333</v>
      </c>
      <c r="J34" s="11" t="s">
        <v>14</v>
      </c>
      <c r="K34" s="11">
        <v>1</v>
      </c>
      <c r="L34" s="11" t="s">
        <v>800</v>
      </c>
      <c r="M34" s="11" t="s">
        <v>30</v>
      </c>
      <c r="N34" s="45" t="s">
        <v>332</v>
      </c>
      <c r="O34" s="11" t="s">
        <v>44</v>
      </c>
      <c r="P34" s="11" t="s">
        <v>802</v>
      </c>
    </row>
    <row r="35" spans="1:16">
      <c r="A35" s="11">
        <f t="shared" si="0"/>
        <v>30</v>
      </c>
      <c r="B35" s="58" t="s">
        <v>47</v>
      </c>
      <c r="C35" s="24" t="s">
        <v>548</v>
      </c>
      <c r="D35" s="11" t="s">
        <v>14</v>
      </c>
      <c r="E35" s="91" t="s">
        <v>34</v>
      </c>
      <c r="F35" s="11" t="s">
        <v>14</v>
      </c>
      <c r="G35" s="43" t="s">
        <v>334</v>
      </c>
      <c r="H35" s="52" t="s">
        <v>418</v>
      </c>
      <c r="I35" s="67" t="s">
        <v>335</v>
      </c>
      <c r="J35" s="11" t="s">
        <v>14</v>
      </c>
      <c r="K35" s="52">
        <v>2</v>
      </c>
      <c r="L35" s="11" t="s">
        <v>800</v>
      </c>
      <c r="M35" s="11" t="s">
        <v>30</v>
      </c>
      <c r="N35" s="45" t="s">
        <v>336</v>
      </c>
      <c r="O35" s="11" t="s">
        <v>44</v>
      </c>
      <c r="P35" s="11" t="s">
        <v>802</v>
      </c>
    </row>
    <row r="36" spans="1:16">
      <c r="A36" s="11">
        <f t="shared" si="0"/>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9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9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55" t="s">
        <v>398</v>
      </c>
      <c r="D39" s="11" t="s">
        <v>14</v>
      </c>
      <c r="E39" s="91" t="s">
        <v>34</v>
      </c>
      <c r="F39" s="11" t="s">
        <v>14</v>
      </c>
      <c r="G39" s="43" t="s">
        <v>299</v>
      </c>
      <c r="H39" s="52" t="s">
        <v>418</v>
      </c>
      <c r="I39" s="55" t="s">
        <v>398</v>
      </c>
      <c r="J39" s="11" t="s">
        <v>14</v>
      </c>
      <c r="K39" s="11">
        <v>64</v>
      </c>
      <c r="L39" s="11" t="s">
        <v>800</v>
      </c>
      <c r="M39" s="11" t="s">
        <v>30</v>
      </c>
      <c r="N39" s="45" t="s">
        <v>296</v>
      </c>
      <c r="O39" s="11" t="s">
        <v>44</v>
      </c>
      <c r="P39" s="11" t="s">
        <v>802</v>
      </c>
    </row>
    <row r="40" spans="1:16">
      <c r="A40" s="11">
        <f t="shared" si="0"/>
        <v>35</v>
      </c>
      <c r="B40" s="58"/>
      <c r="C40" s="55" t="s">
        <v>400</v>
      </c>
      <c r="D40" s="11" t="s">
        <v>14</v>
      </c>
      <c r="E40" s="91" t="s">
        <v>34</v>
      </c>
      <c r="F40" s="11" t="s">
        <v>14</v>
      </c>
      <c r="G40" s="43" t="s">
        <v>415</v>
      </c>
      <c r="H40" s="52" t="s">
        <v>401</v>
      </c>
      <c r="I40" s="55" t="s">
        <v>402</v>
      </c>
      <c r="J40" s="11" t="s">
        <v>14</v>
      </c>
      <c r="K40" s="11"/>
      <c r="L40" s="11" t="s">
        <v>800</v>
      </c>
      <c r="M40" s="11" t="s">
        <v>30</v>
      </c>
      <c r="N40" s="45" t="s">
        <v>296</v>
      </c>
      <c r="O40" s="11" t="s">
        <v>44</v>
      </c>
      <c r="P40" s="11" t="s">
        <v>802</v>
      </c>
    </row>
    <row r="41" spans="1:16">
      <c r="A41" s="11">
        <f t="shared" si="0"/>
        <v>36</v>
      </c>
      <c r="B41" s="58" t="s">
        <v>412</v>
      </c>
      <c r="C41" s="55" t="s">
        <v>399</v>
      </c>
      <c r="D41" s="11" t="s">
        <v>14</v>
      </c>
      <c r="E41" s="91" t="s">
        <v>34</v>
      </c>
      <c r="F41" s="11" t="s">
        <v>14</v>
      </c>
      <c r="G41" s="13" t="s">
        <v>298</v>
      </c>
      <c r="H41" s="52" t="s">
        <v>418</v>
      </c>
      <c r="I41" s="55" t="s">
        <v>399</v>
      </c>
      <c r="J41" s="11" t="s">
        <v>14</v>
      </c>
      <c r="K41" s="11">
        <v>64</v>
      </c>
      <c r="L41" s="11" t="s">
        <v>800</v>
      </c>
      <c r="M41" s="11" t="s">
        <v>30</v>
      </c>
      <c r="N41" s="45" t="s">
        <v>297</v>
      </c>
      <c r="O41" s="11" t="s">
        <v>44</v>
      </c>
      <c r="P41" s="11" t="s">
        <v>802</v>
      </c>
    </row>
    <row r="42" spans="1:16">
      <c r="A42" s="11">
        <f t="shared" si="0"/>
        <v>37</v>
      </c>
      <c r="B42" s="58"/>
      <c r="C42" s="55" t="s">
        <v>404</v>
      </c>
      <c r="D42" s="11" t="s">
        <v>14</v>
      </c>
      <c r="E42" s="9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91" t="s">
        <v>34</v>
      </c>
      <c r="F43" s="11" t="s">
        <v>14</v>
      </c>
      <c r="G43" s="66"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91" t="s">
        <v>34</v>
      </c>
      <c r="F44" s="11" t="s">
        <v>14</v>
      </c>
      <c r="G44" s="66"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91" t="s">
        <v>34</v>
      </c>
      <c r="F45" s="11" t="s">
        <v>14</v>
      </c>
      <c r="G45" s="66"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91" t="s">
        <v>34</v>
      </c>
      <c r="F46" s="11" t="s">
        <v>14</v>
      </c>
      <c r="G46" s="66"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91" t="s">
        <v>34</v>
      </c>
      <c r="F47" s="11" t="s">
        <v>14</v>
      </c>
      <c r="G47" s="66"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91" t="s">
        <v>34</v>
      </c>
      <c r="F48" s="11" t="s">
        <v>14</v>
      </c>
      <c r="G48" s="66" t="s">
        <v>634</v>
      </c>
      <c r="H48" s="52" t="s">
        <v>538</v>
      </c>
      <c r="I48" s="52" t="s">
        <v>632</v>
      </c>
      <c r="J48" s="11" t="s">
        <v>14</v>
      </c>
      <c r="K48" s="11"/>
      <c r="L48" s="11" t="s">
        <v>800</v>
      </c>
      <c r="M48" s="11" t="s">
        <v>30</v>
      </c>
      <c r="N48" s="45" t="s">
        <v>524</v>
      </c>
      <c r="O48" s="11" t="s">
        <v>44</v>
      </c>
      <c r="P48" s="11" t="s">
        <v>802</v>
      </c>
    </row>
    <row r="49" spans="1:47">
      <c r="A49" s="11">
        <f t="shared" si="0"/>
        <v>44</v>
      </c>
      <c r="B49" s="58" t="s">
        <v>745</v>
      </c>
      <c r="C49" s="55" t="s">
        <v>747</v>
      </c>
      <c r="D49" s="11" t="s">
        <v>14</v>
      </c>
      <c r="E49" s="91" t="s">
        <v>34</v>
      </c>
      <c r="F49" s="11" t="s">
        <v>14</v>
      </c>
      <c r="G49" s="66" t="s">
        <v>744</v>
      </c>
      <c r="H49" s="55" t="s">
        <v>743</v>
      </c>
      <c r="I49" s="55" t="s">
        <v>747</v>
      </c>
      <c r="J49" s="11" t="s">
        <v>14</v>
      </c>
      <c r="K49" s="11">
        <v>1</v>
      </c>
      <c r="L49" s="11" t="s">
        <v>800</v>
      </c>
      <c r="M49" s="11" t="s">
        <v>30</v>
      </c>
      <c r="N49" s="45"/>
      <c r="O49" s="11" t="s">
        <v>44</v>
      </c>
      <c r="P49" s="11" t="s">
        <v>802</v>
      </c>
    </row>
    <row r="50" spans="1:47">
      <c r="A50" s="11">
        <f t="shared" si="0"/>
        <v>45</v>
      </c>
      <c r="B50" s="58" t="s">
        <v>746</v>
      </c>
      <c r="C50" s="55" t="s">
        <v>751</v>
      </c>
      <c r="D50" s="11" t="s">
        <v>14</v>
      </c>
      <c r="E50" s="91" t="s">
        <v>34</v>
      </c>
      <c r="F50" s="11" t="s">
        <v>14</v>
      </c>
      <c r="G50" s="66" t="s">
        <v>748</v>
      </c>
      <c r="H50" s="52" t="s">
        <v>749</v>
      </c>
      <c r="I50" s="55" t="s">
        <v>750</v>
      </c>
      <c r="J50" s="11" t="s">
        <v>14</v>
      </c>
      <c r="K50" s="11">
        <v>4</v>
      </c>
      <c r="L50" s="11" t="s">
        <v>800</v>
      </c>
      <c r="M50" s="11" t="s">
        <v>30</v>
      </c>
      <c r="N50" s="45"/>
      <c r="O50" s="11" t="s">
        <v>44</v>
      </c>
      <c r="P50" s="11" t="s">
        <v>802</v>
      </c>
    </row>
    <row r="51" spans="1:47">
      <c r="A51" s="11">
        <f t="shared" si="0"/>
        <v>46</v>
      </c>
      <c r="B51" s="58" t="s">
        <v>302</v>
      </c>
      <c r="C51" s="11" t="s">
        <v>789</v>
      </c>
      <c r="D51" s="11" t="s">
        <v>14</v>
      </c>
      <c r="E51" s="91" t="s">
        <v>34</v>
      </c>
      <c r="F51" s="11" t="s">
        <v>14</v>
      </c>
      <c r="G51" s="66" t="s">
        <v>786</v>
      </c>
      <c r="H51" s="52" t="s">
        <v>787</v>
      </c>
      <c r="I51" s="55" t="s">
        <v>785</v>
      </c>
      <c r="J51" s="11" t="s">
        <v>14</v>
      </c>
      <c r="K51" s="11">
        <v>1</v>
      </c>
      <c r="L51" s="11" t="s">
        <v>800</v>
      </c>
      <c r="M51" s="11" t="s">
        <v>30</v>
      </c>
      <c r="N51" s="45"/>
      <c r="O51" s="11" t="s">
        <v>44</v>
      </c>
      <c r="P51" s="11" t="s">
        <v>802</v>
      </c>
    </row>
    <row r="52" spans="1:47" s="206" customFormat="1">
      <c r="A52" s="200">
        <f t="shared" si="0"/>
        <v>47</v>
      </c>
      <c r="B52" s="201" t="s">
        <v>555</v>
      </c>
      <c r="C52" s="202" t="s">
        <v>211</v>
      </c>
      <c r="D52" s="200" t="s">
        <v>30</v>
      </c>
      <c r="E52" s="203" t="s">
        <v>527</v>
      </c>
      <c r="F52" s="200" t="s">
        <v>14</v>
      </c>
      <c r="G52" s="204" t="s">
        <v>209</v>
      </c>
      <c r="H52" s="200" t="s">
        <v>210</v>
      </c>
      <c r="I52" s="202" t="s">
        <v>213</v>
      </c>
      <c r="J52" s="200" t="s">
        <v>30</v>
      </c>
      <c r="K52" s="200">
        <v>8</v>
      </c>
      <c r="L52" s="200" t="s">
        <v>800</v>
      </c>
      <c r="M52" s="200" t="s">
        <v>30</v>
      </c>
      <c r="N52" s="205"/>
      <c r="O52" s="200" t="s">
        <v>50</v>
      </c>
      <c r="P52" s="200" t="s">
        <v>803</v>
      </c>
    </row>
    <row r="53" spans="1:47" s="206" customFormat="1">
      <c r="A53" s="200">
        <f t="shared" si="0"/>
        <v>48</v>
      </c>
      <c r="B53" s="201"/>
      <c r="C53" s="202" t="s">
        <v>212</v>
      </c>
      <c r="D53" s="200" t="s">
        <v>30</v>
      </c>
      <c r="E53" s="203" t="s">
        <v>527</v>
      </c>
      <c r="F53" s="200" t="s">
        <v>14</v>
      </c>
      <c r="G53" s="207" t="s">
        <v>209</v>
      </c>
      <c r="H53" s="200" t="s">
        <v>57</v>
      </c>
      <c r="I53" s="202" t="s">
        <v>214</v>
      </c>
      <c r="J53" s="200" t="s">
        <v>30</v>
      </c>
      <c r="K53" s="200"/>
      <c r="L53" s="200" t="s">
        <v>800</v>
      </c>
      <c r="M53" s="200" t="s">
        <v>30</v>
      </c>
      <c r="N53" s="205"/>
      <c r="O53" s="200" t="s">
        <v>50</v>
      </c>
      <c r="P53" s="200" t="s">
        <v>803</v>
      </c>
    </row>
    <row r="54" spans="1:47" s="39" customFormat="1" ht="14.5">
      <c r="A54" s="128">
        <f t="shared" si="0"/>
        <v>49</v>
      </c>
      <c r="B54" s="135" t="s">
        <v>556</v>
      </c>
      <c r="C54" s="128" t="s">
        <v>456</v>
      </c>
      <c r="D54" s="136" t="s">
        <v>30</v>
      </c>
      <c r="E54" s="126" t="s">
        <v>528</v>
      </c>
      <c r="F54" s="128" t="s">
        <v>14</v>
      </c>
      <c r="G54" s="127" t="s">
        <v>424</v>
      </c>
      <c r="H54" s="125" t="s">
        <v>464</v>
      </c>
      <c r="I54" s="125" t="s">
        <v>456</v>
      </c>
      <c r="J54" s="128" t="s">
        <v>30</v>
      </c>
      <c r="K54" s="128">
        <v>1</v>
      </c>
      <c r="L54" s="128" t="s">
        <v>800</v>
      </c>
      <c r="M54" s="128" t="s">
        <v>30</v>
      </c>
      <c r="N54" s="137"/>
      <c r="O54" s="128" t="s">
        <v>50</v>
      </c>
      <c r="P54" s="128" t="s">
        <v>802</v>
      </c>
    </row>
    <row r="55" spans="1:47" s="39" customFormat="1" ht="14.5">
      <c r="A55" s="128">
        <f t="shared" si="0"/>
        <v>50</v>
      </c>
      <c r="B55" s="135"/>
      <c r="C55" s="128" t="s">
        <v>462</v>
      </c>
      <c r="D55" s="136" t="s">
        <v>30</v>
      </c>
      <c r="E55" s="126" t="s">
        <v>528</v>
      </c>
      <c r="F55" s="128" t="s">
        <v>14</v>
      </c>
      <c r="G55" s="127" t="s">
        <v>425</v>
      </c>
      <c r="H55" s="125" t="s">
        <v>464</v>
      </c>
      <c r="I55" s="125" t="s">
        <v>462</v>
      </c>
      <c r="J55" s="128" t="s">
        <v>30</v>
      </c>
      <c r="K55" s="128"/>
      <c r="L55" s="128" t="s">
        <v>800</v>
      </c>
      <c r="M55" s="128" t="s">
        <v>30</v>
      </c>
      <c r="N55" s="137"/>
      <c r="O55" s="128" t="s">
        <v>50</v>
      </c>
      <c r="P55" s="128" t="s">
        <v>802</v>
      </c>
    </row>
    <row r="56" spans="1:47" s="39" customFormat="1" ht="14.5">
      <c r="A56" s="128">
        <f t="shared" si="0"/>
        <v>51</v>
      </c>
      <c r="B56" s="135"/>
      <c r="C56" s="128" t="s">
        <v>463</v>
      </c>
      <c r="D56" s="136" t="s">
        <v>30</v>
      </c>
      <c r="E56" s="126" t="s">
        <v>528</v>
      </c>
      <c r="F56" s="128" t="s">
        <v>14</v>
      </c>
      <c r="G56" s="127" t="s">
        <v>465</v>
      </c>
      <c r="H56" s="125" t="s">
        <v>464</v>
      </c>
      <c r="I56" s="125" t="s">
        <v>463</v>
      </c>
      <c r="J56" s="128" t="s">
        <v>30</v>
      </c>
      <c r="K56" s="128"/>
      <c r="L56" s="128" t="s">
        <v>800</v>
      </c>
      <c r="M56" s="128" t="s">
        <v>30</v>
      </c>
      <c r="N56" s="137"/>
      <c r="O56" s="128" t="s">
        <v>50</v>
      </c>
      <c r="P56" s="128" t="s">
        <v>802</v>
      </c>
    </row>
    <row r="57" spans="1:47" s="45" customFormat="1">
      <c r="A57" s="128">
        <f t="shared" si="0"/>
        <v>52</v>
      </c>
      <c r="B57" s="135"/>
      <c r="C57" s="128" t="s">
        <v>775</v>
      </c>
      <c r="D57" s="136" t="s">
        <v>30</v>
      </c>
      <c r="E57" s="126" t="s">
        <v>528</v>
      </c>
      <c r="F57" s="128" t="s">
        <v>14</v>
      </c>
      <c r="G57" s="127" t="s">
        <v>726</v>
      </c>
      <c r="H57" s="125" t="s">
        <v>464</v>
      </c>
      <c r="I57" s="125" t="str">
        <f>C57</f>
        <v>TEMP-S000229174</v>
      </c>
      <c r="J57" s="128" t="s">
        <v>30</v>
      </c>
      <c r="K57" s="128"/>
      <c r="L57" s="128" t="s">
        <v>800</v>
      </c>
      <c r="M57" s="128" t="s">
        <v>30</v>
      </c>
      <c r="N57" s="137"/>
      <c r="O57" s="128" t="s">
        <v>50</v>
      </c>
      <c r="P57" s="128" t="s">
        <v>802</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row>
    <row r="58" spans="1:47" s="25" customFormat="1" ht="14.5">
      <c r="A58" s="128">
        <f t="shared" si="0"/>
        <v>53</v>
      </c>
      <c r="B58" s="135" t="s">
        <v>557</v>
      </c>
      <c r="C58" s="123" t="s">
        <v>383</v>
      </c>
      <c r="D58" s="123" t="s">
        <v>30</v>
      </c>
      <c r="E58" s="126" t="s">
        <v>34</v>
      </c>
      <c r="F58" s="123" t="s">
        <v>30</v>
      </c>
      <c r="G58" s="144" t="s">
        <v>312</v>
      </c>
      <c r="H58" s="123" t="s">
        <v>51</v>
      </c>
      <c r="I58" s="123" t="s">
        <v>383</v>
      </c>
      <c r="J58" s="145" t="s">
        <v>127</v>
      </c>
      <c r="K58" s="145">
        <v>1</v>
      </c>
      <c r="L58" s="128" t="s">
        <v>800</v>
      </c>
      <c r="M58" s="128" t="s">
        <v>30</v>
      </c>
      <c r="N58" s="123"/>
      <c r="O58" s="146" t="s">
        <v>50</v>
      </c>
      <c r="P58" s="128" t="s">
        <v>802</v>
      </c>
    </row>
    <row r="59" spans="1:47" s="17" customFormat="1">
      <c r="A59" s="11">
        <f t="shared" si="0"/>
        <v>54</v>
      </c>
      <c r="B59" s="47" t="s">
        <v>752</v>
      </c>
      <c r="C59" s="24" t="s">
        <v>249</v>
      </c>
      <c r="D59" s="11" t="s">
        <v>30</v>
      </c>
      <c r="E59" s="91" t="s">
        <v>479</v>
      </c>
      <c r="F59" s="11" t="s">
        <v>14</v>
      </c>
      <c r="G59" s="13" t="s">
        <v>267</v>
      </c>
      <c r="H59" s="11" t="s">
        <v>39</v>
      </c>
      <c r="I59" s="24" t="s">
        <v>233</v>
      </c>
      <c r="J59" s="11" t="s">
        <v>700</v>
      </c>
      <c r="K59" s="11">
        <v>1</v>
      </c>
      <c r="L59" s="11" t="s">
        <v>800</v>
      </c>
      <c r="M59" s="11" t="s">
        <v>30</v>
      </c>
      <c r="N59" s="70" t="s">
        <v>268</v>
      </c>
      <c r="O59" s="11" t="s">
        <v>45</v>
      </c>
      <c r="P59" s="11" t="s">
        <v>802</v>
      </c>
    </row>
    <row r="60" spans="1:47" s="17" customFormat="1">
      <c r="A60" s="11">
        <f t="shared" si="0"/>
        <v>55</v>
      </c>
      <c r="B60" s="47" t="s">
        <v>753</v>
      </c>
      <c r="C60" s="55" t="s">
        <v>796</v>
      </c>
      <c r="D60" s="11" t="s">
        <v>30</v>
      </c>
      <c r="E60" s="91" t="s">
        <v>480</v>
      </c>
      <c r="F60" s="11" t="s">
        <v>14</v>
      </c>
      <c r="G60" s="13" t="s">
        <v>797</v>
      </c>
      <c r="H60" s="11" t="s">
        <v>39</v>
      </c>
      <c r="I60" s="24" t="s">
        <v>234</v>
      </c>
      <c r="J60" s="52" t="s">
        <v>773</v>
      </c>
      <c r="K60" s="11">
        <v>1</v>
      </c>
      <c r="L60" s="11" t="s">
        <v>800</v>
      </c>
      <c r="M60" s="11" t="s">
        <v>30</v>
      </c>
      <c r="N60" s="48" t="s">
        <v>192</v>
      </c>
      <c r="O60" s="11" t="s">
        <v>45</v>
      </c>
      <c r="P60" s="11" t="s">
        <v>802</v>
      </c>
    </row>
    <row r="61" spans="1:47" s="17" customFormat="1">
      <c r="A61" s="11">
        <f t="shared" si="0"/>
        <v>56</v>
      </c>
      <c r="B61" s="47" t="s">
        <v>758</v>
      </c>
      <c r="C61" s="55" t="s">
        <v>769</v>
      </c>
      <c r="D61" s="11" t="s">
        <v>30</v>
      </c>
      <c r="E61" s="91" t="s">
        <v>481</v>
      </c>
      <c r="F61" s="11" t="s">
        <v>14</v>
      </c>
      <c r="G61" s="13" t="s">
        <v>772</v>
      </c>
      <c r="H61" s="11" t="s">
        <v>39</v>
      </c>
      <c r="I61" s="24" t="s">
        <v>235</v>
      </c>
      <c r="J61" s="52" t="s">
        <v>773</v>
      </c>
      <c r="K61" s="11">
        <v>1</v>
      </c>
      <c r="L61" s="11" t="s">
        <v>800</v>
      </c>
      <c r="M61" s="11" t="s">
        <v>30</v>
      </c>
      <c r="N61" s="48" t="s">
        <v>193</v>
      </c>
      <c r="O61" s="11" t="s">
        <v>45</v>
      </c>
      <c r="P61" s="11" t="s">
        <v>802</v>
      </c>
    </row>
    <row r="62" spans="1:47" s="17" customFormat="1">
      <c r="A62" s="11">
        <f t="shared" si="0"/>
        <v>57</v>
      </c>
      <c r="B62" s="47" t="s">
        <v>155</v>
      </c>
      <c r="C62" s="55" t="s">
        <v>770</v>
      </c>
      <c r="D62" s="11" t="s">
        <v>30</v>
      </c>
      <c r="E62" s="91" t="s">
        <v>482</v>
      </c>
      <c r="F62" s="11" t="s">
        <v>14</v>
      </c>
      <c r="G62" s="13" t="s">
        <v>771</v>
      </c>
      <c r="H62" s="11" t="s">
        <v>39</v>
      </c>
      <c r="I62" s="24" t="s">
        <v>236</v>
      </c>
      <c r="J62" s="52" t="s">
        <v>702</v>
      </c>
      <c r="K62" s="11">
        <v>1</v>
      </c>
      <c r="L62" s="11" t="s">
        <v>800</v>
      </c>
      <c r="M62" s="11" t="s">
        <v>30</v>
      </c>
      <c r="N62" s="48" t="s">
        <v>194</v>
      </c>
      <c r="O62" s="11" t="s">
        <v>45</v>
      </c>
      <c r="P62" s="11" t="s">
        <v>802</v>
      </c>
    </row>
    <row r="63" spans="1:47" s="17" customFormat="1">
      <c r="A63" s="11">
        <f t="shared" si="0"/>
        <v>58</v>
      </c>
      <c r="B63" s="47" t="s">
        <v>121</v>
      </c>
      <c r="C63" s="24" t="s">
        <v>250</v>
      </c>
      <c r="D63" s="11" t="s">
        <v>30</v>
      </c>
      <c r="E63" s="91" t="s">
        <v>483</v>
      </c>
      <c r="F63" s="11" t="s">
        <v>14</v>
      </c>
      <c r="G63" s="13" t="s">
        <v>231</v>
      </c>
      <c r="H63" s="11" t="s">
        <v>39</v>
      </c>
      <c r="I63" s="24" t="s">
        <v>237</v>
      </c>
      <c r="J63" s="11" t="s">
        <v>702</v>
      </c>
      <c r="K63" s="11">
        <v>1</v>
      </c>
      <c r="L63" s="11" t="s">
        <v>800</v>
      </c>
      <c r="M63" s="11" t="s">
        <v>30</v>
      </c>
      <c r="N63" s="48" t="s">
        <v>195</v>
      </c>
      <c r="O63" s="11" t="s">
        <v>45</v>
      </c>
      <c r="P63" s="11" t="s">
        <v>802</v>
      </c>
    </row>
    <row r="64" spans="1:47" s="17" customFormat="1">
      <c r="A64" s="11">
        <f t="shared" si="0"/>
        <v>59</v>
      </c>
      <c r="B64" s="47" t="s">
        <v>122</v>
      </c>
      <c r="C64" s="24" t="s">
        <v>251</v>
      </c>
      <c r="D64" s="11" t="s">
        <v>30</v>
      </c>
      <c r="E64" s="91" t="s">
        <v>484</v>
      </c>
      <c r="F64" s="11" t="s">
        <v>14</v>
      </c>
      <c r="G64" s="43" t="s">
        <v>166</v>
      </c>
      <c r="H64" s="11" t="s">
        <v>39</v>
      </c>
      <c r="I64" s="24" t="s">
        <v>238</v>
      </c>
      <c r="J64" s="11" t="s">
        <v>701</v>
      </c>
      <c r="K64" s="11">
        <v>1</v>
      </c>
      <c r="L64" s="11" t="s">
        <v>800</v>
      </c>
      <c r="M64" s="11" t="s">
        <v>30</v>
      </c>
      <c r="N64" s="48" t="s">
        <v>196</v>
      </c>
      <c r="O64" s="11" t="s">
        <v>45</v>
      </c>
      <c r="P64" s="11" t="s">
        <v>802</v>
      </c>
    </row>
    <row r="65" spans="1:17" s="17" customFormat="1">
      <c r="A65" s="11">
        <f t="shared" si="0"/>
        <v>60</v>
      </c>
      <c r="B65" s="47" t="s">
        <v>123</v>
      </c>
      <c r="C65" s="24" t="s">
        <v>252</v>
      </c>
      <c r="D65" s="11" t="s">
        <v>30</v>
      </c>
      <c r="E65" s="91" t="s">
        <v>485</v>
      </c>
      <c r="F65" s="11" t="s">
        <v>14</v>
      </c>
      <c r="G65" s="43" t="s">
        <v>167</v>
      </c>
      <c r="H65" s="11" t="s">
        <v>39</v>
      </c>
      <c r="I65" s="24" t="s">
        <v>239</v>
      </c>
      <c r="J65" s="11" t="s">
        <v>701</v>
      </c>
      <c r="K65" s="11">
        <v>1</v>
      </c>
      <c r="L65" s="11" t="s">
        <v>800</v>
      </c>
      <c r="M65" s="11" t="s">
        <v>30</v>
      </c>
      <c r="N65" s="48" t="s">
        <v>197</v>
      </c>
      <c r="O65" s="11" t="s">
        <v>45</v>
      </c>
      <c r="P65" s="11" t="s">
        <v>802</v>
      </c>
    </row>
    <row r="66" spans="1:17" s="17" customFormat="1">
      <c r="A66" s="11">
        <f t="shared" si="0"/>
        <v>61</v>
      </c>
      <c r="B66" s="47" t="s">
        <v>124</v>
      </c>
      <c r="C66" s="24" t="s">
        <v>253</v>
      </c>
      <c r="D66" s="11" t="s">
        <v>30</v>
      </c>
      <c r="E66" s="91" t="s">
        <v>486</v>
      </c>
      <c r="F66" s="11" t="s">
        <v>14</v>
      </c>
      <c r="G66" s="43" t="s">
        <v>168</v>
      </c>
      <c r="H66" s="11" t="s">
        <v>39</v>
      </c>
      <c r="I66" s="24" t="s">
        <v>240</v>
      </c>
      <c r="J66" s="11" t="s">
        <v>701</v>
      </c>
      <c r="K66" s="11">
        <v>1</v>
      </c>
      <c r="L66" s="11" t="s">
        <v>800</v>
      </c>
      <c r="M66" s="11" t="s">
        <v>30</v>
      </c>
      <c r="N66" s="48" t="s">
        <v>198</v>
      </c>
      <c r="O66" s="11" t="s">
        <v>45</v>
      </c>
      <c r="P66" s="11" t="s">
        <v>802</v>
      </c>
    </row>
    <row r="67" spans="1:17" s="17" customFormat="1">
      <c r="A67" s="11">
        <f t="shared" si="0"/>
        <v>62</v>
      </c>
      <c r="B67" s="47" t="s">
        <v>156</v>
      </c>
      <c r="C67" s="24" t="s">
        <v>254</v>
      </c>
      <c r="D67" s="11" t="s">
        <v>30</v>
      </c>
      <c r="E67" s="91" t="s">
        <v>487</v>
      </c>
      <c r="F67" s="11" t="s">
        <v>14</v>
      </c>
      <c r="G67" s="43" t="s">
        <v>164</v>
      </c>
      <c r="H67" s="11" t="s">
        <v>39</v>
      </c>
      <c r="I67" s="24" t="s">
        <v>241</v>
      </c>
      <c r="J67" s="11" t="s">
        <v>701</v>
      </c>
      <c r="K67" s="11">
        <v>1</v>
      </c>
      <c r="L67" s="11" t="s">
        <v>800</v>
      </c>
      <c r="M67" s="11" t="s">
        <v>30</v>
      </c>
      <c r="N67" s="48" t="s">
        <v>199</v>
      </c>
      <c r="O67" s="11" t="s">
        <v>45</v>
      </c>
      <c r="P67" s="11" t="s">
        <v>802</v>
      </c>
    </row>
    <row r="68" spans="1:17" s="17" customFormat="1">
      <c r="A68" s="11">
        <f t="shared" si="0"/>
        <v>63</v>
      </c>
      <c r="B68" s="47" t="s">
        <v>157</v>
      </c>
      <c r="C68" s="24" t="s">
        <v>323</v>
      </c>
      <c r="D68" s="11" t="s">
        <v>30</v>
      </c>
      <c r="E68" s="91" t="s">
        <v>488</v>
      </c>
      <c r="F68" s="11" t="s">
        <v>14</v>
      </c>
      <c r="G68" s="43" t="s">
        <v>169</v>
      </c>
      <c r="H68" s="11" t="s">
        <v>39</v>
      </c>
      <c r="I68" s="24" t="s">
        <v>242</v>
      </c>
      <c r="J68" s="11" t="s">
        <v>701</v>
      </c>
      <c r="K68" s="11">
        <v>1</v>
      </c>
      <c r="L68" s="11" t="s">
        <v>800</v>
      </c>
      <c r="M68" s="11" t="s">
        <v>30</v>
      </c>
      <c r="N68" s="48" t="s">
        <v>200</v>
      </c>
      <c r="O68" s="11" t="s">
        <v>45</v>
      </c>
      <c r="P68" s="11" t="s">
        <v>802</v>
      </c>
    </row>
    <row r="69" spans="1:17" s="17" customFormat="1">
      <c r="A69" s="11">
        <f t="shared" si="0"/>
        <v>64</v>
      </c>
      <c r="B69" s="47" t="s">
        <v>176</v>
      </c>
      <c r="C69" s="24" t="s">
        <v>255</v>
      </c>
      <c r="D69" s="11" t="s">
        <v>30</v>
      </c>
      <c r="E69" s="91" t="s">
        <v>489</v>
      </c>
      <c r="F69" s="11" t="s">
        <v>14</v>
      </c>
      <c r="G69" s="43" t="s">
        <v>165</v>
      </c>
      <c r="H69" s="11" t="s">
        <v>39</v>
      </c>
      <c r="I69" s="24" t="s">
        <v>243</v>
      </c>
      <c r="J69" s="11" t="s">
        <v>701</v>
      </c>
      <c r="K69" s="11">
        <v>1</v>
      </c>
      <c r="L69" s="11" t="s">
        <v>800</v>
      </c>
      <c r="M69" s="11" t="s">
        <v>30</v>
      </c>
      <c r="N69" s="48" t="s">
        <v>201</v>
      </c>
      <c r="O69" s="11" t="s">
        <v>45</v>
      </c>
      <c r="P69" s="11" t="s">
        <v>802</v>
      </c>
    </row>
    <row r="70" spans="1:17" s="17" customFormat="1">
      <c r="A70" s="11">
        <f t="shared" si="0"/>
        <v>65</v>
      </c>
      <c r="B70" s="47" t="s">
        <v>158</v>
      </c>
      <c r="C70" s="24" t="s">
        <v>256</v>
      </c>
      <c r="D70" s="11" t="s">
        <v>30</v>
      </c>
      <c r="E70" s="91" t="s">
        <v>490</v>
      </c>
      <c r="F70" s="11" t="s">
        <v>14</v>
      </c>
      <c r="G70" s="43" t="s">
        <v>170</v>
      </c>
      <c r="H70" s="11" t="s">
        <v>39</v>
      </c>
      <c r="I70" s="24" t="s">
        <v>244</v>
      </c>
      <c r="J70" s="11" t="s">
        <v>701</v>
      </c>
      <c r="K70" s="11">
        <v>1</v>
      </c>
      <c r="L70" s="11" t="s">
        <v>800</v>
      </c>
      <c r="M70" s="11" t="s">
        <v>30</v>
      </c>
      <c r="N70" s="48" t="s">
        <v>202</v>
      </c>
      <c r="O70" s="11" t="s">
        <v>45</v>
      </c>
      <c r="P70" s="11" t="s">
        <v>802</v>
      </c>
    </row>
    <row r="71" spans="1:17" s="17" customFormat="1">
      <c r="A71" s="11">
        <f t="shared" si="0"/>
        <v>66</v>
      </c>
      <c r="B71" s="47" t="s">
        <v>270</v>
      </c>
      <c r="C71" s="24" t="s">
        <v>262</v>
      </c>
      <c r="D71" s="11" t="s">
        <v>30</v>
      </c>
      <c r="E71" s="91" t="s">
        <v>491</v>
      </c>
      <c r="F71" s="11" t="s">
        <v>14</v>
      </c>
      <c r="G71" s="43" t="s">
        <v>163</v>
      </c>
      <c r="H71" s="11" t="s">
        <v>39</v>
      </c>
      <c r="I71" s="54" t="s">
        <v>265</v>
      </c>
      <c r="J71" s="11" t="s">
        <v>700</v>
      </c>
      <c r="K71" s="11">
        <v>1</v>
      </c>
      <c r="L71" s="11" t="s">
        <v>800</v>
      </c>
      <c r="M71" s="11" t="s">
        <v>30</v>
      </c>
      <c r="N71" s="48" t="s">
        <v>203</v>
      </c>
      <c r="O71" s="11" t="s">
        <v>45</v>
      </c>
      <c r="P71" s="11" t="s">
        <v>802</v>
      </c>
    </row>
    <row r="72" spans="1:17" s="17" customFormat="1">
      <c r="A72" s="11">
        <f t="shared" si="0"/>
        <v>67</v>
      </c>
      <c r="B72" s="47" t="s">
        <v>271</v>
      </c>
      <c r="C72" s="24" t="s">
        <v>257</v>
      </c>
      <c r="D72" s="11" t="s">
        <v>30</v>
      </c>
      <c r="E72" s="91" t="s">
        <v>492</v>
      </c>
      <c r="F72" s="11" t="s">
        <v>14</v>
      </c>
      <c r="G72" s="43" t="s">
        <v>171</v>
      </c>
      <c r="H72" s="11" t="s">
        <v>39</v>
      </c>
      <c r="I72" s="24" t="s">
        <v>245</v>
      </c>
      <c r="J72" s="11" t="s">
        <v>703</v>
      </c>
      <c r="K72" s="11">
        <v>1</v>
      </c>
      <c r="L72" s="11" t="s">
        <v>800</v>
      </c>
      <c r="M72" s="11" t="s">
        <v>30</v>
      </c>
      <c r="N72" s="48" t="s">
        <v>204</v>
      </c>
      <c r="O72" s="11" t="s">
        <v>45</v>
      </c>
      <c r="P72" s="11" t="s">
        <v>802</v>
      </c>
    </row>
    <row r="73" spans="1:17" s="17" customFormat="1">
      <c r="A73" s="11">
        <f t="shared" si="0"/>
        <v>68</v>
      </c>
      <c r="B73" s="47" t="s">
        <v>272</v>
      </c>
      <c r="C73" s="11" t="s">
        <v>258</v>
      </c>
      <c r="D73" s="11" t="s">
        <v>30</v>
      </c>
      <c r="E73" s="91" t="s">
        <v>493</v>
      </c>
      <c r="F73" s="11" t="s">
        <v>14</v>
      </c>
      <c r="G73" s="43" t="s">
        <v>172</v>
      </c>
      <c r="H73" s="11" t="s">
        <v>39</v>
      </c>
      <c r="I73" s="24" t="s">
        <v>246</v>
      </c>
      <c r="J73" s="11" t="s">
        <v>703</v>
      </c>
      <c r="K73" s="11">
        <v>1</v>
      </c>
      <c r="L73" s="11" t="s">
        <v>800</v>
      </c>
      <c r="M73" s="11" t="s">
        <v>30</v>
      </c>
      <c r="N73" s="48" t="s">
        <v>205</v>
      </c>
      <c r="O73" s="11" t="s">
        <v>45</v>
      </c>
      <c r="P73" s="11" t="s">
        <v>802</v>
      </c>
    </row>
    <row r="74" spans="1:17" s="17" customFormat="1">
      <c r="A74" s="11">
        <f t="shared" ref="A74:A78" si="1">ROW(A74)-5</f>
        <v>69</v>
      </c>
      <c r="B74" s="47" t="s">
        <v>558</v>
      </c>
      <c r="C74" s="11" t="s">
        <v>259</v>
      </c>
      <c r="D74" s="11" t="s">
        <v>30</v>
      </c>
      <c r="E74" s="91" t="s">
        <v>494</v>
      </c>
      <c r="F74" s="11" t="s">
        <v>14</v>
      </c>
      <c r="G74" s="43" t="s">
        <v>190</v>
      </c>
      <c r="H74" s="11" t="s">
        <v>39</v>
      </c>
      <c r="I74" s="24" t="s">
        <v>247</v>
      </c>
      <c r="J74" s="11" t="s">
        <v>703</v>
      </c>
      <c r="K74" s="11">
        <v>1</v>
      </c>
      <c r="L74" s="11" t="s">
        <v>800</v>
      </c>
      <c r="M74" s="11" t="s">
        <v>30</v>
      </c>
      <c r="N74" s="48" t="s">
        <v>206</v>
      </c>
      <c r="O74" s="11" t="s">
        <v>45</v>
      </c>
      <c r="P74" s="11" t="s">
        <v>802</v>
      </c>
    </row>
    <row r="75" spans="1:17" s="17" customFormat="1">
      <c r="A75" s="11">
        <f t="shared" si="1"/>
        <v>70</v>
      </c>
      <c r="B75" s="47" t="s">
        <v>559</v>
      </c>
      <c r="C75" s="11" t="s">
        <v>260</v>
      </c>
      <c r="D75" s="11" t="s">
        <v>30</v>
      </c>
      <c r="E75" s="91" t="s">
        <v>495</v>
      </c>
      <c r="F75" s="11" t="s">
        <v>14</v>
      </c>
      <c r="G75" s="43" t="s">
        <v>191</v>
      </c>
      <c r="H75" s="11" t="s">
        <v>39</v>
      </c>
      <c r="I75" s="24" t="s">
        <v>248</v>
      </c>
      <c r="J75" s="11" t="s">
        <v>703</v>
      </c>
      <c r="K75" s="11">
        <v>1</v>
      </c>
      <c r="L75" s="11" t="s">
        <v>800</v>
      </c>
      <c r="M75" s="11" t="s">
        <v>30</v>
      </c>
      <c r="N75" s="48" t="s">
        <v>207</v>
      </c>
      <c r="O75" s="11" t="s">
        <v>45</v>
      </c>
      <c r="P75" s="11" t="s">
        <v>802</v>
      </c>
    </row>
    <row r="76" spans="1:17" s="17" customFormat="1">
      <c r="A76" s="11">
        <f t="shared" si="1"/>
        <v>71</v>
      </c>
      <c r="B76" s="47" t="s">
        <v>754</v>
      </c>
      <c r="C76" s="11" t="s">
        <v>263</v>
      </c>
      <c r="D76" s="11" t="s">
        <v>30</v>
      </c>
      <c r="E76" s="91" t="s">
        <v>496</v>
      </c>
      <c r="F76" s="11" t="s">
        <v>14</v>
      </c>
      <c r="G76" s="43" t="s">
        <v>208</v>
      </c>
      <c r="H76" s="11" t="s">
        <v>39</v>
      </c>
      <c r="I76" s="24" t="s">
        <v>264</v>
      </c>
      <c r="J76" s="11" t="s">
        <v>703</v>
      </c>
      <c r="K76" s="11">
        <v>1</v>
      </c>
      <c r="L76" s="11" t="s">
        <v>800</v>
      </c>
      <c r="M76" s="11" t="s">
        <v>30</v>
      </c>
      <c r="N76" s="48" t="s">
        <v>215</v>
      </c>
      <c r="O76" s="11" t="s">
        <v>45</v>
      </c>
      <c r="P76" s="11" t="s">
        <v>802</v>
      </c>
    </row>
    <row r="77" spans="1:17" s="17" customFormat="1">
      <c r="A77" s="11">
        <f t="shared" si="1"/>
        <v>72</v>
      </c>
      <c r="B77" s="47" t="s">
        <v>755</v>
      </c>
      <c r="C77" s="52" t="s">
        <v>778</v>
      </c>
      <c r="D77" s="11" t="s">
        <v>30</v>
      </c>
      <c r="E77" s="91" t="s">
        <v>497</v>
      </c>
      <c r="F77" s="11" t="s">
        <v>14</v>
      </c>
      <c r="G77" s="13" t="s">
        <v>533</v>
      </c>
      <c r="H77" s="52" t="s">
        <v>585</v>
      </c>
      <c r="I77" s="55" t="s">
        <v>780</v>
      </c>
      <c r="J77" s="11" t="s">
        <v>30</v>
      </c>
      <c r="K77" s="11">
        <v>1</v>
      </c>
      <c r="L77" s="11" t="s">
        <v>800</v>
      </c>
      <c r="M77" s="11" t="s">
        <v>30</v>
      </c>
      <c r="N77" s="48" t="s">
        <v>461</v>
      </c>
      <c r="O77" s="11" t="s">
        <v>269</v>
      </c>
      <c r="P77" s="11" t="s">
        <v>802</v>
      </c>
    </row>
    <row r="78" spans="1:17" s="17" customFormat="1">
      <c r="A78" s="11">
        <f t="shared" si="1"/>
        <v>73</v>
      </c>
      <c r="B78" s="47"/>
      <c r="C78" s="52" t="s">
        <v>779</v>
      </c>
      <c r="D78" s="11" t="s">
        <v>30</v>
      </c>
      <c r="E78" s="91" t="s">
        <v>497</v>
      </c>
      <c r="F78" s="11" t="s">
        <v>14</v>
      </c>
      <c r="G78" s="13" t="s">
        <v>533</v>
      </c>
      <c r="H78" s="52" t="s">
        <v>586</v>
      </c>
      <c r="I78" s="55" t="s">
        <v>781</v>
      </c>
      <c r="J78" s="11" t="s">
        <v>30</v>
      </c>
      <c r="K78" s="11"/>
      <c r="L78" s="11" t="s">
        <v>800</v>
      </c>
      <c r="M78" s="11" t="s">
        <v>30</v>
      </c>
      <c r="N78" s="48"/>
      <c r="O78" s="11" t="s">
        <v>269</v>
      </c>
      <c r="P78" s="11" t="s">
        <v>802</v>
      </c>
    </row>
    <row r="79" spans="1:17" s="17" customFormat="1">
      <c r="A79" s="11">
        <v>63</v>
      </c>
      <c r="B79" s="47" t="s">
        <v>560</v>
      </c>
      <c r="C79" s="96" t="s">
        <v>564</v>
      </c>
      <c r="D79" s="11" t="s">
        <v>30</v>
      </c>
      <c r="E79" s="91" t="s">
        <v>34</v>
      </c>
      <c r="F79" s="11" t="s">
        <v>30</v>
      </c>
      <c r="G79" s="53" t="s">
        <v>565</v>
      </c>
      <c r="H79" s="11" t="s">
        <v>566</v>
      </c>
      <c r="I79" s="96" t="s">
        <v>563</v>
      </c>
      <c r="J79" s="50" t="s">
        <v>127</v>
      </c>
      <c r="K79" s="50">
        <v>1</v>
      </c>
      <c r="L79" s="11" t="s">
        <v>800</v>
      </c>
      <c r="M79" s="11" t="s">
        <v>30</v>
      </c>
      <c r="N79" s="48" t="s">
        <v>567</v>
      </c>
      <c r="O79" s="52" t="s">
        <v>562</v>
      </c>
      <c r="P79" s="11" t="s">
        <v>802</v>
      </c>
      <c r="Q79" s="97"/>
    </row>
    <row r="80" spans="1:17">
      <c r="A80" s="45">
        <f t="shared" ref="A80:A82" si="2">ROW(A80)-5</f>
        <v>75</v>
      </c>
      <c r="B80" s="98" t="s">
        <v>561</v>
      </c>
      <c r="C80" s="45" t="s">
        <v>569</v>
      </c>
      <c r="D80" s="99" t="s">
        <v>14</v>
      </c>
      <c r="E80" s="45" t="s">
        <v>34</v>
      </c>
      <c r="F80" s="45" t="s">
        <v>14</v>
      </c>
      <c r="G80" s="100" t="s">
        <v>570</v>
      </c>
      <c r="H80" s="101" t="s">
        <v>51</v>
      </c>
      <c r="I80" s="45" t="s">
        <v>569</v>
      </c>
      <c r="J80" s="99" t="s">
        <v>14</v>
      </c>
      <c r="K80" s="102">
        <v>3</v>
      </c>
      <c r="L80" s="11" t="s">
        <v>800</v>
      </c>
      <c r="M80" s="11" t="s">
        <v>30</v>
      </c>
      <c r="N80" s="48" t="s">
        <v>573</v>
      </c>
      <c r="O80" s="101" t="s">
        <v>129</v>
      </c>
      <c r="P80" s="11" t="s">
        <v>802</v>
      </c>
      <c r="Q80" s="97"/>
    </row>
    <row r="81" spans="1:17">
      <c r="A81" s="45">
        <f t="shared" si="2"/>
        <v>76</v>
      </c>
      <c r="B81" s="98" t="s">
        <v>756</v>
      </c>
      <c r="C81" s="45" t="s">
        <v>571</v>
      </c>
      <c r="D81" s="99" t="s">
        <v>14</v>
      </c>
      <c r="E81" s="45" t="s">
        <v>34</v>
      </c>
      <c r="F81" s="45" t="s">
        <v>14</v>
      </c>
      <c r="G81" s="103" t="s">
        <v>572</v>
      </c>
      <c r="H81" s="101" t="s">
        <v>51</v>
      </c>
      <c r="I81" s="45" t="s">
        <v>571</v>
      </c>
      <c r="J81" s="99" t="s">
        <v>14</v>
      </c>
      <c r="K81" s="104">
        <v>4</v>
      </c>
      <c r="L81" s="11" t="s">
        <v>800</v>
      </c>
      <c r="M81" s="11" t="s">
        <v>30</v>
      </c>
      <c r="N81" s="48" t="s">
        <v>804</v>
      </c>
      <c r="O81" s="101" t="s">
        <v>129</v>
      </c>
      <c r="P81" s="11" t="s">
        <v>802</v>
      </c>
      <c r="Q81" s="97"/>
    </row>
    <row r="82" spans="1:17" s="25" customFormat="1">
      <c r="A82" s="11">
        <f t="shared" si="2"/>
        <v>77</v>
      </c>
      <c r="B82" s="47" t="s">
        <v>759</v>
      </c>
      <c r="C82" s="11" t="s">
        <v>179</v>
      </c>
      <c r="D82" s="11" t="s">
        <v>30</v>
      </c>
      <c r="E82" s="90" t="s">
        <v>34</v>
      </c>
      <c r="F82" s="11" t="s">
        <v>30</v>
      </c>
      <c r="G82" s="53" t="s">
        <v>230</v>
      </c>
      <c r="H82" s="11" t="s">
        <v>154</v>
      </c>
      <c r="I82" s="11" t="s">
        <v>179</v>
      </c>
      <c r="J82" s="50" t="s">
        <v>127</v>
      </c>
      <c r="K82" s="50">
        <v>1</v>
      </c>
      <c r="L82" s="11" t="s">
        <v>800</v>
      </c>
      <c r="M82" s="11" t="s">
        <v>30</v>
      </c>
      <c r="N82" s="48"/>
      <c r="O82" s="52" t="s">
        <v>129</v>
      </c>
      <c r="P82" s="11" t="s">
        <v>803</v>
      </c>
    </row>
    <row r="83" spans="1:17">
      <c r="B83" s="3"/>
      <c r="C83" s="2"/>
      <c r="H83" s="5"/>
      <c r="I83" s="2"/>
    </row>
    <row r="84" spans="1:17">
      <c r="A84" s="17"/>
      <c r="B84" s="1" t="s">
        <v>15</v>
      </c>
      <c r="C84" s="10" t="s">
        <v>16</v>
      </c>
      <c r="D84" s="18"/>
      <c r="E84" s="17"/>
      <c r="F84" s="17"/>
      <c r="G84" s="4"/>
      <c r="H84" s="17"/>
      <c r="I84" s="17"/>
      <c r="J84" s="17"/>
      <c r="O84" s="17"/>
      <c r="P84" s="17"/>
    </row>
    <row r="85" spans="1:17">
      <c r="A85" s="17"/>
      <c r="B85" s="17"/>
      <c r="C85" s="15" t="s">
        <v>5</v>
      </c>
      <c r="D85" s="17"/>
      <c r="E85" s="17"/>
      <c r="F85" s="17"/>
      <c r="G85" s="16"/>
      <c r="H85" s="17"/>
      <c r="I85" s="17"/>
      <c r="J85" s="17"/>
      <c r="O85" s="17"/>
      <c r="P85" s="17"/>
    </row>
    <row r="86" spans="1:17">
      <c r="A86" s="17"/>
      <c r="B86" s="17"/>
      <c r="C86" s="19" t="s">
        <v>6</v>
      </c>
      <c r="D86" s="17"/>
      <c r="E86" s="17"/>
      <c r="F86" s="17"/>
      <c r="G86" s="16"/>
      <c r="H86" s="17"/>
      <c r="I86" s="17"/>
      <c r="J86" s="17"/>
      <c r="O86" s="17"/>
      <c r="P86" s="17"/>
    </row>
    <row r="87" spans="1:17">
      <c r="C87" s="20" t="s">
        <v>52</v>
      </c>
      <c r="G87" s="18"/>
    </row>
    <row r="88" spans="1:17" ht="46.5">
      <c r="C88" s="29" t="s">
        <v>53</v>
      </c>
    </row>
    <row r="89" spans="1:17">
      <c r="K89" s="7"/>
      <c r="L89" s="7"/>
      <c r="M89" s="7"/>
    </row>
    <row r="90" spans="1:17">
      <c r="G90" s="22"/>
    </row>
  </sheetData>
  <autoFilter ref="A5:P5" xr:uid="{B805019A-614A-43E1-98B4-5739000E2BA6}"/>
  <mergeCells count="4">
    <mergeCell ref="A3:B3"/>
    <mergeCell ref="A4:B4"/>
    <mergeCell ref="A1:P1"/>
    <mergeCell ref="A2:P2"/>
  </mergeCells>
  <phoneticPr fontId="18" type="noConversion"/>
  <conditionalFormatting sqref="A23:B23 D23:D24">
    <cfRule type="containsText" dxfId="654" priority="161" operator="containsText" text="TBD">
      <formula>NOT(ISERROR(SEARCH("TBD",A23)))</formula>
    </cfRule>
  </conditionalFormatting>
  <conditionalFormatting sqref="A28:B28">
    <cfRule type="containsText" dxfId="653" priority="157" operator="containsText" text="TBD">
      <formula>NOT(ISERROR(SEARCH("TBD",A28)))</formula>
    </cfRule>
  </conditionalFormatting>
  <conditionalFormatting sqref="A43:B45 D43:F45">
    <cfRule type="containsText" dxfId="652" priority="68" operator="containsText" text="TBD">
      <formula>NOT(ISERROR(SEARCH("TBD",A43)))</formula>
    </cfRule>
  </conditionalFormatting>
  <conditionalFormatting sqref="A48:B51">
    <cfRule type="containsText" dxfId="651" priority="20" operator="containsText" text="TBD">
      <formula>NOT(ISERROR(SEARCH("TBD",A48)))</formula>
    </cfRule>
  </conditionalFormatting>
  <conditionalFormatting sqref="A54:B55 A56:A75">
    <cfRule type="containsText" dxfId="650" priority="50" operator="containsText" text="TBD">
      <formula>NOT(ISERROR(SEARCH("TBD",A54)))</formula>
    </cfRule>
  </conditionalFormatting>
  <conditionalFormatting sqref="A24:C25">
    <cfRule type="containsText" dxfId="649" priority="216" operator="containsText" text="TBD">
      <formula>NOT(ISERROR(SEARCH("TBD",A24)))</formula>
    </cfRule>
  </conditionalFormatting>
  <conditionalFormatting sqref="A9:D15">
    <cfRule type="containsText" dxfId="648" priority="202" operator="containsText" text="TBD">
      <formula>NOT(ISERROR(SEARCH("TBD",A9)))</formula>
    </cfRule>
  </conditionalFormatting>
  <conditionalFormatting sqref="A18:D22">
    <cfRule type="containsText" dxfId="647" priority="196" operator="containsText" text="TBD">
      <formula>NOT(ISERROR(SEARCH("TBD",A18)))</formula>
    </cfRule>
  </conditionalFormatting>
  <conditionalFormatting sqref="A31:G35">
    <cfRule type="containsText" dxfId="646" priority="98" operator="containsText" text="TBD">
      <formula>NOT(ISERROR(SEARCH("TBD",A31)))</formula>
    </cfRule>
  </conditionalFormatting>
  <conditionalFormatting sqref="B58:E58 A59:E79">
    <cfRule type="containsText" dxfId="645" priority="82" operator="containsText" text="TBD">
      <formula>NOT(ISERROR(SEARCH("TBD",A58)))</formula>
    </cfRule>
  </conditionalFormatting>
  <conditionalFormatting sqref="C21:C23">
    <cfRule type="containsText" dxfId="644" priority="160" operator="containsText" text="TBD">
      <formula>NOT(ISERROR(SEARCH("TBD",C21)))</formula>
    </cfRule>
  </conditionalFormatting>
  <conditionalFormatting sqref="C25">
    <cfRule type="duplicateValues" dxfId="643" priority="201"/>
    <cfRule type="duplicateValues" dxfId="642" priority="200"/>
  </conditionalFormatting>
  <conditionalFormatting sqref="C27:C30">
    <cfRule type="containsText" dxfId="641" priority="151" operator="containsText" text="TBD">
      <formula>NOT(ISERROR(SEARCH("TBD",C27)))</formula>
    </cfRule>
  </conditionalFormatting>
  <conditionalFormatting sqref="C36:C45">
    <cfRule type="containsText" dxfId="640" priority="64" operator="containsText" text="TBD">
      <formula>NOT(ISERROR(SEARCH("TBD",C36)))</formula>
    </cfRule>
  </conditionalFormatting>
  <conditionalFormatting sqref="C48:C72">
    <cfRule type="containsText" dxfId="639" priority="15" operator="containsText" text="TBD">
      <formula>NOT(ISERROR(SEARCH("TBD",C48)))</formula>
    </cfRule>
  </conditionalFormatting>
  <conditionalFormatting sqref="C84:C87">
    <cfRule type="containsText" dxfId="638" priority="215" operator="containsText" text="TBD">
      <formula>NOT(ISERROR(SEARCH("TBD",C84)))</formula>
    </cfRule>
  </conditionalFormatting>
  <conditionalFormatting sqref="C37:G38 C39:F39 A40:F42 D54:F54">
    <cfRule type="containsText" dxfId="637" priority="195" operator="containsText" text="TBD">
      <formula>NOT(ISERROR(SEARCH("TBD",A37)))</formula>
    </cfRule>
  </conditionalFormatting>
  <conditionalFormatting sqref="D55:D57 F55:F57 B56:B57">
    <cfRule type="containsText" dxfId="636" priority="25" operator="containsText" text="TBD">
      <formula>NOT(ISERROR(SEARCH("TBD",B55)))</formula>
    </cfRule>
  </conditionalFormatting>
  <conditionalFormatting sqref="D50:F50">
    <cfRule type="containsText" dxfId="635" priority="36" operator="containsText" text="TBD">
      <formula>NOT(ISERROR(SEARCH("TBD",D50)))</formula>
    </cfRule>
  </conditionalFormatting>
  <conditionalFormatting sqref="D36:G36">
    <cfRule type="containsText" dxfId="634" priority="90" operator="containsText" text="TBD">
      <formula>NOT(ISERROR(SEARCH("TBD",D36)))</formula>
    </cfRule>
  </conditionalFormatting>
  <conditionalFormatting sqref="D49:G49">
    <cfRule type="containsText" dxfId="633" priority="34" operator="containsText" text="TBD">
      <formula>NOT(ISERROR(SEARCH("TBD",D49)))</formula>
    </cfRule>
  </conditionalFormatting>
  <conditionalFormatting sqref="D25:H25">
    <cfRule type="containsText" dxfId="632" priority="170" operator="containsText" text="TBD">
      <formula>NOT(ISERROR(SEARCH("TBD",D25)))</formula>
    </cfRule>
  </conditionalFormatting>
  <conditionalFormatting sqref="D51:H51">
    <cfRule type="containsText" dxfId="631" priority="21" operator="containsText" text="TBD">
      <formula>NOT(ISERROR(SEARCH("TBD",D51)))</formula>
    </cfRule>
  </conditionalFormatting>
  <conditionalFormatting sqref="E6:E23">
    <cfRule type="containsText" dxfId="630" priority="69" operator="containsText" text="TBD">
      <formula>NOT(ISERROR(SEARCH("TBD",E6)))</formula>
    </cfRule>
  </conditionalFormatting>
  <conditionalFormatting sqref="E27:E45">
    <cfRule type="containsText" dxfId="629" priority="66" operator="containsText" text="TBD">
      <formula>NOT(ISERROR(SEARCH("TBD",E27)))</formula>
    </cfRule>
  </conditionalFormatting>
  <conditionalFormatting sqref="E48:E57">
    <cfRule type="containsText" dxfId="628" priority="18" operator="containsText" text="TBD">
      <formula>NOT(ISERROR(SEARCH("TBD",E48)))</formula>
    </cfRule>
  </conditionalFormatting>
  <conditionalFormatting sqref="F77:G78">
    <cfRule type="containsText" dxfId="627" priority="184" operator="containsText" text="TBD">
      <formula>NOT(ISERROR(SEARCH("TBD",F77)))</formula>
    </cfRule>
  </conditionalFormatting>
  <conditionalFormatting sqref="G39:G45">
    <cfRule type="containsText" dxfId="626" priority="62" operator="containsText" text="TBD">
      <formula>NOT(ISERROR(SEARCH("TBD",G39)))</formula>
    </cfRule>
  </conditionalFormatting>
  <conditionalFormatting sqref="G49:G51">
    <cfRule type="containsText" dxfId="625" priority="17" operator="containsText" text="TBD">
      <formula>NOT(ISERROR(SEARCH("TBD",G49)))</formula>
    </cfRule>
  </conditionalFormatting>
  <conditionalFormatting sqref="H31:H39 A36:B39">
    <cfRule type="containsText" dxfId="624" priority="97" operator="containsText" text="TBD">
      <formula>NOT(ISERROR(SEARCH("TBD",A31)))</formula>
    </cfRule>
  </conditionalFormatting>
  <conditionalFormatting sqref="H49:H50">
    <cfRule type="containsText" dxfId="623" priority="31" operator="containsText" text="TBD">
      <formula>NOT(ISERROR(SEARCH("TBD",H49)))</formula>
    </cfRule>
  </conditionalFormatting>
  <conditionalFormatting sqref="H77:H79">
    <cfRule type="containsText" dxfId="622" priority="87" operator="containsText" text="TBD">
      <formula>NOT(ISERROR(SEARCH("TBD",H77)))</formula>
    </cfRule>
  </conditionalFormatting>
  <conditionalFormatting sqref="I25">
    <cfRule type="duplicateValues" dxfId="621" priority="199"/>
    <cfRule type="duplicateValues" dxfId="620" priority="198"/>
  </conditionalFormatting>
  <conditionalFormatting sqref="I49:K51">
    <cfRule type="containsText" dxfId="619" priority="16" operator="containsText" text="TBD">
      <formula>NOT(ISERROR(SEARCH("TBD",I49)))</formula>
    </cfRule>
  </conditionalFormatting>
  <conditionalFormatting sqref="J71">
    <cfRule type="containsText" dxfId="618" priority="51" operator="containsText" text="TBD">
      <formula>NOT(ISERROR(SEARCH("TBD",J71)))</formula>
    </cfRule>
  </conditionalFormatting>
  <conditionalFormatting sqref="N79:N82">
    <cfRule type="containsText" dxfId="617" priority="1" operator="containsText" text="TBD">
      <formula>NOT(ISERROR(SEARCH("TBD",N79)))</formula>
    </cfRule>
  </conditionalFormatting>
  <conditionalFormatting sqref="N5:O5">
    <cfRule type="containsText" dxfId="616" priority="213" operator="containsText" text="TBD">
      <formula>NOT(ISERROR(SEARCH("TBD",N5)))</formula>
    </cfRule>
  </conditionalFormatting>
  <conditionalFormatting sqref="N7:O10">
    <cfRule type="containsText" dxfId="615" priority="158" operator="containsText" text="TBD">
      <formula>NOT(ISERROR(SEARCH("TBD",N7)))</formula>
    </cfRule>
  </conditionalFormatting>
  <conditionalFormatting sqref="O79:O82 A1:A2 A3:O6 O3:O15 A7:K8 L7:M82 F9:K15 N11:N15 A16:K17 N16:O24 F18:K24 J25:K25 N25:N26 O25:O30 A26:K27 D28:K28 A29:K30 I31:K33 J34:K35 I36:K39 H40:K45 A46:K47 D48:K48 A52:K53 G54:K57 F58:K76 Q58:XFD79 I77:K78 F79:K79 A80:K82 Q82:XFD1048576 A83:O1048576">
    <cfRule type="containsText" dxfId="614" priority="210" operator="containsText" text="TBD">
      <formula>NOT(ISERROR(SEARCH("TBD",A1)))</formula>
    </cfRule>
  </conditionalFormatting>
  <conditionalFormatting sqref="O81:P81">
    <cfRule type="containsText" dxfId="613" priority="9" operator="containsText" text="Group A">
      <formula>NOT(ISERROR(SEARCH("Group A",O81)))</formula>
    </cfRule>
    <cfRule type="containsText" dxfId="612" priority="10" operator="containsText" text="Group A">
      <formula>NOT(ISERROR(SEARCH("Group A",O81)))</formula>
    </cfRule>
    <cfRule type="containsText" dxfId="611" priority="8" operator="containsText" text="Group B">
      <formula>NOT(ISERROR(SEARCH("Group B",O81)))</formula>
    </cfRule>
    <cfRule type="containsText" dxfId="610" priority="7" operator="containsText" text="Group A">
      <formula>NOT(ISERROR(SEARCH("Group A",O81)))</formula>
    </cfRule>
  </conditionalFormatting>
  <conditionalFormatting sqref="P3:P58">
    <cfRule type="containsText" dxfId="609" priority="2" operator="containsText" text="TBD">
      <formula>NOT(ISERROR(SEARCH("TBD",P3)))</formula>
    </cfRule>
  </conditionalFormatting>
  <conditionalFormatting sqref="P59:P1048576">
    <cfRule type="containsText" dxfId="608" priority="13" operator="containsText" text="TBD">
      <formula>NOT(ISERROR(SEARCH("TBD",P59)))</formula>
    </cfRule>
  </conditionalFormatting>
  <conditionalFormatting sqref="P82">
    <cfRule type="containsText" dxfId="607" priority="3" operator="containsText" text="TBD">
      <formula>NOT(ISERROR(SEARCH("TBD",P82)))</formula>
    </cfRule>
  </conditionalFormatting>
  <conditionalFormatting sqref="Q1:XFD56 N27:O78">
    <cfRule type="containsText" dxfId="606" priority="123" operator="containsText" text="TBD">
      <formula>NOT(ISERROR(SEARCH("TBD",N1)))</formula>
    </cfRule>
  </conditionalFormatting>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E7B8E-6F98-49CC-839D-F0D07BB8F29F}">
  <sheetPr>
    <tabColor theme="6" tint="-0.499984740745262"/>
  </sheetPr>
  <dimension ref="A1:Q90"/>
  <sheetViews>
    <sheetView topLeftCell="C1" zoomScale="70" zoomScaleNormal="70" workbookViewId="0">
      <pane ySplit="5" topLeftCell="A24" activePane="bottomLeft" state="frozen"/>
      <selection activeCell="I57" sqref="I57"/>
      <selection pane="bottomLeft" activeCell="G60" sqref="G6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26953125" style="6" customWidth="1"/>
    <col min="6" max="6" width="15.7265625" style="6" bestFit="1" customWidth="1"/>
    <col min="7" max="7" width="80" style="6"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40.36328125" style="6" customWidth="1"/>
    <col min="15" max="16" width="18.72656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30" t="str">
        <f>C6</f>
        <v>1A72BSJ00-600-GNG</v>
      </c>
      <c r="D3" s="26" t="s">
        <v>1</v>
      </c>
      <c r="E3" s="27" t="s">
        <v>14</v>
      </c>
      <c r="F3" s="26"/>
      <c r="G3" s="26"/>
      <c r="H3" s="26"/>
      <c r="I3" s="26"/>
      <c r="J3" s="26"/>
      <c r="K3" s="26"/>
      <c r="L3" s="26"/>
      <c r="M3" s="26"/>
      <c r="N3" s="44"/>
      <c r="O3" s="26"/>
      <c r="P3" s="26"/>
    </row>
    <row r="4" spans="1:16" s="8" customFormat="1">
      <c r="A4" s="176" t="s">
        <v>8</v>
      </c>
      <c r="B4" s="176"/>
      <c r="C4" s="89" t="str">
        <f>E6</f>
        <v>01-101156</v>
      </c>
      <c r="D4" s="26" t="s">
        <v>9</v>
      </c>
      <c r="E4" s="27" t="s">
        <v>14</v>
      </c>
      <c r="F4" s="26" t="s">
        <v>10</v>
      </c>
      <c r="G4" s="13" t="str">
        <f>G6</f>
        <v>Maxwell Mercury_L10 Compute Tray Assy_MGX-OCP, Samsung, without GPU</v>
      </c>
      <c r="H4" s="26"/>
      <c r="I4" s="26"/>
      <c r="J4" s="26"/>
      <c r="K4" s="26"/>
      <c r="L4" s="26"/>
      <c r="M4" s="26"/>
      <c r="N4" s="44"/>
      <c r="O4" s="26"/>
      <c r="P4" s="26"/>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 t="shared" ref="A6:A73" si="0">ROW(A6)-5</f>
        <v>1</v>
      </c>
      <c r="B6" s="49" t="s">
        <v>36</v>
      </c>
      <c r="C6" s="52" t="s">
        <v>712</v>
      </c>
      <c r="D6" s="11" t="s">
        <v>17</v>
      </c>
      <c r="E6" s="163" t="s">
        <v>784</v>
      </c>
      <c r="F6" s="11" t="s">
        <v>14</v>
      </c>
      <c r="G6" s="13" t="s">
        <v>713</v>
      </c>
      <c r="H6" s="11" t="s">
        <v>20</v>
      </c>
      <c r="I6" s="52" t="str">
        <f>C6</f>
        <v>1A72BSJ00-600-GNG</v>
      </c>
      <c r="J6" s="11" t="s">
        <v>14</v>
      </c>
      <c r="K6" s="11">
        <v>1</v>
      </c>
      <c r="L6" s="11" t="s">
        <v>800</v>
      </c>
      <c r="M6" s="11" t="s">
        <v>30</v>
      </c>
      <c r="N6" s="83"/>
      <c r="O6" s="11" t="s">
        <v>14</v>
      </c>
      <c r="P6" s="11" t="s">
        <v>802</v>
      </c>
    </row>
    <row r="7" spans="1:16">
      <c r="A7" s="11">
        <f t="shared" si="0"/>
        <v>2</v>
      </c>
      <c r="B7" s="49" t="s">
        <v>29</v>
      </c>
      <c r="C7" s="55" t="s">
        <v>716</v>
      </c>
      <c r="D7" s="11" t="s">
        <v>17</v>
      </c>
      <c r="E7" s="91" t="s">
        <v>34</v>
      </c>
      <c r="F7" s="11" t="s">
        <v>14</v>
      </c>
      <c r="G7" s="13" t="s">
        <v>715</v>
      </c>
      <c r="H7" s="11" t="s">
        <v>40</v>
      </c>
      <c r="I7" s="55" t="s">
        <v>714</v>
      </c>
      <c r="J7" s="11" t="s">
        <v>14</v>
      </c>
      <c r="K7" s="11">
        <v>1</v>
      </c>
      <c r="L7" s="11" t="s">
        <v>800</v>
      </c>
      <c r="M7" s="11" t="s">
        <v>30</v>
      </c>
      <c r="N7" s="83" t="s">
        <v>717</v>
      </c>
      <c r="O7" s="11" t="s">
        <v>42</v>
      </c>
      <c r="P7" s="11" t="s">
        <v>803</v>
      </c>
    </row>
    <row r="8" spans="1:16" ht="62">
      <c r="A8" s="11">
        <f t="shared" si="0"/>
        <v>3</v>
      </c>
      <c r="B8" s="49" t="s">
        <v>37</v>
      </c>
      <c r="C8" s="55" t="s">
        <v>343</v>
      </c>
      <c r="D8" s="11" t="s">
        <v>17</v>
      </c>
      <c r="E8" s="91" t="s">
        <v>34</v>
      </c>
      <c r="F8" s="11" t="s">
        <v>14</v>
      </c>
      <c r="G8" s="13" t="s">
        <v>232</v>
      </c>
      <c r="H8" s="11" t="s">
        <v>40</v>
      </c>
      <c r="I8" s="55" t="s">
        <v>344</v>
      </c>
      <c r="J8" s="11" t="s">
        <v>14</v>
      </c>
      <c r="K8" s="11">
        <v>2</v>
      </c>
      <c r="L8" s="11" t="s">
        <v>800</v>
      </c>
      <c r="M8" s="11" t="s">
        <v>30</v>
      </c>
      <c r="N8" s="83" t="s">
        <v>685</v>
      </c>
      <c r="O8" s="11" t="s">
        <v>42</v>
      </c>
      <c r="P8" s="11" t="s">
        <v>803</v>
      </c>
    </row>
    <row r="9" spans="1:16" ht="31">
      <c r="A9" s="11">
        <f t="shared" si="0"/>
        <v>4</v>
      </c>
      <c r="B9" s="49" t="s">
        <v>117</v>
      </c>
      <c r="C9" s="11" t="s">
        <v>313</v>
      </c>
      <c r="D9" s="56" t="s">
        <v>30</v>
      </c>
      <c r="E9" s="91" t="s">
        <v>594</v>
      </c>
      <c r="F9" s="11" t="s">
        <v>14</v>
      </c>
      <c r="G9" s="13" t="s">
        <v>58</v>
      </c>
      <c r="H9" s="11" t="s">
        <v>40</v>
      </c>
      <c r="I9" s="24" t="s">
        <v>309</v>
      </c>
      <c r="J9" s="56" t="s">
        <v>30</v>
      </c>
      <c r="K9" s="11">
        <v>2</v>
      </c>
      <c r="L9" s="11" t="s">
        <v>800</v>
      </c>
      <c r="M9" s="11" t="s">
        <v>30</v>
      </c>
      <c r="N9" s="83" t="s">
        <v>505</v>
      </c>
      <c r="O9" s="11" t="s">
        <v>41</v>
      </c>
      <c r="P9" s="11" t="s">
        <v>803</v>
      </c>
    </row>
    <row r="10" spans="1:16" ht="46.5">
      <c r="A10" s="11">
        <f t="shared" si="0"/>
        <v>5</v>
      </c>
      <c r="B10" s="49" t="s">
        <v>118</v>
      </c>
      <c r="C10" s="24" t="s">
        <v>219</v>
      </c>
      <c r="D10" s="56" t="s">
        <v>30</v>
      </c>
      <c r="E10" s="91" t="s">
        <v>595</v>
      </c>
      <c r="F10" s="11" t="s">
        <v>14</v>
      </c>
      <c r="G10" s="13" t="s">
        <v>59</v>
      </c>
      <c r="H10" s="11" t="s">
        <v>40</v>
      </c>
      <c r="I10" s="24" t="s">
        <v>217</v>
      </c>
      <c r="J10" s="56" t="s">
        <v>30</v>
      </c>
      <c r="K10" s="11">
        <v>1</v>
      </c>
      <c r="L10" s="11" t="s">
        <v>800</v>
      </c>
      <c r="M10" s="11" t="s">
        <v>30</v>
      </c>
      <c r="N10" s="83" t="s">
        <v>329</v>
      </c>
      <c r="O10" s="11" t="s">
        <v>41</v>
      </c>
      <c r="P10" s="11"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223</v>
      </c>
      <c r="D14" s="56" t="s">
        <v>30</v>
      </c>
      <c r="E14" s="91" t="s">
        <v>470</v>
      </c>
      <c r="F14" s="11" t="s">
        <v>14</v>
      </c>
      <c r="G14" s="13" t="s">
        <v>188</v>
      </c>
      <c r="H14" s="11" t="s">
        <v>136</v>
      </c>
      <c r="I14" s="11" t="s">
        <v>143</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 t="shared" si="0"/>
        <v>14</v>
      </c>
      <c r="B19" s="58" t="s">
        <v>174</v>
      </c>
      <c r="C19" s="68" t="s">
        <v>151</v>
      </c>
      <c r="D19" s="61" t="s">
        <v>14</v>
      </c>
      <c r="E19" s="91" t="s">
        <v>526</v>
      </c>
      <c r="F19" s="11" t="s">
        <v>14</v>
      </c>
      <c r="G19" s="13" t="s">
        <v>532</v>
      </c>
      <c r="H19" s="11" t="s">
        <v>51</v>
      </c>
      <c r="I19" s="68" t="s">
        <v>151</v>
      </c>
      <c r="J19" s="11" t="s">
        <v>30</v>
      </c>
      <c r="K19" s="11">
        <v>1</v>
      </c>
      <c r="L19" s="11" t="s">
        <v>800</v>
      </c>
      <c r="M19" s="11" t="s">
        <v>30</v>
      </c>
      <c r="N19" s="64" t="s">
        <v>530</v>
      </c>
      <c r="O19" s="11" t="s">
        <v>159</v>
      </c>
      <c r="P19" s="11" t="s">
        <v>802</v>
      </c>
    </row>
    <row r="20" spans="1:16">
      <c r="A20" s="11">
        <f t="shared" si="0"/>
        <v>15</v>
      </c>
      <c r="B20" s="58" t="s">
        <v>131</v>
      </c>
      <c r="C20" s="11" t="s">
        <v>152</v>
      </c>
      <c r="D20" s="11" t="s">
        <v>14</v>
      </c>
      <c r="E20" s="91" t="s">
        <v>477</v>
      </c>
      <c r="F20" s="11" t="s">
        <v>14</v>
      </c>
      <c r="G20" s="13" t="s">
        <v>183</v>
      </c>
      <c r="H20" s="11" t="s">
        <v>51</v>
      </c>
      <c r="I20" s="11" t="str">
        <f>C20</f>
        <v>1A72BTD00-600-G</v>
      </c>
      <c r="J20" s="11" t="s">
        <v>14</v>
      </c>
      <c r="K20" s="11">
        <v>1</v>
      </c>
      <c r="L20" s="11" t="s">
        <v>800</v>
      </c>
      <c r="M20" s="11" t="s">
        <v>30</v>
      </c>
      <c r="N20" s="45" t="s">
        <v>304</v>
      </c>
      <c r="O20" s="11" t="s">
        <v>41</v>
      </c>
      <c r="P20" s="11" t="s">
        <v>802</v>
      </c>
    </row>
    <row r="21" spans="1:16">
      <c r="A21" s="11">
        <f t="shared" si="0"/>
        <v>16</v>
      </c>
      <c r="B21" s="58" t="s">
        <v>175</v>
      </c>
      <c r="C21" s="24" t="s">
        <v>162</v>
      </c>
      <c r="D21" s="11" t="s">
        <v>14</v>
      </c>
      <c r="E21" s="91" t="s">
        <v>473</v>
      </c>
      <c r="F21" s="11" t="s">
        <v>14</v>
      </c>
      <c r="G21" s="43" t="s">
        <v>161</v>
      </c>
      <c r="H21" s="11" t="s">
        <v>51</v>
      </c>
      <c r="I21" s="11" t="s">
        <v>162</v>
      </c>
      <c r="J21" s="11" t="s">
        <v>14</v>
      </c>
      <c r="K21" s="11">
        <v>1</v>
      </c>
      <c r="L21" s="11" t="s">
        <v>800</v>
      </c>
      <c r="M21" s="11" t="s">
        <v>30</v>
      </c>
      <c r="N21" s="45" t="s">
        <v>304</v>
      </c>
      <c r="O21" s="11" t="s">
        <v>41</v>
      </c>
      <c r="P21" s="11" t="s">
        <v>802</v>
      </c>
    </row>
    <row r="22" spans="1:16">
      <c r="A22" s="11">
        <f t="shared" si="0"/>
        <v>17</v>
      </c>
      <c r="B22" s="58" t="s">
        <v>310</v>
      </c>
      <c r="C22" s="24"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308</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1">
        <f t="shared" si="0"/>
        <v>19</v>
      </c>
      <c r="B24" s="58" t="s">
        <v>279</v>
      </c>
      <c r="C24" s="24" t="s">
        <v>278</v>
      </c>
      <c r="D24" s="11" t="s">
        <v>30</v>
      </c>
      <c r="E24" s="116" t="s">
        <v>593</v>
      </c>
      <c r="F24" s="11" t="s">
        <v>30</v>
      </c>
      <c r="G24" s="43" t="s">
        <v>276</v>
      </c>
      <c r="H24" s="11" t="s">
        <v>274</v>
      </c>
      <c r="I24" s="11" t="s">
        <v>275</v>
      </c>
      <c r="J24" s="11" t="s">
        <v>14</v>
      </c>
      <c r="K24" s="11">
        <v>2</v>
      </c>
      <c r="L24" s="11" t="s">
        <v>800</v>
      </c>
      <c r="M24" s="11" t="s">
        <v>30</v>
      </c>
      <c r="N24" s="45" t="s">
        <v>277</v>
      </c>
      <c r="O24" s="11" t="s">
        <v>273</v>
      </c>
      <c r="P24" s="11" t="s">
        <v>803</v>
      </c>
    </row>
    <row r="25" spans="1:16">
      <c r="A25" s="11">
        <f t="shared" si="0"/>
        <v>20</v>
      </c>
      <c r="B25" s="58" t="s">
        <v>280</v>
      </c>
      <c r="C25" s="24" t="s">
        <v>330</v>
      </c>
      <c r="D25" s="11" t="s">
        <v>14</v>
      </c>
      <c r="E25" s="91" t="s">
        <v>478</v>
      </c>
      <c r="F25" s="11" t="s">
        <v>14</v>
      </c>
      <c r="G25" s="43" t="s">
        <v>287</v>
      </c>
      <c r="H25" s="52" t="s">
        <v>418</v>
      </c>
      <c r="I25" s="65" t="s">
        <v>330</v>
      </c>
      <c r="J25" s="11" t="s">
        <v>14</v>
      </c>
      <c r="K25" s="11">
        <v>1</v>
      </c>
      <c r="L25" s="11" t="s">
        <v>800</v>
      </c>
      <c r="M25" s="11" t="s">
        <v>30</v>
      </c>
      <c r="N25" s="45" t="s">
        <v>331</v>
      </c>
      <c r="O25" s="11" t="s">
        <v>44</v>
      </c>
      <c r="P25" s="11" t="s">
        <v>802</v>
      </c>
    </row>
    <row r="26" spans="1:16">
      <c r="A26" s="11">
        <f t="shared" si="0"/>
        <v>21</v>
      </c>
      <c r="B26" s="58" t="s">
        <v>281</v>
      </c>
      <c r="C26" s="24" t="s">
        <v>286</v>
      </c>
      <c r="D26" s="11" t="s">
        <v>14</v>
      </c>
      <c r="E26" s="91" t="s">
        <v>34</v>
      </c>
      <c r="F26" s="11" t="s">
        <v>14</v>
      </c>
      <c r="G26" s="66" t="s">
        <v>285</v>
      </c>
      <c r="H26" s="52" t="s">
        <v>418</v>
      </c>
      <c r="I26" s="11" t="s">
        <v>286</v>
      </c>
      <c r="J26" s="11" t="s">
        <v>14</v>
      </c>
      <c r="K26" s="11">
        <v>3</v>
      </c>
      <c r="L26" s="11" t="s">
        <v>800</v>
      </c>
      <c r="M26" s="11" t="s">
        <v>30</v>
      </c>
      <c r="N26" s="45" t="s">
        <v>284</v>
      </c>
      <c r="O26" s="11" t="s">
        <v>44</v>
      </c>
      <c r="P26" s="11" t="s">
        <v>802</v>
      </c>
    </row>
    <row r="27" spans="1:16">
      <c r="A27" s="11">
        <f t="shared" si="0"/>
        <v>22</v>
      </c>
      <c r="B27" s="58"/>
      <c r="C27" s="55" t="s">
        <v>408</v>
      </c>
      <c r="D27" s="11" t="s">
        <v>14</v>
      </c>
      <c r="E27" s="91" t="s">
        <v>34</v>
      </c>
      <c r="F27" s="11" t="s">
        <v>14</v>
      </c>
      <c r="G27" s="43" t="s">
        <v>405</v>
      </c>
      <c r="H27" s="52" t="s">
        <v>406</v>
      </c>
      <c r="I27" s="55" t="s">
        <v>407</v>
      </c>
      <c r="J27" s="11" t="s">
        <v>14</v>
      </c>
      <c r="K27" s="11"/>
      <c r="L27" s="11" t="s">
        <v>800</v>
      </c>
      <c r="M27" s="11" t="s">
        <v>30</v>
      </c>
      <c r="N27" s="45" t="s">
        <v>284</v>
      </c>
      <c r="O27" s="11" t="s">
        <v>44</v>
      </c>
      <c r="P27" s="11" t="s">
        <v>802</v>
      </c>
    </row>
    <row r="28" spans="1:16">
      <c r="A28" s="11">
        <f t="shared" si="0"/>
        <v>23</v>
      </c>
      <c r="B28" s="58" t="s">
        <v>409</v>
      </c>
      <c r="C28" s="55" t="s">
        <v>506</v>
      </c>
      <c r="D28" s="11" t="s">
        <v>14</v>
      </c>
      <c r="E28" s="91" t="s">
        <v>34</v>
      </c>
      <c r="F28" s="11" t="s">
        <v>14</v>
      </c>
      <c r="G28" s="66" t="s">
        <v>507</v>
      </c>
      <c r="H28" s="52" t="s">
        <v>418</v>
      </c>
      <c r="I28" s="55" t="s">
        <v>506</v>
      </c>
      <c r="J28" s="11" t="s">
        <v>14</v>
      </c>
      <c r="K28" s="11">
        <v>4</v>
      </c>
      <c r="L28" s="11" t="s">
        <v>800</v>
      </c>
      <c r="M28" s="11" t="s">
        <v>30</v>
      </c>
      <c r="N28" s="45" t="s">
        <v>515</v>
      </c>
      <c r="O28" s="11" t="s">
        <v>44</v>
      </c>
      <c r="P28" s="11" t="s">
        <v>802</v>
      </c>
    </row>
    <row r="29" spans="1:16">
      <c r="A29" s="11">
        <f t="shared" si="0"/>
        <v>24</v>
      </c>
      <c r="B29" s="58"/>
      <c r="C29" s="55" t="s">
        <v>508</v>
      </c>
      <c r="D29" s="11" t="s">
        <v>14</v>
      </c>
      <c r="E29" s="9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0"/>
        <v>25</v>
      </c>
      <c r="B30" s="58"/>
      <c r="C30" s="55" t="s">
        <v>509</v>
      </c>
      <c r="D30" s="11" t="s">
        <v>14</v>
      </c>
      <c r="E30" s="9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9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91" t="s">
        <v>34</v>
      </c>
      <c r="F32" s="11" t="s">
        <v>14</v>
      </c>
      <c r="G32" s="43" t="s">
        <v>316</v>
      </c>
      <c r="H32" s="52" t="s">
        <v>418</v>
      </c>
      <c r="I32" s="24" t="s">
        <v>290</v>
      </c>
      <c r="J32" s="11" t="s">
        <v>14</v>
      </c>
      <c r="K32" s="11">
        <v>8</v>
      </c>
      <c r="L32" s="11" t="s">
        <v>800</v>
      </c>
      <c r="M32" s="11" t="s">
        <v>30</v>
      </c>
      <c r="N32" s="45" t="s">
        <v>289</v>
      </c>
      <c r="O32" s="11" t="s">
        <v>44</v>
      </c>
      <c r="P32" s="11" t="s">
        <v>802</v>
      </c>
    </row>
    <row r="33" spans="1:16">
      <c r="A33" s="11">
        <f t="shared" si="0"/>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46</v>
      </c>
      <c r="C34" s="24" t="s">
        <v>333</v>
      </c>
      <c r="D34" s="11" t="s">
        <v>14</v>
      </c>
      <c r="E34" s="91" t="s">
        <v>34</v>
      </c>
      <c r="F34" s="11" t="s">
        <v>14</v>
      </c>
      <c r="G34" s="43" t="s">
        <v>314</v>
      </c>
      <c r="H34" s="52" t="s">
        <v>418</v>
      </c>
      <c r="I34" s="67" t="s">
        <v>333</v>
      </c>
      <c r="J34" s="11" t="s">
        <v>14</v>
      </c>
      <c r="K34" s="11">
        <v>1</v>
      </c>
      <c r="L34" s="11" t="s">
        <v>800</v>
      </c>
      <c r="M34" s="11" t="s">
        <v>30</v>
      </c>
      <c r="N34" s="45" t="s">
        <v>332</v>
      </c>
      <c r="O34" s="11" t="s">
        <v>44</v>
      </c>
      <c r="P34" s="11" t="s">
        <v>802</v>
      </c>
    </row>
    <row r="35" spans="1:16">
      <c r="A35" s="11">
        <f t="shared" si="0"/>
        <v>30</v>
      </c>
      <c r="B35" s="58" t="s">
        <v>47</v>
      </c>
      <c r="C35" s="24" t="s">
        <v>548</v>
      </c>
      <c r="D35" s="11" t="s">
        <v>14</v>
      </c>
      <c r="E35" s="91" t="s">
        <v>34</v>
      </c>
      <c r="F35" s="11" t="s">
        <v>14</v>
      </c>
      <c r="G35" s="43" t="s">
        <v>334</v>
      </c>
      <c r="H35" s="52" t="s">
        <v>418</v>
      </c>
      <c r="I35" s="67" t="s">
        <v>335</v>
      </c>
      <c r="J35" s="11" t="s">
        <v>14</v>
      </c>
      <c r="K35" s="52">
        <v>2</v>
      </c>
      <c r="L35" s="11" t="s">
        <v>800</v>
      </c>
      <c r="M35" s="11" t="s">
        <v>30</v>
      </c>
      <c r="N35" s="45" t="s">
        <v>336</v>
      </c>
      <c r="O35" s="11" t="s">
        <v>44</v>
      </c>
      <c r="P35" s="11" t="s">
        <v>802</v>
      </c>
    </row>
    <row r="36" spans="1:16">
      <c r="A36" s="11">
        <f t="shared" si="0"/>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9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9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55" t="s">
        <v>398</v>
      </c>
      <c r="D39" s="11" t="s">
        <v>14</v>
      </c>
      <c r="E39" s="91" t="s">
        <v>34</v>
      </c>
      <c r="F39" s="11" t="s">
        <v>14</v>
      </c>
      <c r="G39" s="43" t="s">
        <v>299</v>
      </c>
      <c r="H39" s="52" t="s">
        <v>418</v>
      </c>
      <c r="I39" s="55" t="s">
        <v>398</v>
      </c>
      <c r="J39" s="11" t="s">
        <v>14</v>
      </c>
      <c r="K39" s="11">
        <v>64</v>
      </c>
      <c r="L39" s="11" t="s">
        <v>800</v>
      </c>
      <c r="M39" s="11" t="s">
        <v>30</v>
      </c>
      <c r="N39" s="45" t="s">
        <v>296</v>
      </c>
      <c r="O39" s="11" t="s">
        <v>44</v>
      </c>
      <c r="P39" s="11" t="s">
        <v>802</v>
      </c>
    </row>
    <row r="40" spans="1:16">
      <c r="A40" s="11">
        <f t="shared" si="0"/>
        <v>35</v>
      </c>
      <c r="B40" s="58"/>
      <c r="C40" s="55" t="s">
        <v>400</v>
      </c>
      <c r="D40" s="11" t="s">
        <v>14</v>
      </c>
      <c r="E40" s="91" t="s">
        <v>34</v>
      </c>
      <c r="F40" s="11" t="s">
        <v>14</v>
      </c>
      <c r="G40" s="43" t="s">
        <v>415</v>
      </c>
      <c r="H40" s="52" t="s">
        <v>401</v>
      </c>
      <c r="I40" s="55" t="s">
        <v>402</v>
      </c>
      <c r="J40" s="11" t="s">
        <v>14</v>
      </c>
      <c r="K40" s="11"/>
      <c r="L40" s="11" t="s">
        <v>800</v>
      </c>
      <c r="M40" s="11" t="s">
        <v>30</v>
      </c>
      <c r="N40" s="45" t="s">
        <v>296</v>
      </c>
      <c r="O40" s="11" t="s">
        <v>44</v>
      </c>
      <c r="P40" s="11" t="s">
        <v>802</v>
      </c>
    </row>
    <row r="41" spans="1:16">
      <c r="A41" s="11">
        <f t="shared" si="0"/>
        <v>36</v>
      </c>
      <c r="B41" s="58" t="s">
        <v>412</v>
      </c>
      <c r="C41" s="55" t="s">
        <v>399</v>
      </c>
      <c r="D41" s="11" t="s">
        <v>14</v>
      </c>
      <c r="E41" s="91" t="s">
        <v>34</v>
      </c>
      <c r="F41" s="11" t="s">
        <v>14</v>
      </c>
      <c r="G41" s="13" t="s">
        <v>298</v>
      </c>
      <c r="H41" s="52" t="s">
        <v>418</v>
      </c>
      <c r="I41" s="55" t="s">
        <v>399</v>
      </c>
      <c r="J41" s="11" t="s">
        <v>14</v>
      </c>
      <c r="K41" s="11">
        <v>64</v>
      </c>
      <c r="L41" s="11" t="s">
        <v>800</v>
      </c>
      <c r="M41" s="11" t="s">
        <v>30</v>
      </c>
      <c r="N41" s="45" t="s">
        <v>297</v>
      </c>
      <c r="O41" s="11" t="s">
        <v>44</v>
      </c>
      <c r="P41" s="11" t="s">
        <v>802</v>
      </c>
    </row>
    <row r="42" spans="1:16">
      <c r="A42" s="11">
        <f t="shared" si="0"/>
        <v>37</v>
      </c>
      <c r="B42" s="58"/>
      <c r="C42" s="55" t="s">
        <v>404</v>
      </c>
      <c r="D42" s="11" t="s">
        <v>14</v>
      </c>
      <c r="E42" s="9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91" t="s">
        <v>34</v>
      </c>
      <c r="F43" s="11" t="s">
        <v>14</v>
      </c>
      <c r="G43" s="66"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91" t="s">
        <v>34</v>
      </c>
      <c r="F44" s="11" t="s">
        <v>14</v>
      </c>
      <c r="G44" s="66"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91" t="s">
        <v>34</v>
      </c>
      <c r="F45" s="11" t="s">
        <v>14</v>
      </c>
      <c r="G45" s="66"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91" t="s">
        <v>34</v>
      </c>
      <c r="F46" s="11" t="s">
        <v>14</v>
      </c>
      <c r="G46" s="66"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91" t="s">
        <v>34</v>
      </c>
      <c r="F47" s="11" t="s">
        <v>14</v>
      </c>
      <c r="G47" s="66"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91" t="s">
        <v>34</v>
      </c>
      <c r="F48" s="11" t="s">
        <v>14</v>
      </c>
      <c r="G48" s="66" t="s">
        <v>634</v>
      </c>
      <c r="H48" s="52" t="s">
        <v>538</v>
      </c>
      <c r="I48" s="52" t="s">
        <v>632</v>
      </c>
      <c r="J48" s="11" t="s">
        <v>14</v>
      </c>
      <c r="K48" s="11"/>
      <c r="L48" s="11" t="s">
        <v>800</v>
      </c>
      <c r="M48" s="11" t="s">
        <v>30</v>
      </c>
      <c r="N48" s="45" t="s">
        <v>524</v>
      </c>
      <c r="O48" s="11" t="s">
        <v>44</v>
      </c>
      <c r="P48" s="11" t="s">
        <v>802</v>
      </c>
    </row>
    <row r="49" spans="1:16" s="17" customFormat="1">
      <c r="A49" s="11">
        <f t="shared" si="0"/>
        <v>44</v>
      </c>
      <c r="B49" s="58" t="s">
        <v>710</v>
      </c>
      <c r="C49" s="24" t="s">
        <v>211</v>
      </c>
      <c r="D49" s="11" t="s">
        <v>30</v>
      </c>
      <c r="E49" s="91" t="s">
        <v>527</v>
      </c>
      <c r="F49" s="11" t="s">
        <v>14</v>
      </c>
      <c r="G49" s="43" t="s">
        <v>209</v>
      </c>
      <c r="H49" s="11" t="s">
        <v>210</v>
      </c>
      <c r="I49" s="24" t="s">
        <v>213</v>
      </c>
      <c r="J49" s="11" t="s">
        <v>30</v>
      </c>
      <c r="K49" s="11">
        <v>8</v>
      </c>
      <c r="L49" s="11" t="s">
        <v>800</v>
      </c>
      <c r="M49" s="11" t="s">
        <v>30</v>
      </c>
      <c r="N49" s="48"/>
      <c r="O49" s="11" t="s">
        <v>50</v>
      </c>
      <c r="P49" s="11" t="s">
        <v>803</v>
      </c>
    </row>
    <row r="50" spans="1:16" s="17" customFormat="1">
      <c r="A50" s="11">
        <f t="shared" si="0"/>
        <v>45</v>
      </c>
      <c r="B50" s="58"/>
      <c r="C50" s="24" t="s">
        <v>212</v>
      </c>
      <c r="D50" s="11" t="s">
        <v>30</v>
      </c>
      <c r="E50" s="91" t="s">
        <v>527</v>
      </c>
      <c r="F50" s="11" t="s">
        <v>14</v>
      </c>
      <c r="G50" s="13" t="s">
        <v>209</v>
      </c>
      <c r="H50" s="11" t="s">
        <v>57</v>
      </c>
      <c r="I50" s="24" t="s">
        <v>214</v>
      </c>
      <c r="J50" s="11" t="s">
        <v>30</v>
      </c>
      <c r="K50" s="11"/>
      <c r="L50" s="11" t="s">
        <v>800</v>
      </c>
      <c r="M50" s="11" t="s">
        <v>30</v>
      </c>
      <c r="N50" s="48"/>
      <c r="O50" s="11" t="s">
        <v>50</v>
      </c>
      <c r="P50" s="11" t="s">
        <v>803</v>
      </c>
    </row>
    <row r="51" spans="1:16" s="198" customFormat="1">
      <c r="A51" s="193">
        <f t="shared" si="0"/>
        <v>46</v>
      </c>
      <c r="B51" s="194" t="s">
        <v>302</v>
      </c>
      <c r="C51" s="193" t="s">
        <v>790</v>
      </c>
      <c r="D51" s="193" t="s">
        <v>30</v>
      </c>
      <c r="E51" s="196" t="s">
        <v>30</v>
      </c>
      <c r="F51" s="193" t="s">
        <v>14</v>
      </c>
      <c r="G51" s="199" t="s">
        <v>810</v>
      </c>
      <c r="H51" s="213" t="s">
        <v>788</v>
      </c>
      <c r="I51" s="195" t="s">
        <v>785</v>
      </c>
      <c r="J51" s="193" t="s">
        <v>30</v>
      </c>
      <c r="K51" s="193">
        <v>1</v>
      </c>
      <c r="L51" s="193" t="s">
        <v>800</v>
      </c>
      <c r="M51" s="193" t="s">
        <v>30</v>
      </c>
      <c r="N51" s="197"/>
      <c r="O51" s="213" t="s">
        <v>626</v>
      </c>
      <c r="P51" s="193" t="s">
        <v>802</v>
      </c>
    </row>
    <row r="52" spans="1:16" s="212" customFormat="1">
      <c r="A52" s="200">
        <f t="shared" si="0"/>
        <v>47</v>
      </c>
      <c r="B52" s="201" t="s">
        <v>555</v>
      </c>
      <c r="C52" s="208" t="s">
        <v>747</v>
      </c>
      <c r="D52" s="200" t="s">
        <v>14</v>
      </c>
      <c r="E52" s="203" t="s">
        <v>34</v>
      </c>
      <c r="F52" s="200" t="s">
        <v>14</v>
      </c>
      <c r="G52" s="209" t="s">
        <v>744</v>
      </c>
      <c r="H52" s="208" t="s">
        <v>743</v>
      </c>
      <c r="I52" s="208" t="s">
        <v>747</v>
      </c>
      <c r="J52" s="200" t="s">
        <v>14</v>
      </c>
      <c r="K52" s="200">
        <v>1</v>
      </c>
      <c r="L52" s="200" t="s">
        <v>800</v>
      </c>
      <c r="M52" s="200" t="s">
        <v>30</v>
      </c>
      <c r="N52" s="211"/>
      <c r="O52" s="200" t="s">
        <v>44</v>
      </c>
      <c r="P52" s="200" t="s">
        <v>802</v>
      </c>
    </row>
    <row r="53" spans="1:16" s="212" customFormat="1">
      <c r="A53" s="200">
        <f t="shared" si="0"/>
        <v>48</v>
      </c>
      <c r="B53" s="201" t="s">
        <v>302</v>
      </c>
      <c r="C53" s="208" t="s">
        <v>751</v>
      </c>
      <c r="D53" s="200" t="s">
        <v>14</v>
      </c>
      <c r="E53" s="203" t="s">
        <v>34</v>
      </c>
      <c r="F53" s="200" t="s">
        <v>14</v>
      </c>
      <c r="G53" s="209" t="s">
        <v>748</v>
      </c>
      <c r="H53" s="210" t="s">
        <v>749</v>
      </c>
      <c r="I53" s="208" t="s">
        <v>750</v>
      </c>
      <c r="J53" s="200" t="s">
        <v>14</v>
      </c>
      <c r="K53" s="200">
        <v>4</v>
      </c>
      <c r="L53" s="200" t="s">
        <v>800</v>
      </c>
      <c r="M53" s="200" t="s">
        <v>30</v>
      </c>
      <c r="N53" s="211"/>
      <c r="O53" s="200" t="s">
        <v>44</v>
      </c>
      <c r="P53" s="200" t="s">
        <v>802</v>
      </c>
    </row>
    <row r="54" spans="1:16" s="39" customFormat="1" ht="29">
      <c r="A54" s="24">
        <f t="shared" si="0"/>
        <v>49</v>
      </c>
      <c r="B54" s="47" t="s">
        <v>556</v>
      </c>
      <c r="C54" s="24" t="s">
        <v>718</v>
      </c>
      <c r="D54" s="93" t="s">
        <v>30</v>
      </c>
      <c r="E54" s="91" t="s">
        <v>528</v>
      </c>
      <c r="F54" s="24" t="s">
        <v>14</v>
      </c>
      <c r="G54" s="13" t="s">
        <v>721</v>
      </c>
      <c r="H54" s="55" t="s">
        <v>464</v>
      </c>
      <c r="I54" s="24" t="s">
        <v>718</v>
      </c>
      <c r="J54" s="24" t="s">
        <v>30</v>
      </c>
      <c r="K54" s="24">
        <v>1</v>
      </c>
      <c r="L54" s="11" t="s">
        <v>800</v>
      </c>
      <c r="M54" s="11" t="s">
        <v>30</v>
      </c>
      <c r="N54" s="94"/>
      <c r="O54" s="24" t="s">
        <v>50</v>
      </c>
      <c r="P54" s="11" t="s">
        <v>802</v>
      </c>
    </row>
    <row r="55" spans="1:16" s="39" customFormat="1" ht="29">
      <c r="A55" s="24">
        <f t="shared" si="0"/>
        <v>50</v>
      </c>
      <c r="B55" s="47"/>
      <c r="C55" s="24" t="s">
        <v>719</v>
      </c>
      <c r="D55" s="93" t="s">
        <v>30</v>
      </c>
      <c r="E55" s="91" t="s">
        <v>528</v>
      </c>
      <c r="F55" s="24" t="s">
        <v>14</v>
      </c>
      <c r="G55" s="13" t="s">
        <v>722</v>
      </c>
      <c r="H55" s="55" t="s">
        <v>464</v>
      </c>
      <c r="I55" s="24" t="s">
        <v>719</v>
      </c>
      <c r="J55" s="24" t="s">
        <v>30</v>
      </c>
      <c r="K55" s="24"/>
      <c r="L55" s="11" t="s">
        <v>800</v>
      </c>
      <c r="M55" s="11" t="s">
        <v>30</v>
      </c>
      <c r="N55" s="94"/>
      <c r="O55" s="24" t="s">
        <v>50</v>
      </c>
      <c r="P55" s="11" t="s">
        <v>802</v>
      </c>
    </row>
    <row r="56" spans="1:16" s="39" customFormat="1" ht="29">
      <c r="A56" s="24">
        <f t="shared" si="0"/>
        <v>51</v>
      </c>
      <c r="B56" s="47"/>
      <c r="C56" s="24" t="s">
        <v>720</v>
      </c>
      <c r="D56" s="93" t="s">
        <v>30</v>
      </c>
      <c r="E56" s="91" t="s">
        <v>528</v>
      </c>
      <c r="F56" s="24" t="s">
        <v>14</v>
      </c>
      <c r="G56" s="13" t="s">
        <v>723</v>
      </c>
      <c r="H56" s="55" t="s">
        <v>464</v>
      </c>
      <c r="I56" s="24" t="s">
        <v>720</v>
      </c>
      <c r="J56" s="24" t="s">
        <v>30</v>
      </c>
      <c r="K56" s="24"/>
      <c r="L56" s="11" t="s">
        <v>800</v>
      </c>
      <c r="M56" s="11" t="s">
        <v>30</v>
      </c>
      <c r="N56" s="94"/>
      <c r="O56" s="24" t="s">
        <v>50</v>
      </c>
      <c r="P56" s="11" t="s">
        <v>802</v>
      </c>
    </row>
    <row r="57" spans="1:16" s="25" customFormat="1" ht="29">
      <c r="A57" s="24">
        <f t="shared" si="0"/>
        <v>52</v>
      </c>
      <c r="B57" s="47"/>
      <c r="C57" s="24" t="s">
        <v>739</v>
      </c>
      <c r="D57" s="93" t="s">
        <v>30</v>
      </c>
      <c r="E57" s="91" t="s">
        <v>528</v>
      </c>
      <c r="F57" s="24" t="s">
        <v>14</v>
      </c>
      <c r="G57" s="13" t="s">
        <v>740</v>
      </c>
      <c r="H57" s="55" t="s">
        <v>464</v>
      </c>
      <c r="I57" s="24" t="str">
        <f>C57</f>
        <v>TEMP-S000229174NG</v>
      </c>
      <c r="J57" s="24" t="s">
        <v>30</v>
      </c>
      <c r="K57" s="24"/>
      <c r="L57" s="11" t="s">
        <v>800</v>
      </c>
      <c r="M57" s="11" t="s">
        <v>30</v>
      </c>
      <c r="N57" s="94"/>
      <c r="O57" s="24" t="s">
        <v>50</v>
      </c>
      <c r="P57" s="11" t="s">
        <v>802</v>
      </c>
    </row>
    <row r="58" spans="1:16" s="17" customFormat="1">
      <c r="A58" s="11">
        <f t="shared" si="0"/>
        <v>53</v>
      </c>
      <c r="B58" s="47" t="s">
        <v>557</v>
      </c>
      <c r="C58" s="11" t="s">
        <v>725</v>
      </c>
      <c r="D58" s="11" t="s">
        <v>30</v>
      </c>
      <c r="E58" s="90" t="s">
        <v>34</v>
      </c>
      <c r="F58" s="11" t="s">
        <v>30</v>
      </c>
      <c r="G58" s="53" t="s">
        <v>312</v>
      </c>
      <c r="H58" s="11" t="s">
        <v>51</v>
      </c>
      <c r="I58" s="11" t="s">
        <v>725</v>
      </c>
      <c r="J58" s="50" t="s">
        <v>127</v>
      </c>
      <c r="K58" s="50">
        <v>1</v>
      </c>
      <c r="L58" s="11" t="s">
        <v>800</v>
      </c>
      <c r="M58" s="11" t="s">
        <v>30</v>
      </c>
      <c r="O58" s="52" t="s">
        <v>50</v>
      </c>
      <c r="P58" s="11" t="s">
        <v>802</v>
      </c>
    </row>
    <row r="59" spans="1:16" s="17" customFormat="1">
      <c r="A59" s="11">
        <f t="shared" si="0"/>
        <v>54</v>
      </c>
      <c r="B59" s="47" t="s">
        <v>752</v>
      </c>
      <c r="C59" s="24" t="s">
        <v>249</v>
      </c>
      <c r="D59" s="11" t="s">
        <v>30</v>
      </c>
      <c r="E59" s="91" t="s">
        <v>479</v>
      </c>
      <c r="F59" s="11" t="s">
        <v>14</v>
      </c>
      <c r="G59" s="13" t="s">
        <v>267</v>
      </c>
      <c r="H59" s="11" t="s">
        <v>39</v>
      </c>
      <c r="I59" s="24" t="s">
        <v>233</v>
      </c>
      <c r="J59" s="11" t="s">
        <v>700</v>
      </c>
      <c r="K59" s="11">
        <v>1</v>
      </c>
      <c r="L59" s="11" t="s">
        <v>800</v>
      </c>
      <c r="M59" s="11" t="s">
        <v>30</v>
      </c>
      <c r="N59" s="70" t="s">
        <v>268</v>
      </c>
      <c r="O59" s="11" t="s">
        <v>45</v>
      </c>
      <c r="P59" s="11" t="s">
        <v>802</v>
      </c>
    </row>
    <row r="60" spans="1:16" s="17" customFormat="1">
      <c r="A60" s="11">
        <f t="shared" si="0"/>
        <v>55</v>
      </c>
      <c r="B60" s="47" t="s">
        <v>753</v>
      </c>
      <c r="C60" s="55" t="s">
        <v>796</v>
      </c>
      <c r="D60" s="11" t="s">
        <v>30</v>
      </c>
      <c r="E60" s="91" t="s">
        <v>480</v>
      </c>
      <c r="F60" s="11" t="s">
        <v>14</v>
      </c>
      <c r="G60" s="13" t="s">
        <v>797</v>
      </c>
      <c r="H60" s="11" t="s">
        <v>39</v>
      </c>
      <c r="I60" s="24" t="s">
        <v>234</v>
      </c>
      <c r="J60" s="52" t="s">
        <v>773</v>
      </c>
      <c r="K60" s="11">
        <v>1</v>
      </c>
      <c r="L60" s="11" t="s">
        <v>800</v>
      </c>
      <c r="M60" s="11" t="s">
        <v>30</v>
      </c>
      <c r="N60" s="48" t="s">
        <v>192</v>
      </c>
      <c r="O60" s="11" t="s">
        <v>45</v>
      </c>
      <c r="P60" s="11" t="s">
        <v>802</v>
      </c>
    </row>
    <row r="61" spans="1:16" s="17" customFormat="1">
      <c r="A61" s="11">
        <f t="shared" si="0"/>
        <v>56</v>
      </c>
      <c r="B61" s="47" t="s">
        <v>758</v>
      </c>
      <c r="C61" s="55" t="s">
        <v>769</v>
      </c>
      <c r="D61" s="11" t="s">
        <v>30</v>
      </c>
      <c r="E61" s="91" t="s">
        <v>481</v>
      </c>
      <c r="F61" s="11" t="s">
        <v>14</v>
      </c>
      <c r="G61" s="13" t="s">
        <v>772</v>
      </c>
      <c r="H61" s="11" t="s">
        <v>39</v>
      </c>
      <c r="I61" s="24" t="s">
        <v>235</v>
      </c>
      <c r="J61" s="52" t="s">
        <v>773</v>
      </c>
      <c r="K61" s="11">
        <v>1</v>
      </c>
      <c r="L61" s="11" t="s">
        <v>800</v>
      </c>
      <c r="M61" s="11" t="s">
        <v>30</v>
      </c>
      <c r="N61" s="48" t="s">
        <v>193</v>
      </c>
      <c r="O61" s="11" t="s">
        <v>45</v>
      </c>
      <c r="P61" s="11" t="s">
        <v>802</v>
      </c>
    </row>
    <row r="62" spans="1:16" s="17" customFormat="1">
      <c r="A62" s="11">
        <f t="shared" si="0"/>
        <v>57</v>
      </c>
      <c r="B62" s="47" t="s">
        <v>155</v>
      </c>
      <c r="C62" s="55" t="s">
        <v>770</v>
      </c>
      <c r="D62" s="11" t="s">
        <v>30</v>
      </c>
      <c r="E62" s="91" t="s">
        <v>482</v>
      </c>
      <c r="F62" s="11" t="s">
        <v>14</v>
      </c>
      <c r="G62" s="13" t="s">
        <v>771</v>
      </c>
      <c r="H62" s="11" t="s">
        <v>39</v>
      </c>
      <c r="I62" s="24" t="s">
        <v>236</v>
      </c>
      <c r="J62" s="52" t="s">
        <v>702</v>
      </c>
      <c r="K62" s="11">
        <v>1</v>
      </c>
      <c r="L62" s="11" t="s">
        <v>800</v>
      </c>
      <c r="M62" s="11" t="s">
        <v>30</v>
      </c>
      <c r="N62" s="48" t="s">
        <v>194</v>
      </c>
      <c r="O62" s="11" t="s">
        <v>45</v>
      </c>
      <c r="P62" s="11" t="s">
        <v>802</v>
      </c>
    </row>
    <row r="63" spans="1:16" s="17" customFormat="1">
      <c r="A63" s="11">
        <f t="shared" si="0"/>
        <v>58</v>
      </c>
      <c r="B63" s="47" t="s">
        <v>121</v>
      </c>
      <c r="C63" s="24" t="s">
        <v>250</v>
      </c>
      <c r="D63" s="11" t="s">
        <v>30</v>
      </c>
      <c r="E63" s="91" t="s">
        <v>483</v>
      </c>
      <c r="F63" s="11" t="s">
        <v>14</v>
      </c>
      <c r="G63" s="13" t="s">
        <v>231</v>
      </c>
      <c r="H63" s="11" t="s">
        <v>39</v>
      </c>
      <c r="I63" s="24" t="s">
        <v>237</v>
      </c>
      <c r="J63" s="11" t="s">
        <v>702</v>
      </c>
      <c r="K63" s="11">
        <v>1</v>
      </c>
      <c r="L63" s="11" t="s">
        <v>800</v>
      </c>
      <c r="M63" s="11" t="s">
        <v>30</v>
      </c>
      <c r="N63" s="48" t="s">
        <v>195</v>
      </c>
      <c r="O63" s="11" t="s">
        <v>45</v>
      </c>
      <c r="P63" s="11" t="s">
        <v>802</v>
      </c>
    </row>
    <row r="64" spans="1:16" s="17" customFormat="1">
      <c r="A64" s="11">
        <f t="shared" si="0"/>
        <v>59</v>
      </c>
      <c r="B64" s="47" t="s">
        <v>122</v>
      </c>
      <c r="C64" s="24" t="s">
        <v>251</v>
      </c>
      <c r="D64" s="11" t="s">
        <v>30</v>
      </c>
      <c r="E64" s="91" t="s">
        <v>484</v>
      </c>
      <c r="F64" s="11" t="s">
        <v>14</v>
      </c>
      <c r="G64" s="43" t="s">
        <v>166</v>
      </c>
      <c r="H64" s="11" t="s">
        <v>39</v>
      </c>
      <c r="I64" s="24" t="s">
        <v>238</v>
      </c>
      <c r="J64" s="11" t="s">
        <v>701</v>
      </c>
      <c r="K64" s="11">
        <v>1</v>
      </c>
      <c r="L64" s="11" t="s">
        <v>800</v>
      </c>
      <c r="M64" s="11" t="s">
        <v>30</v>
      </c>
      <c r="N64" s="48" t="s">
        <v>196</v>
      </c>
      <c r="O64" s="11" t="s">
        <v>45</v>
      </c>
      <c r="P64" s="11" t="s">
        <v>802</v>
      </c>
    </row>
    <row r="65" spans="1:17" s="17" customFormat="1">
      <c r="A65" s="11">
        <f t="shared" si="0"/>
        <v>60</v>
      </c>
      <c r="B65" s="47" t="s">
        <v>123</v>
      </c>
      <c r="C65" s="24" t="s">
        <v>252</v>
      </c>
      <c r="D65" s="11" t="s">
        <v>30</v>
      </c>
      <c r="E65" s="91" t="s">
        <v>485</v>
      </c>
      <c r="F65" s="11" t="s">
        <v>14</v>
      </c>
      <c r="G65" s="43" t="s">
        <v>167</v>
      </c>
      <c r="H65" s="11" t="s">
        <v>39</v>
      </c>
      <c r="I65" s="24" t="s">
        <v>239</v>
      </c>
      <c r="J65" s="11" t="s">
        <v>701</v>
      </c>
      <c r="K65" s="11">
        <v>1</v>
      </c>
      <c r="L65" s="11" t="s">
        <v>800</v>
      </c>
      <c r="M65" s="11" t="s">
        <v>30</v>
      </c>
      <c r="N65" s="48" t="s">
        <v>197</v>
      </c>
      <c r="O65" s="11" t="s">
        <v>45</v>
      </c>
      <c r="P65" s="11" t="s">
        <v>802</v>
      </c>
    </row>
    <row r="66" spans="1:17" s="17" customFormat="1">
      <c r="A66" s="11">
        <f t="shared" si="0"/>
        <v>61</v>
      </c>
      <c r="B66" s="47" t="s">
        <v>124</v>
      </c>
      <c r="C66" s="24" t="s">
        <v>253</v>
      </c>
      <c r="D66" s="11" t="s">
        <v>30</v>
      </c>
      <c r="E66" s="91" t="s">
        <v>486</v>
      </c>
      <c r="F66" s="11" t="s">
        <v>14</v>
      </c>
      <c r="G66" s="43" t="s">
        <v>168</v>
      </c>
      <c r="H66" s="11" t="s">
        <v>39</v>
      </c>
      <c r="I66" s="24" t="s">
        <v>240</v>
      </c>
      <c r="J66" s="11" t="s">
        <v>701</v>
      </c>
      <c r="K66" s="11">
        <v>1</v>
      </c>
      <c r="L66" s="11" t="s">
        <v>800</v>
      </c>
      <c r="M66" s="11" t="s">
        <v>30</v>
      </c>
      <c r="N66" s="48" t="s">
        <v>198</v>
      </c>
      <c r="O66" s="11" t="s">
        <v>45</v>
      </c>
      <c r="P66" s="11" t="s">
        <v>802</v>
      </c>
    </row>
    <row r="67" spans="1:17" s="17" customFormat="1">
      <c r="A67" s="11">
        <f t="shared" si="0"/>
        <v>62</v>
      </c>
      <c r="B67" s="47" t="s">
        <v>156</v>
      </c>
      <c r="C67" s="24" t="s">
        <v>254</v>
      </c>
      <c r="D67" s="11" t="s">
        <v>30</v>
      </c>
      <c r="E67" s="91" t="s">
        <v>487</v>
      </c>
      <c r="F67" s="11" t="s">
        <v>14</v>
      </c>
      <c r="G67" s="43" t="s">
        <v>793</v>
      </c>
      <c r="H67" s="11" t="s">
        <v>39</v>
      </c>
      <c r="I67" s="24" t="s">
        <v>241</v>
      </c>
      <c r="J67" s="11" t="s">
        <v>701</v>
      </c>
      <c r="K67" s="11">
        <v>1</v>
      </c>
      <c r="L67" s="11" t="s">
        <v>800</v>
      </c>
      <c r="M67" s="11" t="s">
        <v>30</v>
      </c>
      <c r="N67" s="48" t="s">
        <v>199</v>
      </c>
      <c r="O67" s="11" t="s">
        <v>45</v>
      </c>
      <c r="P67" s="11" t="s">
        <v>802</v>
      </c>
    </row>
    <row r="68" spans="1:17" s="17" customFormat="1">
      <c r="A68" s="11">
        <f t="shared" si="0"/>
        <v>63</v>
      </c>
      <c r="B68" s="47" t="s">
        <v>157</v>
      </c>
      <c r="C68" s="24" t="s">
        <v>323</v>
      </c>
      <c r="D68" s="11" t="s">
        <v>30</v>
      </c>
      <c r="E68" s="91" t="s">
        <v>488</v>
      </c>
      <c r="F68" s="11" t="s">
        <v>14</v>
      </c>
      <c r="G68" s="43" t="s">
        <v>169</v>
      </c>
      <c r="H68" s="11" t="s">
        <v>39</v>
      </c>
      <c r="I68" s="24" t="s">
        <v>242</v>
      </c>
      <c r="J68" s="11" t="s">
        <v>701</v>
      </c>
      <c r="K68" s="11">
        <v>1</v>
      </c>
      <c r="L68" s="11" t="s">
        <v>800</v>
      </c>
      <c r="M68" s="11" t="s">
        <v>30</v>
      </c>
      <c r="N68" s="48" t="s">
        <v>200</v>
      </c>
      <c r="O68" s="11" t="s">
        <v>45</v>
      </c>
      <c r="P68" s="11" t="s">
        <v>802</v>
      </c>
    </row>
    <row r="69" spans="1:17" s="17" customFormat="1">
      <c r="A69" s="11">
        <f t="shared" si="0"/>
        <v>64</v>
      </c>
      <c r="B69" s="47" t="s">
        <v>176</v>
      </c>
      <c r="C69" s="24" t="s">
        <v>255</v>
      </c>
      <c r="D69" s="11" t="s">
        <v>30</v>
      </c>
      <c r="E69" s="91" t="s">
        <v>489</v>
      </c>
      <c r="F69" s="11" t="s">
        <v>14</v>
      </c>
      <c r="G69" s="43" t="s">
        <v>165</v>
      </c>
      <c r="H69" s="11" t="s">
        <v>39</v>
      </c>
      <c r="I69" s="24" t="s">
        <v>243</v>
      </c>
      <c r="J69" s="11" t="s">
        <v>701</v>
      </c>
      <c r="K69" s="11">
        <v>1</v>
      </c>
      <c r="L69" s="11" t="s">
        <v>800</v>
      </c>
      <c r="M69" s="11" t="s">
        <v>30</v>
      </c>
      <c r="N69" s="48" t="s">
        <v>201</v>
      </c>
      <c r="O69" s="11" t="s">
        <v>45</v>
      </c>
      <c r="P69" s="11" t="s">
        <v>802</v>
      </c>
    </row>
    <row r="70" spans="1:17" s="17" customFormat="1">
      <c r="A70" s="11">
        <f t="shared" si="0"/>
        <v>65</v>
      </c>
      <c r="B70" s="47" t="s">
        <v>158</v>
      </c>
      <c r="C70" s="24" t="s">
        <v>256</v>
      </c>
      <c r="D70" s="11" t="s">
        <v>30</v>
      </c>
      <c r="E70" s="91" t="s">
        <v>490</v>
      </c>
      <c r="F70" s="11" t="s">
        <v>14</v>
      </c>
      <c r="G70" s="43" t="s">
        <v>170</v>
      </c>
      <c r="H70" s="11" t="s">
        <v>39</v>
      </c>
      <c r="I70" s="24" t="s">
        <v>244</v>
      </c>
      <c r="J70" s="11" t="s">
        <v>701</v>
      </c>
      <c r="K70" s="11">
        <v>1</v>
      </c>
      <c r="L70" s="11" t="s">
        <v>800</v>
      </c>
      <c r="M70" s="11" t="s">
        <v>30</v>
      </c>
      <c r="N70" s="48" t="s">
        <v>202</v>
      </c>
      <c r="O70" s="11" t="s">
        <v>45</v>
      </c>
      <c r="P70" s="11" t="s">
        <v>802</v>
      </c>
    </row>
    <row r="71" spans="1:17" s="17" customFormat="1">
      <c r="A71" s="11">
        <f t="shared" si="0"/>
        <v>66</v>
      </c>
      <c r="B71" s="47" t="s">
        <v>270</v>
      </c>
      <c r="C71" s="24" t="s">
        <v>262</v>
      </c>
      <c r="D71" s="11" t="s">
        <v>30</v>
      </c>
      <c r="E71" s="91" t="s">
        <v>491</v>
      </c>
      <c r="F71" s="11" t="s">
        <v>14</v>
      </c>
      <c r="G71" s="43" t="s">
        <v>163</v>
      </c>
      <c r="H71" s="11" t="s">
        <v>39</v>
      </c>
      <c r="I71" s="54" t="s">
        <v>265</v>
      </c>
      <c r="J71" s="11" t="s">
        <v>700</v>
      </c>
      <c r="K71" s="11">
        <v>1</v>
      </c>
      <c r="L71" s="11" t="s">
        <v>800</v>
      </c>
      <c r="M71" s="11" t="s">
        <v>30</v>
      </c>
      <c r="N71" s="48" t="s">
        <v>203</v>
      </c>
      <c r="O71" s="11" t="s">
        <v>45</v>
      </c>
      <c r="P71" s="11" t="s">
        <v>802</v>
      </c>
    </row>
    <row r="72" spans="1:17" s="17" customFormat="1">
      <c r="A72" s="11">
        <f t="shared" si="0"/>
        <v>67</v>
      </c>
      <c r="B72" s="47" t="s">
        <v>271</v>
      </c>
      <c r="C72" s="24" t="s">
        <v>257</v>
      </c>
      <c r="D72" s="11" t="s">
        <v>30</v>
      </c>
      <c r="E72" s="91" t="s">
        <v>492</v>
      </c>
      <c r="F72" s="11" t="s">
        <v>14</v>
      </c>
      <c r="G72" s="43" t="s">
        <v>171</v>
      </c>
      <c r="H72" s="11" t="s">
        <v>39</v>
      </c>
      <c r="I72" s="24" t="s">
        <v>245</v>
      </c>
      <c r="J72" s="11" t="s">
        <v>703</v>
      </c>
      <c r="K72" s="11">
        <v>1</v>
      </c>
      <c r="L72" s="11" t="s">
        <v>800</v>
      </c>
      <c r="M72" s="11" t="s">
        <v>30</v>
      </c>
      <c r="N72" s="48" t="s">
        <v>204</v>
      </c>
      <c r="O72" s="11" t="s">
        <v>45</v>
      </c>
      <c r="P72" s="11" t="s">
        <v>802</v>
      </c>
    </row>
    <row r="73" spans="1:17" s="17" customFormat="1">
      <c r="A73" s="11">
        <f t="shared" si="0"/>
        <v>68</v>
      </c>
      <c r="B73" s="47" t="s">
        <v>272</v>
      </c>
      <c r="C73" s="11" t="s">
        <v>258</v>
      </c>
      <c r="D73" s="11" t="s">
        <v>30</v>
      </c>
      <c r="E73" s="91" t="s">
        <v>493</v>
      </c>
      <c r="F73" s="11" t="s">
        <v>14</v>
      </c>
      <c r="G73" s="43" t="s">
        <v>172</v>
      </c>
      <c r="H73" s="11" t="s">
        <v>39</v>
      </c>
      <c r="I73" s="24" t="s">
        <v>246</v>
      </c>
      <c r="J73" s="11" t="s">
        <v>703</v>
      </c>
      <c r="K73" s="11">
        <v>1</v>
      </c>
      <c r="L73" s="11" t="s">
        <v>800</v>
      </c>
      <c r="M73" s="11" t="s">
        <v>30</v>
      </c>
      <c r="N73" s="48" t="s">
        <v>205</v>
      </c>
      <c r="O73" s="11" t="s">
        <v>45</v>
      </c>
      <c r="P73" s="11" t="s">
        <v>802</v>
      </c>
    </row>
    <row r="74" spans="1:17" s="17" customFormat="1">
      <c r="A74" s="11">
        <f t="shared" ref="A74:A78" si="1">ROW(A74)-5</f>
        <v>69</v>
      </c>
      <c r="B74" s="47" t="s">
        <v>558</v>
      </c>
      <c r="C74" s="11" t="s">
        <v>259</v>
      </c>
      <c r="D74" s="11" t="s">
        <v>30</v>
      </c>
      <c r="E74" s="91" t="s">
        <v>494</v>
      </c>
      <c r="F74" s="11" t="s">
        <v>14</v>
      </c>
      <c r="G74" s="43" t="s">
        <v>190</v>
      </c>
      <c r="H74" s="11" t="s">
        <v>39</v>
      </c>
      <c r="I74" s="24" t="s">
        <v>247</v>
      </c>
      <c r="J74" s="11" t="s">
        <v>703</v>
      </c>
      <c r="K74" s="11">
        <v>1</v>
      </c>
      <c r="L74" s="11" t="s">
        <v>800</v>
      </c>
      <c r="M74" s="11" t="s">
        <v>30</v>
      </c>
      <c r="N74" s="48" t="s">
        <v>206</v>
      </c>
      <c r="O74" s="11" t="s">
        <v>45</v>
      </c>
      <c r="P74" s="11" t="s">
        <v>802</v>
      </c>
    </row>
    <row r="75" spans="1:17" s="17" customFormat="1">
      <c r="A75" s="11">
        <f t="shared" si="1"/>
        <v>70</v>
      </c>
      <c r="B75" s="47" t="s">
        <v>559</v>
      </c>
      <c r="C75" s="11" t="s">
        <v>260</v>
      </c>
      <c r="D75" s="11" t="s">
        <v>30</v>
      </c>
      <c r="E75" s="91" t="s">
        <v>495</v>
      </c>
      <c r="F75" s="11" t="s">
        <v>14</v>
      </c>
      <c r="G75" s="43" t="s">
        <v>191</v>
      </c>
      <c r="H75" s="11" t="s">
        <v>39</v>
      </c>
      <c r="I75" s="24" t="s">
        <v>248</v>
      </c>
      <c r="J75" s="11" t="s">
        <v>703</v>
      </c>
      <c r="K75" s="11">
        <v>1</v>
      </c>
      <c r="L75" s="11" t="s">
        <v>800</v>
      </c>
      <c r="M75" s="11" t="s">
        <v>30</v>
      </c>
      <c r="N75" s="48" t="s">
        <v>207</v>
      </c>
      <c r="O75" s="11" t="s">
        <v>45</v>
      </c>
      <c r="P75" s="11" t="s">
        <v>802</v>
      </c>
    </row>
    <row r="76" spans="1:17" s="17" customFormat="1">
      <c r="A76" s="11">
        <f t="shared" si="1"/>
        <v>71</v>
      </c>
      <c r="B76" s="47" t="s">
        <v>754</v>
      </c>
      <c r="C76" s="11" t="s">
        <v>263</v>
      </c>
      <c r="D76" s="11" t="s">
        <v>30</v>
      </c>
      <c r="E76" s="91" t="s">
        <v>496</v>
      </c>
      <c r="F76" s="11" t="s">
        <v>14</v>
      </c>
      <c r="G76" s="43" t="s">
        <v>208</v>
      </c>
      <c r="H76" s="11" t="s">
        <v>39</v>
      </c>
      <c r="I76" s="24" t="s">
        <v>264</v>
      </c>
      <c r="J76" s="11" t="s">
        <v>703</v>
      </c>
      <c r="K76" s="11">
        <v>1</v>
      </c>
      <c r="L76" s="11" t="s">
        <v>800</v>
      </c>
      <c r="M76" s="11" t="s">
        <v>30</v>
      </c>
      <c r="N76" s="48" t="s">
        <v>215</v>
      </c>
      <c r="O76" s="11" t="s">
        <v>45</v>
      </c>
      <c r="P76" s="11" t="s">
        <v>802</v>
      </c>
    </row>
    <row r="77" spans="1:17" s="17" customFormat="1">
      <c r="A77" s="11">
        <f t="shared" si="1"/>
        <v>72</v>
      </c>
      <c r="B77" s="47" t="s">
        <v>755</v>
      </c>
      <c r="C77" s="52" t="s">
        <v>778</v>
      </c>
      <c r="D77" s="11" t="s">
        <v>30</v>
      </c>
      <c r="E77" s="91" t="s">
        <v>497</v>
      </c>
      <c r="F77" s="11" t="s">
        <v>14</v>
      </c>
      <c r="G77" s="13" t="s">
        <v>533</v>
      </c>
      <c r="H77" s="52" t="s">
        <v>585</v>
      </c>
      <c r="I77" s="55" t="s">
        <v>780</v>
      </c>
      <c r="J77" s="11" t="s">
        <v>30</v>
      </c>
      <c r="K77" s="11">
        <v>1</v>
      </c>
      <c r="L77" s="11" t="s">
        <v>800</v>
      </c>
      <c r="M77" s="11" t="s">
        <v>30</v>
      </c>
      <c r="N77" s="48" t="s">
        <v>461</v>
      </c>
      <c r="O77" s="11" t="s">
        <v>269</v>
      </c>
      <c r="P77" s="11" t="s">
        <v>802</v>
      </c>
    </row>
    <row r="78" spans="1:17" s="17" customFormat="1">
      <c r="A78" s="11">
        <f t="shared" si="1"/>
        <v>73</v>
      </c>
      <c r="B78" s="47"/>
      <c r="C78" s="52" t="s">
        <v>779</v>
      </c>
      <c r="D78" s="11" t="s">
        <v>30</v>
      </c>
      <c r="E78" s="91" t="s">
        <v>497</v>
      </c>
      <c r="F78" s="11" t="s">
        <v>14</v>
      </c>
      <c r="G78" s="13" t="s">
        <v>533</v>
      </c>
      <c r="H78" s="52" t="s">
        <v>586</v>
      </c>
      <c r="I78" s="55" t="s">
        <v>781</v>
      </c>
      <c r="J78" s="11" t="s">
        <v>30</v>
      </c>
      <c r="K78" s="11"/>
      <c r="L78" s="11" t="s">
        <v>800</v>
      </c>
      <c r="M78" s="11" t="s">
        <v>30</v>
      </c>
      <c r="O78" s="11" t="s">
        <v>269</v>
      </c>
      <c r="P78" s="11" t="s">
        <v>802</v>
      </c>
      <c r="Q78" s="97"/>
    </row>
    <row r="79" spans="1:17">
      <c r="A79" s="11">
        <v>63</v>
      </c>
      <c r="B79" s="47" t="s">
        <v>560</v>
      </c>
      <c r="C79" s="96" t="s">
        <v>564</v>
      </c>
      <c r="D79" s="11" t="s">
        <v>30</v>
      </c>
      <c r="E79" s="91" t="s">
        <v>34</v>
      </c>
      <c r="F79" s="11" t="s">
        <v>30</v>
      </c>
      <c r="G79" s="53" t="s">
        <v>565</v>
      </c>
      <c r="H79" s="11" t="s">
        <v>566</v>
      </c>
      <c r="I79" s="96" t="s">
        <v>563</v>
      </c>
      <c r="J79" s="50" t="s">
        <v>127</v>
      </c>
      <c r="K79" s="50">
        <v>1</v>
      </c>
      <c r="L79" s="11" t="s">
        <v>800</v>
      </c>
      <c r="M79" s="11" t="s">
        <v>30</v>
      </c>
      <c r="N79" s="48" t="s">
        <v>567</v>
      </c>
      <c r="O79" s="52" t="s">
        <v>562</v>
      </c>
      <c r="P79" s="11" t="s">
        <v>802</v>
      </c>
      <c r="Q79" s="97"/>
    </row>
    <row r="80" spans="1:17">
      <c r="A80" s="45">
        <f t="shared" ref="A80:A82" si="2">ROW(A80)-5</f>
        <v>75</v>
      </c>
      <c r="B80" s="98" t="s">
        <v>561</v>
      </c>
      <c r="C80" s="45" t="s">
        <v>569</v>
      </c>
      <c r="D80" s="99" t="s">
        <v>14</v>
      </c>
      <c r="E80" s="45" t="s">
        <v>34</v>
      </c>
      <c r="F80" s="45" t="s">
        <v>14</v>
      </c>
      <c r="G80" s="100" t="s">
        <v>570</v>
      </c>
      <c r="H80" s="101" t="s">
        <v>51</v>
      </c>
      <c r="I80" s="45" t="s">
        <v>569</v>
      </c>
      <c r="J80" s="99" t="s">
        <v>14</v>
      </c>
      <c r="K80" s="102">
        <v>3</v>
      </c>
      <c r="L80" s="11" t="s">
        <v>800</v>
      </c>
      <c r="M80" s="11" t="s">
        <v>30</v>
      </c>
      <c r="N80" s="48" t="s">
        <v>573</v>
      </c>
      <c r="O80" s="101" t="s">
        <v>129</v>
      </c>
      <c r="P80" s="11" t="s">
        <v>802</v>
      </c>
      <c r="Q80" s="97"/>
    </row>
    <row r="81" spans="1:16" s="25" customFormat="1">
      <c r="A81" s="45">
        <f t="shared" si="2"/>
        <v>76</v>
      </c>
      <c r="B81" s="98" t="s">
        <v>756</v>
      </c>
      <c r="C81" s="45" t="s">
        <v>571</v>
      </c>
      <c r="D81" s="99" t="s">
        <v>14</v>
      </c>
      <c r="E81" s="45" t="s">
        <v>34</v>
      </c>
      <c r="F81" s="45" t="s">
        <v>14</v>
      </c>
      <c r="G81" s="103" t="s">
        <v>572</v>
      </c>
      <c r="H81" s="101" t="s">
        <v>51</v>
      </c>
      <c r="I81" s="45" t="s">
        <v>571</v>
      </c>
      <c r="J81" s="99" t="s">
        <v>14</v>
      </c>
      <c r="K81" s="104">
        <v>4</v>
      </c>
      <c r="L81" s="11" t="s">
        <v>800</v>
      </c>
      <c r="M81" s="11" t="s">
        <v>30</v>
      </c>
      <c r="N81" s="48" t="s">
        <v>804</v>
      </c>
      <c r="O81" s="101" t="s">
        <v>129</v>
      </c>
      <c r="P81" s="11" t="s">
        <v>802</v>
      </c>
    </row>
    <row r="82" spans="1:16">
      <c r="A82" s="11">
        <f t="shared" si="2"/>
        <v>77</v>
      </c>
      <c r="B82" s="47" t="s">
        <v>759</v>
      </c>
      <c r="C82" s="11" t="s">
        <v>179</v>
      </c>
      <c r="D82" s="11" t="s">
        <v>30</v>
      </c>
      <c r="E82" s="90" t="s">
        <v>34</v>
      </c>
      <c r="F82" s="11" t="s">
        <v>30</v>
      </c>
      <c r="G82" s="53" t="s">
        <v>230</v>
      </c>
      <c r="H82" s="11" t="s">
        <v>154</v>
      </c>
      <c r="I82" s="11" t="s">
        <v>179</v>
      </c>
      <c r="J82" s="50" t="s">
        <v>127</v>
      </c>
      <c r="K82" s="50">
        <v>1</v>
      </c>
      <c r="L82" s="11" t="s">
        <v>800</v>
      </c>
      <c r="M82" s="11" t="s">
        <v>30</v>
      </c>
      <c r="N82" s="45"/>
      <c r="O82" s="52" t="s">
        <v>129</v>
      </c>
      <c r="P82" s="11" t="s">
        <v>803</v>
      </c>
    </row>
    <row r="83" spans="1:16">
      <c r="B83" s="3"/>
      <c r="C83" s="2"/>
      <c r="H83" s="5"/>
      <c r="I83" s="2"/>
    </row>
    <row r="84" spans="1:16">
      <c r="A84" s="17"/>
      <c r="B84" s="1" t="s">
        <v>15</v>
      </c>
      <c r="C84" s="10" t="s">
        <v>16</v>
      </c>
      <c r="D84" s="18"/>
      <c r="E84" s="17"/>
      <c r="F84" s="17"/>
      <c r="G84" s="4"/>
      <c r="H84" s="17"/>
      <c r="I84" s="17"/>
      <c r="J84" s="17"/>
      <c r="O84" s="17"/>
      <c r="P84" s="17"/>
    </row>
    <row r="85" spans="1:16">
      <c r="A85" s="17"/>
      <c r="B85" s="17"/>
      <c r="C85" s="15" t="s">
        <v>5</v>
      </c>
      <c r="D85" s="17"/>
      <c r="E85" s="17"/>
      <c r="F85" s="17"/>
      <c r="G85" s="16"/>
      <c r="H85" s="17"/>
      <c r="I85" s="17"/>
      <c r="J85" s="17"/>
      <c r="O85" s="17"/>
      <c r="P85" s="17"/>
    </row>
    <row r="86" spans="1:16">
      <c r="A86" s="17"/>
      <c r="B86" s="17"/>
      <c r="C86" s="19" t="s">
        <v>6</v>
      </c>
      <c r="D86" s="17"/>
      <c r="E86" s="17"/>
      <c r="F86" s="17"/>
      <c r="G86" s="16"/>
      <c r="H86" s="17"/>
      <c r="I86" s="17"/>
      <c r="J86" s="17"/>
      <c r="O86" s="17"/>
      <c r="P86" s="17"/>
    </row>
    <row r="87" spans="1:16">
      <c r="C87" s="20" t="s">
        <v>52</v>
      </c>
      <c r="G87" s="18"/>
    </row>
    <row r="88" spans="1:16" ht="46.5">
      <c r="C88" s="29" t="s">
        <v>53</v>
      </c>
    </row>
    <row r="89" spans="1:16">
      <c r="K89" s="7"/>
      <c r="L89" s="7"/>
      <c r="M89" s="7"/>
    </row>
    <row r="90" spans="1:16">
      <c r="G90" s="22"/>
    </row>
  </sheetData>
  <autoFilter ref="A5:P5" xr:uid="{375E7B8E-6F98-49CC-839D-F0D07BB8F29F}"/>
  <mergeCells count="4">
    <mergeCell ref="A3:B3"/>
    <mergeCell ref="A4:B4"/>
    <mergeCell ref="A1:P1"/>
    <mergeCell ref="A2:P2"/>
  </mergeCells>
  <phoneticPr fontId="18" type="noConversion"/>
  <conditionalFormatting sqref="A23:B23 D23:D24">
    <cfRule type="containsText" dxfId="605" priority="164" operator="containsText" text="TBD">
      <formula>NOT(ISERROR(SEARCH("TBD",A23)))</formula>
    </cfRule>
  </conditionalFormatting>
  <conditionalFormatting sqref="A28:B28">
    <cfRule type="containsText" dxfId="604" priority="160" operator="containsText" text="TBD">
      <formula>NOT(ISERROR(SEARCH("TBD",A28)))</formula>
    </cfRule>
  </conditionalFormatting>
  <conditionalFormatting sqref="A43:B45 D43:F45">
    <cfRule type="containsText" dxfId="603" priority="71" operator="containsText" text="TBD">
      <formula>NOT(ISERROR(SEARCH("TBD",A43)))</formula>
    </cfRule>
  </conditionalFormatting>
  <conditionalFormatting sqref="A48:B48">
    <cfRule type="containsText" dxfId="602" priority="64" operator="containsText" text="TBD">
      <formula>NOT(ISERROR(SEARCH("TBD",A48)))</formula>
    </cfRule>
  </conditionalFormatting>
  <conditionalFormatting sqref="A24:C25">
    <cfRule type="containsText" dxfId="601" priority="219" operator="containsText" text="TBD">
      <formula>NOT(ISERROR(SEARCH("TBD",A24)))</formula>
    </cfRule>
  </conditionalFormatting>
  <conditionalFormatting sqref="A57:C57">
    <cfRule type="containsText" dxfId="600" priority="16" operator="containsText" text="TBD">
      <formula>NOT(ISERROR(SEARCH("TBD",A57)))</formula>
    </cfRule>
  </conditionalFormatting>
  <conditionalFormatting sqref="A18:D22">
    <cfRule type="containsText" dxfId="599" priority="199" operator="containsText" text="TBD">
      <formula>NOT(ISERROR(SEARCH("TBD",A18)))</formula>
    </cfRule>
  </conditionalFormatting>
  <conditionalFormatting sqref="A31:G35">
    <cfRule type="containsText" dxfId="598" priority="101" operator="containsText" text="TBD">
      <formula>NOT(ISERROR(SEARCH("TBD",A31)))</formula>
    </cfRule>
  </conditionalFormatting>
  <conditionalFormatting sqref="C21:C23">
    <cfRule type="containsText" dxfId="597" priority="163" operator="containsText" text="TBD">
      <formula>NOT(ISERROR(SEARCH("TBD",C21)))</formula>
    </cfRule>
  </conditionalFormatting>
  <conditionalFormatting sqref="C25">
    <cfRule type="duplicateValues" dxfId="596" priority="204"/>
    <cfRule type="duplicateValues" dxfId="595" priority="203"/>
  </conditionalFormatting>
  <conditionalFormatting sqref="C27:C30">
    <cfRule type="containsText" dxfId="594" priority="154" operator="containsText" text="TBD">
      <formula>NOT(ISERROR(SEARCH("TBD",C27)))</formula>
    </cfRule>
  </conditionalFormatting>
  <conditionalFormatting sqref="C36:C45">
    <cfRule type="containsText" dxfId="593" priority="67" operator="containsText" text="TBD">
      <formula>NOT(ISERROR(SEARCH("TBD",C36)))</formula>
    </cfRule>
  </conditionalFormatting>
  <conditionalFormatting sqref="C48:C56">
    <cfRule type="containsText" dxfId="592" priority="12" operator="containsText" text="TBD">
      <formula>NOT(ISERROR(SEARCH("TBD",C48)))</formula>
    </cfRule>
  </conditionalFormatting>
  <conditionalFormatting sqref="C84:C87">
    <cfRule type="containsText" dxfId="591" priority="218" operator="containsText" text="TBD">
      <formula>NOT(ISERROR(SEARCH("TBD",C84)))</formula>
    </cfRule>
  </conditionalFormatting>
  <conditionalFormatting sqref="C37:G38 C39:F39 A40:F42 A51:B56">
    <cfRule type="containsText" dxfId="590" priority="198" operator="containsText" text="TBD">
      <formula>NOT(ISERROR(SEARCH("TBD",A37)))</formula>
    </cfRule>
  </conditionalFormatting>
  <conditionalFormatting sqref="C77:G78">
    <cfRule type="containsText" dxfId="589" priority="19" operator="containsText" text="TBD">
      <formula>NOT(ISERROR(SEARCH("TBD",C77)))</formula>
    </cfRule>
  </conditionalFormatting>
  <conditionalFormatting sqref="C58:K76">
    <cfRule type="containsText" dxfId="588" priority="196" operator="containsText" text="TBD">
      <formula>NOT(ISERROR(SEARCH("TBD",C58)))</formula>
    </cfRule>
  </conditionalFormatting>
  <conditionalFormatting sqref="D55:D57 F55:F57">
    <cfRule type="containsText" dxfId="587" priority="15" operator="containsText" text="TBD">
      <formula>NOT(ISERROR(SEARCH("TBD",D55)))</formula>
    </cfRule>
  </conditionalFormatting>
  <conditionalFormatting sqref="D53:F54">
    <cfRule type="containsText" dxfId="586" priority="27" operator="containsText" text="TBD">
      <formula>NOT(ISERROR(SEARCH("TBD",D53)))</formula>
    </cfRule>
  </conditionalFormatting>
  <conditionalFormatting sqref="D36:G36">
    <cfRule type="containsText" dxfId="585" priority="93" operator="containsText" text="TBD">
      <formula>NOT(ISERROR(SEARCH("TBD",D36)))</formula>
    </cfRule>
  </conditionalFormatting>
  <conditionalFormatting sqref="D52:G52">
    <cfRule type="containsText" dxfId="584" priority="25" operator="containsText" text="TBD">
      <formula>NOT(ISERROR(SEARCH("TBD",D52)))</formula>
    </cfRule>
  </conditionalFormatting>
  <conditionalFormatting sqref="D25:H25">
    <cfRule type="containsText" dxfId="583" priority="173" operator="containsText" text="TBD">
      <formula>NOT(ISERROR(SEARCH("TBD",D25)))</formula>
    </cfRule>
  </conditionalFormatting>
  <conditionalFormatting sqref="E27:E45">
    <cfRule type="containsText" dxfId="582" priority="69" operator="containsText" text="TBD">
      <formula>NOT(ISERROR(SEARCH("TBD",E27)))</formula>
    </cfRule>
  </conditionalFormatting>
  <conditionalFormatting sqref="E48:E57">
    <cfRule type="containsText" dxfId="581" priority="23" operator="containsText" text="TBD">
      <formula>NOT(ISERROR(SEARCH("TBD",E48)))</formula>
    </cfRule>
  </conditionalFormatting>
  <conditionalFormatting sqref="G39:G45">
    <cfRule type="containsText" dxfId="580" priority="65" operator="containsText" text="TBD">
      <formula>NOT(ISERROR(SEARCH("TBD",G39)))</formula>
    </cfRule>
  </conditionalFormatting>
  <conditionalFormatting sqref="G52:K57">
    <cfRule type="containsText" dxfId="579" priority="14" operator="containsText" text="TBD">
      <formula>NOT(ISERROR(SEARCH("TBD",G52)))</formula>
    </cfRule>
  </conditionalFormatting>
  <conditionalFormatting sqref="H31:H39 A36:B39">
    <cfRule type="containsText" dxfId="578" priority="100" operator="containsText" text="TBD">
      <formula>NOT(ISERROR(SEARCH("TBD",A31)))</formula>
    </cfRule>
  </conditionalFormatting>
  <conditionalFormatting sqref="H77:H79">
    <cfRule type="containsText" dxfId="577" priority="90" operator="containsText" text="TBD">
      <formula>NOT(ISERROR(SEARCH("TBD",H77)))</formula>
    </cfRule>
  </conditionalFormatting>
  <conditionalFormatting sqref="I25">
    <cfRule type="duplicateValues" dxfId="576" priority="201"/>
    <cfRule type="duplicateValues" dxfId="575" priority="202"/>
  </conditionalFormatting>
  <conditionalFormatting sqref="I77:K78">
    <cfRule type="containsText" dxfId="574" priority="18" operator="containsText" text="TBD">
      <formula>NOT(ISERROR(SEARCH("TBD",I77)))</formula>
    </cfRule>
  </conditionalFormatting>
  <conditionalFormatting sqref="J71">
    <cfRule type="containsText" dxfId="573" priority="53" operator="containsText" text="TBD">
      <formula>NOT(ISERROR(SEARCH("TBD",J71)))</formula>
    </cfRule>
  </conditionalFormatting>
  <conditionalFormatting sqref="N79:N81">
    <cfRule type="containsText" dxfId="572" priority="1" operator="containsText" text="TBD">
      <formula>NOT(ISERROR(SEARCH("TBD",N79)))</formula>
    </cfRule>
  </conditionalFormatting>
  <conditionalFormatting sqref="N5:O5">
    <cfRule type="containsText" dxfId="571" priority="216" operator="containsText" text="TBD">
      <formula>NOT(ISERROR(SEARCH("TBD",N5)))</formula>
    </cfRule>
  </conditionalFormatting>
  <conditionalFormatting sqref="N7:O10">
    <cfRule type="containsText" dxfId="570" priority="54" operator="containsText" text="TBD">
      <formula>NOT(ISERROR(SEARCH("TBD",N7)))</formula>
    </cfRule>
  </conditionalFormatting>
  <conditionalFormatting sqref="N57:P57">
    <cfRule type="containsText" dxfId="569" priority="2" operator="containsText" text="TBD">
      <formula>NOT(ISERROR(SEARCH("TBD",N57)))</formula>
    </cfRule>
  </conditionalFormatting>
  <conditionalFormatting sqref="O54:O1048576 A1:A2 A3:O6 E6:E23 A7:K8 L7:M82 O8:O15 A9:D15 F9:K15 N11:N15 A16:K17 N16:O24 F18:K24 J25:K25 N25:N26 O25:O30 A26:K27 D28:K28 A29:K30 I31:K33 J34:K35 I36:K39 H40:K45 A46:K47 D48:K48 A49:K50 D51:K51 N54:N56 A58:B1048576 N59:N77 C79:K82 Q81:XFD1048576 N82:O1048576 C83:M1048576">
    <cfRule type="containsText" dxfId="568" priority="213" operator="containsText" text="TBD">
      <formula>NOT(ISERROR(SEARCH("TBD",A1)))</formula>
    </cfRule>
  </conditionalFormatting>
  <conditionalFormatting sqref="O80:P80">
    <cfRule type="containsText" dxfId="567" priority="7" operator="containsText" text="Group A">
      <formula>NOT(ISERROR(SEARCH("Group A",O80)))</formula>
    </cfRule>
    <cfRule type="containsText" dxfId="566" priority="6" operator="containsText" text="Group A">
      <formula>NOT(ISERROR(SEARCH("Group A",O80)))</formula>
    </cfRule>
    <cfRule type="containsText" dxfId="565" priority="5" operator="containsText" text="Group B">
      <formula>NOT(ISERROR(SEARCH("Group B",O80)))</formula>
    </cfRule>
    <cfRule type="containsText" dxfId="564" priority="4" operator="containsText" text="Group A">
      <formula>NOT(ISERROR(SEARCH("Group A",O80)))</formula>
    </cfRule>
  </conditionalFormatting>
  <conditionalFormatting sqref="P3:P1048576">
    <cfRule type="containsText" dxfId="563" priority="8" operator="containsText" text="TBD">
      <formula>NOT(ISERROR(SEARCH("TBD",P3)))</formula>
    </cfRule>
  </conditionalFormatting>
  <conditionalFormatting sqref="P8:P9">
    <cfRule type="containsText" dxfId="562" priority="3" operator="containsText" text="TBD">
      <formula>NOT(ISERROR(SEARCH("TBD",P8)))</formula>
    </cfRule>
  </conditionalFormatting>
  <conditionalFormatting sqref="Q1:XFD78 N27:O53">
    <cfRule type="containsText" dxfId="561" priority="126" operator="containsText" text="TBD">
      <formula>NOT(ISERROR(SEARCH("TBD",N1)))</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EA63-61BA-409E-B3E9-648764AADB42}">
  <sheetPr>
    <tabColor theme="8" tint="0.59999389629810485"/>
  </sheetPr>
  <dimension ref="A1:AU92"/>
  <sheetViews>
    <sheetView tabSelected="1" zoomScale="55" zoomScaleNormal="55" workbookViewId="0">
      <pane ySplit="5" topLeftCell="A10" activePane="bottomLeft" state="frozen"/>
      <selection activeCell="I57" sqref="I57"/>
      <selection pane="bottomLeft" activeCell="I40" sqref="I4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6328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36.90625" style="6" customWidth="1"/>
    <col min="15" max="16" width="17.269531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1A72CF400-600-G</v>
      </c>
      <c r="D3" s="26" t="s">
        <v>1</v>
      </c>
      <c r="E3" s="27" t="s">
        <v>14</v>
      </c>
      <c r="F3" s="26"/>
      <c r="G3" s="26"/>
      <c r="H3" s="26"/>
      <c r="I3" s="26"/>
      <c r="J3" s="26"/>
      <c r="K3" s="26"/>
      <c r="L3" s="26"/>
      <c r="M3" s="26"/>
      <c r="N3" s="44"/>
      <c r="O3" s="26"/>
      <c r="P3" s="26"/>
    </row>
    <row r="4" spans="1:16" s="8" customFormat="1">
      <c r="A4" s="179" t="s">
        <v>8</v>
      </c>
      <c r="B4" s="179"/>
      <c r="C4" s="89" t="str">
        <f>E6</f>
        <v>TBD</v>
      </c>
      <c r="D4" s="41" t="s">
        <v>9</v>
      </c>
      <c r="E4" s="42" t="s">
        <v>14</v>
      </c>
      <c r="F4" s="41" t="s">
        <v>10</v>
      </c>
      <c r="G4" s="13" t="str">
        <f>G6</f>
        <v>Maxwell Mercury_L10 Compute Tray Assy_Sun-Ref, Samsung</v>
      </c>
      <c r="H4" s="41"/>
      <c r="I4" s="41"/>
      <c r="J4" s="41"/>
      <c r="K4" s="41"/>
      <c r="L4" s="41"/>
      <c r="M4" s="41"/>
      <c r="N4" s="44"/>
      <c r="O4" s="41"/>
      <c r="P4" s="41"/>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ROW(A6)-5</f>
        <v>1</v>
      </c>
      <c r="B6" s="49" t="s">
        <v>36</v>
      </c>
      <c r="C6" s="52" t="s">
        <v>682</v>
      </c>
      <c r="D6" s="11" t="s">
        <v>17</v>
      </c>
      <c r="E6" s="91" t="s">
        <v>34</v>
      </c>
      <c r="F6" s="11" t="s">
        <v>14</v>
      </c>
      <c r="G6" s="13" t="s">
        <v>692</v>
      </c>
      <c r="H6" s="11" t="s">
        <v>20</v>
      </c>
      <c r="I6" s="52" t="str">
        <f>C6</f>
        <v>1A72CF400-600-G</v>
      </c>
      <c r="J6" s="11" t="s">
        <v>14</v>
      </c>
      <c r="K6" s="11">
        <v>1</v>
      </c>
      <c r="L6" s="11" t="s">
        <v>800</v>
      </c>
      <c r="M6" s="11" t="s">
        <v>30</v>
      </c>
      <c r="N6" s="45"/>
      <c r="O6" s="11" t="s">
        <v>14</v>
      </c>
      <c r="P6" s="11" t="s">
        <v>802</v>
      </c>
    </row>
    <row r="7" spans="1:16" ht="62">
      <c r="A7" s="11">
        <f>ROW(A7)-5</f>
        <v>2</v>
      </c>
      <c r="B7" s="49" t="s">
        <v>29</v>
      </c>
      <c r="C7" s="55" t="s">
        <v>218</v>
      </c>
      <c r="D7" s="11" t="s">
        <v>17</v>
      </c>
      <c r="E7" s="11" t="s">
        <v>34</v>
      </c>
      <c r="F7" s="11" t="s">
        <v>14</v>
      </c>
      <c r="G7" s="13" t="s">
        <v>189</v>
      </c>
      <c r="H7" s="11" t="s">
        <v>40</v>
      </c>
      <c r="I7" s="24" t="s">
        <v>216</v>
      </c>
      <c r="J7" s="11" t="s">
        <v>14</v>
      </c>
      <c r="K7" s="11">
        <v>1</v>
      </c>
      <c r="L7" s="11" t="s">
        <v>800</v>
      </c>
      <c r="M7" s="11" t="s">
        <v>30</v>
      </c>
      <c r="N7" s="83" t="s">
        <v>460</v>
      </c>
      <c r="O7" s="11" t="s">
        <v>42</v>
      </c>
      <c r="P7" s="11" t="s">
        <v>803</v>
      </c>
    </row>
    <row r="8" spans="1:16" ht="62">
      <c r="A8" s="11">
        <f>ROW(A8)-5</f>
        <v>3</v>
      </c>
      <c r="B8" s="49" t="s">
        <v>37</v>
      </c>
      <c r="C8" s="55" t="s">
        <v>343</v>
      </c>
      <c r="D8" s="11" t="s">
        <v>17</v>
      </c>
      <c r="E8" s="11" t="s">
        <v>34</v>
      </c>
      <c r="F8" s="11" t="s">
        <v>14</v>
      </c>
      <c r="G8" s="13" t="s">
        <v>232</v>
      </c>
      <c r="H8" s="11" t="s">
        <v>40</v>
      </c>
      <c r="I8" s="55" t="s">
        <v>344</v>
      </c>
      <c r="J8" s="11" t="s">
        <v>14</v>
      </c>
      <c r="K8" s="11">
        <v>2</v>
      </c>
      <c r="L8" s="11" t="s">
        <v>800</v>
      </c>
      <c r="M8" s="11" t="s">
        <v>30</v>
      </c>
      <c r="N8" s="83" t="s">
        <v>685</v>
      </c>
      <c r="O8" s="11" t="s">
        <v>42</v>
      </c>
      <c r="P8" s="11" t="s">
        <v>803</v>
      </c>
    </row>
    <row r="9" spans="1:16" ht="31">
      <c r="A9" s="11">
        <f t="shared" ref="A9:A80" si="0">ROW(A9)-5</f>
        <v>4</v>
      </c>
      <c r="B9" s="49" t="s">
        <v>117</v>
      </c>
      <c r="C9" s="11" t="s">
        <v>313</v>
      </c>
      <c r="D9" s="56" t="s">
        <v>30</v>
      </c>
      <c r="E9" s="11" t="s">
        <v>34</v>
      </c>
      <c r="F9" s="11" t="s">
        <v>14</v>
      </c>
      <c r="G9" s="13" t="s">
        <v>58</v>
      </c>
      <c r="H9" s="11" t="s">
        <v>40</v>
      </c>
      <c r="I9" s="24" t="s">
        <v>309</v>
      </c>
      <c r="J9" s="56" t="s">
        <v>30</v>
      </c>
      <c r="K9" s="11">
        <v>2</v>
      </c>
      <c r="L9" s="11" t="s">
        <v>800</v>
      </c>
      <c r="M9" s="11" t="s">
        <v>30</v>
      </c>
      <c r="N9" s="83" t="s">
        <v>505</v>
      </c>
      <c r="O9" s="11" t="s">
        <v>41</v>
      </c>
      <c r="P9" s="11" t="s">
        <v>803</v>
      </c>
    </row>
    <row r="10" spans="1:16" ht="46.5">
      <c r="A10" s="11">
        <f t="shared" si="0"/>
        <v>5</v>
      </c>
      <c r="B10" s="49" t="s">
        <v>118</v>
      </c>
      <c r="C10" s="24" t="s">
        <v>219</v>
      </c>
      <c r="D10" s="56" t="s">
        <v>30</v>
      </c>
      <c r="E10" s="11" t="s">
        <v>34</v>
      </c>
      <c r="F10" s="11" t="s">
        <v>14</v>
      </c>
      <c r="G10" s="13" t="s">
        <v>59</v>
      </c>
      <c r="H10" s="11" t="s">
        <v>40</v>
      </c>
      <c r="I10" s="24" t="s">
        <v>217</v>
      </c>
      <c r="J10" s="56" t="s">
        <v>30</v>
      </c>
      <c r="K10" s="11">
        <v>1</v>
      </c>
      <c r="L10" s="11" t="s">
        <v>800</v>
      </c>
      <c r="M10" s="11" t="s">
        <v>30</v>
      </c>
      <c r="N10" s="83" t="s">
        <v>329</v>
      </c>
      <c r="O10" s="11" t="s">
        <v>41</v>
      </c>
      <c r="P10" s="11"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223</v>
      </c>
      <c r="D14" s="56" t="s">
        <v>30</v>
      </c>
      <c r="E14" s="91" t="s">
        <v>470</v>
      </c>
      <c r="F14" s="11" t="s">
        <v>14</v>
      </c>
      <c r="G14" s="13" t="s">
        <v>188</v>
      </c>
      <c r="H14" s="11" t="s">
        <v>136</v>
      </c>
      <c r="I14" s="11" t="s">
        <v>143</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ROW(A19)-5</f>
        <v>14</v>
      </c>
      <c r="B19" s="58" t="s">
        <v>174</v>
      </c>
      <c r="C19" s="60" t="s">
        <v>151</v>
      </c>
      <c r="D19" s="61" t="s">
        <v>14</v>
      </c>
      <c r="E19" s="91" t="s">
        <v>526</v>
      </c>
      <c r="F19" s="11" t="s">
        <v>14</v>
      </c>
      <c r="G19" s="95" t="s">
        <v>532</v>
      </c>
      <c r="H19" s="62" t="s">
        <v>51</v>
      </c>
      <c r="I19" s="60" t="s">
        <v>151</v>
      </c>
      <c r="J19" s="11" t="s">
        <v>30</v>
      </c>
      <c r="K19" s="63">
        <v>1</v>
      </c>
      <c r="L19" s="11" t="s">
        <v>800</v>
      </c>
      <c r="M19" s="11" t="s">
        <v>30</v>
      </c>
      <c r="N19" s="64" t="s">
        <v>341</v>
      </c>
      <c r="O19" s="63" t="s">
        <v>159</v>
      </c>
      <c r="P19" s="11" t="s">
        <v>802</v>
      </c>
    </row>
    <row r="20" spans="1:16">
      <c r="A20" s="11">
        <f t="shared" si="0"/>
        <v>15</v>
      </c>
      <c r="B20" s="58" t="s">
        <v>131</v>
      </c>
      <c r="C20" s="55" t="s">
        <v>345</v>
      </c>
      <c r="D20" s="11" t="s">
        <v>14</v>
      </c>
      <c r="E20" s="91" t="s">
        <v>516</v>
      </c>
      <c r="F20" s="11" t="s">
        <v>14</v>
      </c>
      <c r="G20" s="72" t="s">
        <v>346</v>
      </c>
      <c r="H20" s="11" t="s">
        <v>51</v>
      </c>
      <c r="I20" s="55" t="s">
        <v>345</v>
      </c>
      <c r="J20" s="11" t="s">
        <v>14</v>
      </c>
      <c r="K20" s="11">
        <v>1</v>
      </c>
      <c r="L20" s="11" t="s">
        <v>800</v>
      </c>
      <c r="M20" s="11" t="s">
        <v>30</v>
      </c>
      <c r="N20" s="45" t="s">
        <v>303</v>
      </c>
      <c r="O20" s="11" t="s">
        <v>41</v>
      </c>
      <c r="P20" s="11" t="s">
        <v>802</v>
      </c>
    </row>
    <row r="21" spans="1:16">
      <c r="A21" s="11">
        <f t="shared" si="0"/>
        <v>16</v>
      </c>
      <c r="B21" s="58" t="s">
        <v>381</v>
      </c>
      <c r="C21" s="55" t="s">
        <v>347</v>
      </c>
      <c r="D21" s="11" t="s">
        <v>14</v>
      </c>
      <c r="E21" s="91" t="s">
        <v>473</v>
      </c>
      <c r="F21" s="11" t="s">
        <v>14</v>
      </c>
      <c r="G21" s="72" t="s">
        <v>348</v>
      </c>
      <c r="H21" s="11" t="s">
        <v>51</v>
      </c>
      <c r="I21" s="55" t="s">
        <v>347</v>
      </c>
      <c r="J21" s="11" t="s">
        <v>14</v>
      </c>
      <c r="K21" s="11">
        <v>1</v>
      </c>
      <c r="L21" s="11" t="s">
        <v>800</v>
      </c>
      <c r="M21" s="11" t="s">
        <v>30</v>
      </c>
      <c r="N21" s="45" t="s">
        <v>303</v>
      </c>
      <c r="O21" s="11" t="s">
        <v>41</v>
      </c>
      <c r="P21" s="11" t="s">
        <v>802</v>
      </c>
    </row>
    <row r="22" spans="1:16">
      <c r="A22" s="11">
        <f t="shared" si="0"/>
        <v>17</v>
      </c>
      <c r="B22" s="58" t="s">
        <v>382</v>
      </c>
      <c r="C22" s="52"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551</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1">
        <f t="shared" si="0"/>
        <v>19</v>
      </c>
      <c r="B24" s="58" t="s">
        <v>552</v>
      </c>
      <c r="C24" s="24" t="s">
        <v>278</v>
      </c>
      <c r="D24" s="11" t="s">
        <v>30</v>
      </c>
      <c r="E24" s="116" t="s">
        <v>593</v>
      </c>
      <c r="F24" s="11" t="s">
        <v>30</v>
      </c>
      <c r="G24" s="43" t="s">
        <v>276</v>
      </c>
      <c r="H24" s="11" t="s">
        <v>274</v>
      </c>
      <c r="I24" s="11" t="s">
        <v>275</v>
      </c>
      <c r="J24" s="11" t="s">
        <v>14</v>
      </c>
      <c r="K24" s="11">
        <v>2</v>
      </c>
      <c r="L24" s="11" t="s">
        <v>800</v>
      </c>
      <c r="M24" s="11" t="s">
        <v>30</v>
      </c>
      <c r="N24" s="45" t="s">
        <v>277</v>
      </c>
      <c r="O24" s="11" t="s">
        <v>273</v>
      </c>
      <c r="P24" s="11" t="s">
        <v>803</v>
      </c>
    </row>
    <row r="25" spans="1:16">
      <c r="A25" s="11">
        <f t="shared" si="0"/>
        <v>20</v>
      </c>
      <c r="B25" s="58" t="s">
        <v>553</v>
      </c>
      <c r="C25" s="24" t="s">
        <v>339</v>
      </c>
      <c r="D25" s="11" t="s">
        <v>14</v>
      </c>
      <c r="E25" s="11" t="s">
        <v>34</v>
      </c>
      <c r="F25" s="11" t="s">
        <v>14</v>
      </c>
      <c r="G25" s="43" t="s">
        <v>305</v>
      </c>
      <c r="H25" s="52" t="s">
        <v>418</v>
      </c>
      <c r="I25" s="24" t="s">
        <v>339</v>
      </c>
      <c r="J25" s="11" t="s">
        <v>14</v>
      </c>
      <c r="K25" s="11">
        <v>1</v>
      </c>
      <c r="L25" s="11" t="s">
        <v>800</v>
      </c>
      <c r="M25" s="11" t="s">
        <v>30</v>
      </c>
      <c r="N25" s="45" t="s">
        <v>306</v>
      </c>
      <c r="O25" s="11" t="s">
        <v>44</v>
      </c>
      <c r="P25" s="11" t="s">
        <v>802</v>
      </c>
    </row>
    <row r="26" spans="1:16">
      <c r="A26" s="11">
        <f>ROW(A26)-5</f>
        <v>21</v>
      </c>
      <c r="B26" s="58" t="s">
        <v>554</v>
      </c>
      <c r="C26" s="11" t="s">
        <v>286</v>
      </c>
      <c r="D26" s="11" t="s">
        <v>14</v>
      </c>
      <c r="E26" s="11" t="s">
        <v>34</v>
      </c>
      <c r="F26" s="11" t="s">
        <v>14</v>
      </c>
      <c r="G26" s="43" t="s">
        <v>285</v>
      </c>
      <c r="H26" s="52" t="s">
        <v>418</v>
      </c>
      <c r="I26" s="11" t="s">
        <v>286</v>
      </c>
      <c r="J26" s="11" t="s">
        <v>14</v>
      </c>
      <c r="K26" s="11">
        <v>3</v>
      </c>
      <c r="L26" s="11" t="s">
        <v>800</v>
      </c>
      <c r="M26" s="11" t="s">
        <v>30</v>
      </c>
      <c r="N26" s="45" t="s">
        <v>284</v>
      </c>
      <c r="O26" s="11" t="s">
        <v>44</v>
      </c>
      <c r="P26" s="11" t="s">
        <v>802</v>
      </c>
    </row>
    <row r="27" spans="1:16">
      <c r="A27" s="11">
        <f t="shared" ref="A27:A30" si="1">ROW(A27)-5</f>
        <v>22</v>
      </c>
      <c r="B27" s="58"/>
      <c r="C27" s="55" t="s">
        <v>408</v>
      </c>
      <c r="D27" s="11" t="s">
        <v>14</v>
      </c>
      <c r="E27" s="11" t="s">
        <v>34</v>
      </c>
      <c r="F27" s="11" t="s">
        <v>14</v>
      </c>
      <c r="G27" s="43" t="s">
        <v>405</v>
      </c>
      <c r="H27" s="52" t="s">
        <v>406</v>
      </c>
      <c r="I27" s="55" t="s">
        <v>407</v>
      </c>
      <c r="J27" s="11" t="s">
        <v>14</v>
      </c>
      <c r="K27" s="11"/>
      <c r="L27" s="11" t="s">
        <v>800</v>
      </c>
      <c r="M27" s="11" t="s">
        <v>30</v>
      </c>
      <c r="N27" s="45" t="s">
        <v>296</v>
      </c>
      <c r="O27" s="11" t="s">
        <v>44</v>
      </c>
      <c r="P27" s="11" t="s">
        <v>802</v>
      </c>
    </row>
    <row r="28" spans="1:16">
      <c r="A28" s="11">
        <f>ROW(A28)-5</f>
        <v>23</v>
      </c>
      <c r="B28" s="58" t="s">
        <v>409</v>
      </c>
      <c r="C28" s="55" t="s">
        <v>506</v>
      </c>
      <c r="D28" s="11" t="s">
        <v>14</v>
      </c>
      <c r="E28" s="11" t="s">
        <v>34</v>
      </c>
      <c r="F28" s="11" t="s">
        <v>14</v>
      </c>
      <c r="G28" s="43" t="s">
        <v>507</v>
      </c>
      <c r="H28" s="52" t="s">
        <v>418</v>
      </c>
      <c r="I28" s="55" t="s">
        <v>506</v>
      </c>
      <c r="J28" s="11" t="s">
        <v>14</v>
      </c>
      <c r="K28" s="11">
        <v>4</v>
      </c>
      <c r="L28" s="11" t="s">
        <v>800</v>
      </c>
      <c r="M28" s="11" t="s">
        <v>30</v>
      </c>
      <c r="N28" s="45" t="s">
        <v>515</v>
      </c>
      <c r="O28" s="11" t="s">
        <v>44</v>
      </c>
      <c r="P28" s="11" t="s">
        <v>802</v>
      </c>
    </row>
    <row r="29" spans="1:16">
      <c r="A29" s="11">
        <f t="shared" si="1"/>
        <v>24</v>
      </c>
      <c r="B29" s="58"/>
      <c r="C29" s="55" t="s">
        <v>508</v>
      </c>
      <c r="D29" s="11" t="s">
        <v>14</v>
      </c>
      <c r="E29" s="1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1"/>
        <v>25</v>
      </c>
      <c r="B30" s="58"/>
      <c r="C30" s="55" t="s">
        <v>509</v>
      </c>
      <c r="D30" s="11" t="s">
        <v>14</v>
      </c>
      <c r="E30" s="1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1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11" t="s">
        <v>34</v>
      </c>
      <c r="F32" s="11" t="s">
        <v>14</v>
      </c>
      <c r="G32" s="43" t="s">
        <v>316</v>
      </c>
      <c r="H32" s="52" t="s">
        <v>418</v>
      </c>
      <c r="I32" s="24" t="s">
        <v>290</v>
      </c>
      <c r="J32" s="11" t="s">
        <v>14</v>
      </c>
      <c r="K32" s="11">
        <v>8</v>
      </c>
      <c r="L32" s="11" t="s">
        <v>800</v>
      </c>
      <c r="M32" s="11" t="s">
        <v>30</v>
      </c>
      <c r="N32" s="45" t="s">
        <v>289</v>
      </c>
      <c r="O32" s="11" t="s">
        <v>44</v>
      </c>
      <c r="P32" s="11" t="s">
        <v>802</v>
      </c>
    </row>
    <row r="33" spans="1:16">
      <c r="A33" s="11">
        <f>ROW(A33)-5</f>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413</v>
      </c>
      <c r="C34" s="24" t="s">
        <v>333</v>
      </c>
      <c r="D34" s="11" t="s">
        <v>14</v>
      </c>
      <c r="E34" s="11" t="s">
        <v>34</v>
      </c>
      <c r="F34" s="11" t="s">
        <v>14</v>
      </c>
      <c r="G34" s="43" t="s">
        <v>314</v>
      </c>
      <c r="H34" s="52" t="s">
        <v>418</v>
      </c>
      <c r="I34" s="67" t="s">
        <v>333</v>
      </c>
      <c r="J34" s="11" t="s">
        <v>14</v>
      </c>
      <c r="K34" s="11">
        <v>1</v>
      </c>
      <c r="L34" s="11" t="s">
        <v>800</v>
      </c>
      <c r="M34" s="11" t="s">
        <v>30</v>
      </c>
      <c r="N34" s="45" t="s">
        <v>291</v>
      </c>
      <c r="O34" s="11" t="s">
        <v>44</v>
      </c>
      <c r="P34" s="11" t="s">
        <v>802</v>
      </c>
    </row>
    <row r="35" spans="1:16">
      <c r="A35" s="11">
        <f t="shared" si="0"/>
        <v>30</v>
      </c>
      <c r="B35" s="58" t="s">
        <v>47</v>
      </c>
      <c r="C35" s="24" t="s">
        <v>335</v>
      </c>
      <c r="D35" s="11" t="s">
        <v>14</v>
      </c>
      <c r="E35" s="11" t="s">
        <v>34</v>
      </c>
      <c r="F35" s="11" t="s">
        <v>14</v>
      </c>
      <c r="G35" s="43" t="s">
        <v>334</v>
      </c>
      <c r="H35" s="52" t="s">
        <v>418</v>
      </c>
      <c r="I35" s="67" t="s">
        <v>335</v>
      </c>
      <c r="J35" s="11" t="s">
        <v>14</v>
      </c>
      <c r="K35" s="52">
        <v>2</v>
      </c>
      <c r="L35" s="11" t="s">
        <v>800</v>
      </c>
      <c r="M35" s="11" t="s">
        <v>30</v>
      </c>
      <c r="N35" s="45" t="s">
        <v>336</v>
      </c>
      <c r="O35" s="11" t="s">
        <v>44</v>
      </c>
      <c r="P35" s="11" t="s">
        <v>802</v>
      </c>
    </row>
    <row r="36" spans="1:16">
      <c r="A36" s="11">
        <f>ROW(A36)-5</f>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1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1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24" t="s">
        <v>300</v>
      </c>
      <c r="D39" s="11" t="s">
        <v>14</v>
      </c>
      <c r="E39" s="11" t="s">
        <v>34</v>
      </c>
      <c r="F39" s="11" t="s">
        <v>14</v>
      </c>
      <c r="G39" s="43" t="s">
        <v>299</v>
      </c>
      <c r="H39" s="52" t="s">
        <v>418</v>
      </c>
      <c r="I39" s="24" t="s">
        <v>300</v>
      </c>
      <c r="J39" s="11" t="s">
        <v>14</v>
      </c>
      <c r="K39" s="11">
        <v>64</v>
      </c>
      <c r="L39" s="11" t="s">
        <v>800</v>
      </c>
      <c r="M39" s="11" t="s">
        <v>30</v>
      </c>
      <c r="N39" s="45" t="s">
        <v>296</v>
      </c>
      <c r="O39" s="11" t="s">
        <v>44</v>
      </c>
      <c r="P39" s="11" t="s">
        <v>802</v>
      </c>
    </row>
    <row r="40" spans="1:16">
      <c r="A40" s="11">
        <f t="shared" si="0"/>
        <v>35</v>
      </c>
      <c r="B40" s="58"/>
      <c r="C40" s="55" t="s">
        <v>400</v>
      </c>
      <c r="D40" s="11" t="s">
        <v>14</v>
      </c>
      <c r="E40" s="11" t="s">
        <v>34</v>
      </c>
      <c r="F40" s="11" t="s">
        <v>14</v>
      </c>
      <c r="G40" s="204" t="s">
        <v>415</v>
      </c>
      <c r="H40" s="52" t="s">
        <v>401</v>
      </c>
      <c r="I40" s="55" t="s">
        <v>402</v>
      </c>
      <c r="J40" s="11" t="s">
        <v>14</v>
      </c>
      <c r="K40" s="11"/>
      <c r="L40" s="11" t="s">
        <v>800</v>
      </c>
      <c r="M40" s="11" t="s">
        <v>30</v>
      </c>
      <c r="N40" s="45" t="s">
        <v>296</v>
      </c>
      <c r="O40" s="11" t="s">
        <v>44</v>
      </c>
      <c r="P40" s="11" t="s">
        <v>802</v>
      </c>
    </row>
    <row r="41" spans="1:16">
      <c r="A41" s="11">
        <f t="shared" si="0"/>
        <v>36</v>
      </c>
      <c r="B41" s="58" t="s">
        <v>56</v>
      </c>
      <c r="C41" s="24" t="s">
        <v>301</v>
      </c>
      <c r="D41" s="11" t="s">
        <v>14</v>
      </c>
      <c r="E41" s="11" t="s">
        <v>34</v>
      </c>
      <c r="F41" s="11" t="s">
        <v>14</v>
      </c>
      <c r="G41" s="13" t="s">
        <v>298</v>
      </c>
      <c r="H41" s="52" t="s">
        <v>418</v>
      </c>
      <c r="I41" s="24" t="s">
        <v>301</v>
      </c>
      <c r="J41" s="11" t="s">
        <v>14</v>
      </c>
      <c r="K41" s="11">
        <v>64</v>
      </c>
      <c r="L41" s="11" t="s">
        <v>800</v>
      </c>
      <c r="M41" s="11" t="s">
        <v>30</v>
      </c>
      <c r="N41" s="45" t="s">
        <v>297</v>
      </c>
      <c r="O41" s="11" t="s">
        <v>44</v>
      </c>
      <c r="P41" s="11" t="s">
        <v>802</v>
      </c>
    </row>
    <row r="42" spans="1:16">
      <c r="A42" s="11">
        <f t="shared" si="0"/>
        <v>37</v>
      </c>
      <c r="B42" s="58"/>
      <c r="C42" s="55" t="s">
        <v>404</v>
      </c>
      <c r="D42" s="11" t="s">
        <v>14</v>
      </c>
      <c r="E42" s="1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ref="A43:A53" si="2">ROW(A43)-5</f>
        <v>38</v>
      </c>
      <c r="B43" s="58" t="s">
        <v>317</v>
      </c>
      <c r="C43" s="55" t="s">
        <v>520</v>
      </c>
      <c r="D43" s="11" t="s">
        <v>14</v>
      </c>
      <c r="E43" s="11" t="s">
        <v>34</v>
      </c>
      <c r="F43" s="11" t="s">
        <v>14</v>
      </c>
      <c r="G43" s="43" t="s">
        <v>518</v>
      </c>
      <c r="H43" s="52" t="s">
        <v>153</v>
      </c>
      <c r="I43" s="52" t="s">
        <v>517</v>
      </c>
      <c r="J43" s="11" t="s">
        <v>14</v>
      </c>
      <c r="K43" s="11">
        <v>2</v>
      </c>
      <c r="L43" s="11" t="s">
        <v>800</v>
      </c>
      <c r="M43" s="11" t="s">
        <v>30</v>
      </c>
      <c r="N43" s="45" t="s">
        <v>519</v>
      </c>
      <c r="O43" s="11" t="s">
        <v>44</v>
      </c>
      <c r="P43" s="11" t="s">
        <v>802</v>
      </c>
    </row>
    <row r="44" spans="1:16">
      <c r="A44" s="11">
        <f t="shared" si="2"/>
        <v>39</v>
      </c>
      <c r="B44" s="58"/>
      <c r="C44" s="55" t="s">
        <v>535</v>
      </c>
      <c r="D44" s="11" t="s">
        <v>14</v>
      </c>
      <c r="E44" s="11" t="s">
        <v>34</v>
      </c>
      <c r="F44" s="11" t="s">
        <v>14</v>
      </c>
      <c r="G44" s="43" t="s">
        <v>537</v>
      </c>
      <c r="H44" s="52" t="s">
        <v>538</v>
      </c>
      <c r="I44" s="52" t="s">
        <v>539</v>
      </c>
      <c r="J44" s="11" t="s">
        <v>14</v>
      </c>
      <c r="K44" s="11"/>
      <c r="L44" s="11" t="s">
        <v>800</v>
      </c>
      <c r="M44" s="11" t="s">
        <v>30</v>
      </c>
      <c r="N44" s="45" t="s">
        <v>519</v>
      </c>
      <c r="O44" s="11" t="s">
        <v>44</v>
      </c>
      <c r="P44" s="11" t="s">
        <v>802</v>
      </c>
    </row>
    <row r="45" spans="1:16">
      <c r="A45" s="11">
        <f t="shared" si="2"/>
        <v>40</v>
      </c>
      <c r="B45" s="58"/>
      <c r="C45" s="55" t="s">
        <v>633</v>
      </c>
      <c r="D45" s="11" t="s">
        <v>14</v>
      </c>
      <c r="E45" s="11" t="s">
        <v>34</v>
      </c>
      <c r="F45" s="11" t="s">
        <v>14</v>
      </c>
      <c r="G45" s="43" t="s">
        <v>537</v>
      </c>
      <c r="H45" s="52" t="s">
        <v>538</v>
      </c>
      <c r="I45" s="52" t="s">
        <v>631</v>
      </c>
      <c r="J45" s="11" t="s">
        <v>14</v>
      </c>
      <c r="K45" s="11"/>
      <c r="L45" s="11" t="s">
        <v>800</v>
      </c>
      <c r="M45" s="11" t="s">
        <v>30</v>
      </c>
      <c r="N45" s="45" t="s">
        <v>519</v>
      </c>
      <c r="O45" s="11" t="s">
        <v>44</v>
      </c>
      <c r="P45" s="11" t="s">
        <v>802</v>
      </c>
    </row>
    <row r="46" spans="1:16">
      <c r="A46" s="11">
        <f t="shared" si="2"/>
        <v>41</v>
      </c>
      <c r="B46" s="58" t="s">
        <v>318</v>
      </c>
      <c r="C46" s="55" t="s">
        <v>523</v>
      </c>
      <c r="D46" s="11" t="s">
        <v>14</v>
      </c>
      <c r="E46" s="11" t="s">
        <v>34</v>
      </c>
      <c r="F46" s="11" t="s">
        <v>14</v>
      </c>
      <c r="G46" s="43" t="s">
        <v>521</v>
      </c>
      <c r="H46" s="52" t="s">
        <v>210</v>
      </c>
      <c r="I46" s="52" t="s">
        <v>522</v>
      </c>
      <c r="J46" s="11" t="s">
        <v>14</v>
      </c>
      <c r="K46" s="11">
        <v>2</v>
      </c>
      <c r="L46" s="11" t="s">
        <v>800</v>
      </c>
      <c r="M46" s="11" t="s">
        <v>30</v>
      </c>
      <c r="N46" s="45" t="s">
        <v>524</v>
      </c>
      <c r="O46" s="11" t="s">
        <v>44</v>
      </c>
      <c r="P46" s="11" t="s">
        <v>802</v>
      </c>
    </row>
    <row r="47" spans="1:16">
      <c r="A47" s="11">
        <f t="shared" si="2"/>
        <v>42</v>
      </c>
      <c r="B47" s="58"/>
      <c r="C47" s="55" t="s">
        <v>534</v>
      </c>
      <c r="D47" s="11" t="s">
        <v>14</v>
      </c>
      <c r="E47" s="11" t="s">
        <v>34</v>
      </c>
      <c r="F47" s="11" t="s">
        <v>14</v>
      </c>
      <c r="G47" s="43" t="s">
        <v>536</v>
      </c>
      <c r="H47" s="52" t="s">
        <v>538</v>
      </c>
      <c r="I47" s="52" t="s">
        <v>540</v>
      </c>
      <c r="J47" s="11" t="s">
        <v>14</v>
      </c>
      <c r="K47" s="11"/>
      <c r="L47" s="11" t="s">
        <v>800</v>
      </c>
      <c r="M47" s="11" t="s">
        <v>30</v>
      </c>
      <c r="N47" s="45" t="s">
        <v>524</v>
      </c>
      <c r="O47" s="11" t="s">
        <v>44</v>
      </c>
      <c r="P47" s="11" t="s">
        <v>802</v>
      </c>
    </row>
    <row r="48" spans="1:16">
      <c r="A48" s="11">
        <f t="shared" si="2"/>
        <v>43</v>
      </c>
      <c r="B48" s="58"/>
      <c r="C48" s="55" t="s">
        <v>635</v>
      </c>
      <c r="D48" s="11" t="s">
        <v>14</v>
      </c>
      <c r="E48" s="11" t="s">
        <v>34</v>
      </c>
      <c r="F48" s="11" t="s">
        <v>14</v>
      </c>
      <c r="G48" s="43" t="s">
        <v>536</v>
      </c>
      <c r="H48" s="52" t="s">
        <v>538</v>
      </c>
      <c r="I48" s="52" t="s">
        <v>632</v>
      </c>
      <c r="J48" s="11" t="s">
        <v>14</v>
      </c>
      <c r="K48" s="11"/>
      <c r="L48" s="11" t="s">
        <v>800</v>
      </c>
      <c r="M48" s="11" t="s">
        <v>30</v>
      </c>
      <c r="N48" s="45" t="s">
        <v>524</v>
      </c>
      <c r="O48" s="11" t="s">
        <v>44</v>
      </c>
      <c r="P48" s="11" t="s">
        <v>802</v>
      </c>
    </row>
    <row r="49" spans="1:47">
      <c r="A49" s="11">
        <f t="shared" si="2"/>
        <v>44</v>
      </c>
      <c r="B49" s="58" t="s">
        <v>710</v>
      </c>
      <c r="C49" s="55" t="s">
        <v>550</v>
      </c>
      <c r="D49" s="11" t="s">
        <v>14</v>
      </c>
      <c r="E49" s="91" t="s">
        <v>34</v>
      </c>
      <c r="F49" s="11" t="s">
        <v>14</v>
      </c>
      <c r="G49" s="66" t="s">
        <v>549</v>
      </c>
      <c r="H49" s="52" t="s">
        <v>51</v>
      </c>
      <c r="I49" s="52" t="s">
        <v>639</v>
      </c>
      <c r="J49" s="11" t="s">
        <v>14</v>
      </c>
      <c r="K49" s="11">
        <v>1</v>
      </c>
      <c r="L49" s="11" t="s">
        <v>800</v>
      </c>
      <c r="M49" s="11" t="s">
        <v>30</v>
      </c>
      <c r="N49" s="45" t="s">
        <v>638</v>
      </c>
      <c r="O49" s="11" t="s">
        <v>44</v>
      </c>
      <c r="P49" s="11" t="s">
        <v>802</v>
      </c>
    </row>
    <row r="50" spans="1:47">
      <c r="A50" s="11">
        <f t="shared" si="2"/>
        <v>45</v>
      </c>
      <c r="B50" s="58"/>
      <c r="C50" s="55" t="s">
        <v>706</v>
      </c>
      <c r="D50" s="11" t="s">
        <v>14</v>
      </c>
      <c r="E50" s="91" t="s">
        <v>34</v>
      </c>
      <c r="F50" s="11" t="s">
        <v>14</v>
      </c>
      <c r="G50" s="66" t="s">
        <v>549</v>
      </c>
      <c r="H50" s="52" t="s">
        <v>705</v>
      </c>
      <c r="I50" s="52" t="s">
        <v>704</v>
      </c>
      <c r="J50" s="11" t="s">
        <v>14</v>
      </c>
      <c r="K50" s="11"/>
      <c r="L50" s="11" t="s">
        <v>800</v>
      </c>
      <c r="M50" s="11" t="s">
        <v>30</v>
      </c>
      <c r="N50" s="45" t="s">
        <v>638</v>
      </c>
      <c r="O50" s="11" t="s">
        <v>44</v>
      </c>
      <c r="P50" s="11" t="s">
        <v>802</v>
      </c>
    </row>
    <row r="51" spans="1:47">
      <c r="A51" s="11">
        <f t="shared" si="2"/>
        <v>46</v>
      </c>
      <c r="B51" s="58" t="s">
        <v>746</v>
      </c>
      <c r="C51" s="55" t="s">
        <v>747</v>
      </c>
      <c r="D51" s="11" t="s">
        <v>14</v>
      </c>
      <c r="E51" s="91" t="s">
        <v>34</v>
      </c>
      <c r="F51" s="11" t="s">
        <v>14</v>
      </c>
      <c r="G51" s="66" t="s">
        <v>744</v>
      </c>
      <c r="H51" s="55" t="s">
        <v>743</v>
      </c>
      <c r="I51" s="55" t="s">
        <v>747</v>
      </c>
      <c r="J51" s="11" t="s">
        <v>14</v>
      </c>
      <c r="K51" s="11">
        <v>1</v>
      </c>
      <c r="L51" s="11" t="s">
        <v>800</v>
      </c>
      <c r="M51" s="11" t="s">
        <v>30</v>
      </c>
      <c r="N51" s="45"/>
      <c r="O51" s="11" t="s">
        <v>44</v>
      </c>
      <c r="P51" s="11" t="s">
        <v>802</v>
      </c>
    </row>
    <row r="52" spans="1:47" s="212" customFormat="1">
      <c r="A52" s="200">
        <f t="shared" si="2"/>
        <v>47</v>
      </c>
      <c r="B52" s="201" t="s">
        <v>757</v>
      </c>
      <c r="C52" s="208" t="s">
        <v>751</v>
      </c>
      <c r="D52" s="200" t="s">
        <v>14</v>
      </c>
      <c r="E52" s="203" t="s">
        <v>34</v>
      </c>
      <c r="F52" s="200" t="s">
        <v>14</v>
      </c>
      <c r="G52" s="209" t="s">
        <v>748</v>
      </c>
      <c r="H52" s="210" t="s">
        <v>749</v>
      </c>
      <c r="I52" s="208" t="s">
        <v>750</v>
      </c>
      <c r="J52" s="200" t="s">
        <v>14</v>
      </c>
      <c r="K52" s="200">
        <v>4</v>
      </c>
      <c r="L52" s="200" t="s">
        <v>800</v>
      </c>
      <c r="M52" s="200" t="s">
        <v>30</v>
      </c>
      <c r="N52" s="211"/>
      <c r="O52" s="200" t="s">
        <v>44</v>
      </c>
      <c r="P52" s="200" t="s">
        <v>802</v>
      </c>
    </row>
    <row r="53" spans="1:47" s="212" customFormat="1">
      <c r="A53" s="200">
        <f t="shared" si="2"/>
        <v>48</v>
      </c>
      <c r="B53" s="201" t="s">
        <v>555</v>
      </c>
      <c r="C53" s="200" t="s">
        <v>789</v>
      </c>
      <c r="D53" s="200" t="s">
        <v>14</v>
      </c>
      <c r="E53" s="203" t="s">
        <v>34</v>
      </c>
      <c r="F53" s="200" t="s">
        <v>14</v>
      </c>
      <c r="G53" s="209" t="s">
        <v>786</v>
      </c>
      <c r="H53" s="210" t="s">
        <v>787</v>
      </c>
      <c r="I53" s="208" t="s">
        <v>785</v>
      </c>
      <c r="J53" s="200" t="s">
        <v>14</v>
      </c>
      <c r="K53" s="200">
        <v>1</v>
      </c>
      <c r="L53" s="200" t="s">
        <v>800</v>
      </c>
      <c r="M53" s="200" t="s">
        <v>30</v>
      </c>
      <c r="N53" s="211"/>
      <c r="O53" s="200" t="s">
        <v>44</v>
      </c>
      <c r="P53" s="200" t="s">
        <v>802</v>
      </c>
    </row>
    <row r="54" spans="1:47" s="206" customFormat="1">
      <c r="A54" s="200">
        <f t="shared" si="0"/>
        <v>49</v>
      </c>
      <c r="B54" s="201" t="s">
        <v>556</v>
      </c>
      <c r="C54" s="200" t="s">
        <v>211</v>
      </c>
      <c r="D54" s="200" t="s">
        <v>30</v>
      </c>
      <c r="E54" s="200" t="s">
        <v>527</v>
      </c>
      <c r="F54" s="200" t="s">
        <v>14</v>
      </c>
      <c r="G54" s="204" t="s">
        <v>209</v>
      </c>
      <c r="H54" s="200" t="s">
        <v>210</v>
      </c>
      <c r="I54" s="202" t="s">
        <v>213</v>
      </c>
      <c r="J54" s="200" t="s">
        <v>30</v>
      </c>
      <c r="K54" s="200">
        <v>8</v>
      </c>
      <c r="L54" s="200" t="s">
        <v>800</v>
      </c>
      <c r="M54" s="200" t="s">
        <v>30</v>
      </c>
      <c r="N54" s="205"/>
      <c r="O54" s="200" t="s">
        <v>50</v>
      </c>
      <c r="P54" s="200" t="s">
        <v>803</v>
      </c>
    </row>
    <row r="55" spans="1:47" s="206" customFormat="1">
      <c r="A55" s="200">
        <f t="shared" si="0"/>
        <v>50</v>
      </c>
      <c r="B55" s="201"/>
      <c r="C55" s="200" t="s">
        <v>212</v>
      </c>
      <c r="D55" s="200" t="s">
        <v>30</v>
      </c>
      <c r="E55" s="200" t="s">
        <v>527</v>
      </c>
      <c r="F55" s="200" t="s">
        <v>14</v>
      </c>
      <c r="G55" s="207" t="s">
        <v>209</v>
      </c>
      <c r="H55" s="200" t="s">
        <v>57</v>
      </c>
      <c r="I55" s="202" t="s">
        <v>214</v>
      </c>
      <c r="J55" s="200" t="s">
        <v>30</v>
      </c>
      <c r="K55" s="200"/>
      <c r="L55" s="200" t="s">
        <v>800</v>
      </c>
      <c r="M55" s="200" t="s">
        <v>30</v>
      </c>
      <c r="N55" s="205"/>
      <c r="O55" s="200" t="s">
        <v>50</v>
      </c>
      <c r="P55" s="200" t="s">
        <v>803</v>
      </c>
    </row>
    <row r="56" spans="1:47" s="39" customFormat="1" ht="14.5">
      <c r="A56" s="24">
        <f t="shared" si="0"/>
        <v>51</v>
      </c>
      <c r="B56" s="47" t="s">
        <v>557</v>
      </c>
      <c r="C56" s="24" t="s">
        <v>456</v>
      </c>
      <c r="D56" s="93" t="s">
        <v>30</v>
      </c>
      <c r="E56" s="11" t="s">
        <v>528</v>
      </c>
      <c r="F56" s="24" t="s">
        <v>14</v>
      </c>
      <c r="G56" s="13" t="s">
        <v>424</v>
      </c>
      <c r="H56" s="55" t="s">
        <v>464</v>
      </c>
      <c r="I56" s="55" t="s">
        <v>456</v>
      </c>
      <c r="J56" s="24" t="s">
        <v>30</v>
      </c>
      <c r="K56" s="24">
        <v>1</v>
      </c>
      <c r="L56" s="11" t="s">
        <v>800</v>
      </c>
      <c r="M56" s="11" t="s">
        <v>30</v>
      </c>
      <c r="N56" s="94"/>
      <c r="O56" s="24" t="s">
        <v>50</v>
      </c>
      <c r="P56" s="11" t="s">
        <v>802</v>
      </c>
    </row>
    <row r="57" spans="1:47" s="39" customFormat="1" ht="14.5">
      <c r="A57" s="24">
        <f t="shared" si="0"/>
        <v>52</v>
      </c>
      <c r="B57" s="47"/>
      <c r="C57" s="24" t="s">
        <v>462</v>
      </c>
      <c r="D57" s="93" t="s">
        <v>30</v>
      </c>
      <c r="E57" s="11" t="s">
        <v>528</v>
      </c>
      <c r="F57" s="24" t="s">
        <v>14</v>
      </c>
      <c r="G57" s="13" t="s">
        <v>425</v>
      </c>
      <c r="H57" s="55" t="s">
        <v>464</v>
      </c>
      <c r="I57" s="55" t="s">
        <v>462</v>
      </c>
      <c r="J57" s="24" t="s">
        <v>30</v>
      </c>
      <c r="K57" s="24"/>
      <c r="L57" s="11" t="s">
        <v>800</v>
      </c>
      <c r="M57" s="11" t="s">
        <v>30</v>
      </c>
      <c r="N57" s="94"/>
      <c r="O57" s="24" t="s">
        <v>50</v>
      </c>
      <c r="P57" s="11" t="s">
        <v>802</v>
      </c>
    </row>
    <row r="58" spans="1:47" s="39" customFormat="1" ht="14.5">
      <c r="A58" s="24">
        <f t="shared" si="0"/>
        <v>53</v>
      </c>
      <c r="B58" s="47"/>
      <c r="C58" s="24" t="s">
        <v>463</v>
      </c>
      <c r="D58" s="93" t="s">
        <v>30</v>
      </c>
      <c r="E58" s="11" t="s">
        <v>528</v>
      </c>
      <c r="F58" s="24" t="s">
        <v>14</v>
      </c>
      <c r="G58" s="13" t="s">
        <v>465</v>
      </c>
      <c r="H58" s="55" t="s">
        <v>464</v>
      </c>
      <c r="I58" s="55" t="s">
        <v>463</v>
      </c>
      <c r="J58" s="24" t="s">
        <v>30</v>
      </c>
      <c r="K58" s="24"/>
      <c r="L58" s="11" t="s">
        <v>800</v>
      </c>
      <c r="M58" s="11" t="s">
        <v>30</v>
      </c>
      <c r="N58" s="94"/>
      <c r="O58" s="24" t="s">
        <v>50</v>
      </c>
      <c r="P58" s="11" t="s">
        <v>802</v>
      </c>
    </row>
    <row r="59" spans="1:47" s="45" customFormat="1">
      <c r="A59" s="24">
        <f t="shared" si="0"/>
        <v>54</v>
      </c>
      <c r="B59" s="47"/>
      <c r="C59" s="24" t="s">
        <v>775</v>
      </c>
      <c r="D59" s="93" t="s">
        <v>30</v>
      </c>
      <c r="E59" s="91" t="s">
        <v>528</v>
      </c>
      <c r="F59" s="24" t="s">
        <v>14</v>
      </c>
      <c r="G59" s="13" t="s">
        <v>726</v>
      </c>
      <c r="H59" s="55" t="s">
        <v>464</v>
      </c>
      <c r="I59" s="55" t="str">
        <f>C59</f>
        <v>TEMP-S000229174</v>
      </c>
      <c r="J59" s="24" t="s">
        <v>30</v>
      </c>
      <c r="K59" s="24"/>
      <c r="L59" s="11" t="s">
        <v>800</v>
      </c>
      <c r="M59" s="11" t="s">
        <v>30</v>
      </c>
      <c r="N59" s="94"/>
      <c r="O59" s="24" t="s">
        <v>50</v>
      </c>
      <c r="P59" s="11" t="s">
        <v>802</v>
      </c>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row>
    <row r="60" spans="1:47" s="25" customFormat="1" ht="14.5">
      <c r="A60" s="11">
        <f>ROW(A60)-5</f>
        <v>55</v>
      </c>
      <c r="B60" s="47" t="s">
        <v>752</v>
      </c>
      <c r="C60" s="11" t="s">
        <v>383</v>
      </c>
      <c r="D60" s="11" t="s">
        <v>30</v>
      </c>
      <c r="E60" s="90" t="s">
        <v>34</v>
      </c>
      <c r="F60" s="11" t="s">
        <v>30</v>
      </c>
      <c r="G60" s="53" t="s">
        <v>312</v>
      </c>
      <c r="H60" s="11" t="s">
        <v>51</v>
      </c>
      <c r="I60" s="11" t="s">
        <v>383</v>
      </c>
      <c r="J60" s="50" t="s">
        <v>127</v>
      </c>
      <c r="K60" s="50">
        <v>1</v>
      </c>
      <c r="L60" s="11" t="s">
        <v>800</v>
      </c>
      <c r="M60" s="11" t="s">
        <v>30</v>
      </c>
      <c r="N60" s="69"/>
      <c r="O60" s="52" t="s">
        <v>50</v>
      </c>
      <c r="P60" s="11" t="s">
        <v>802</v>
      </c>
    </row>
    <row r="61" spans="1:47" s="17" customFormat="1">
      <c r="A61" s="11">
        <f t="shared" si="0"/>
        <v>56</v>
      </c>
      <c r="B61" s="47" t="s">
        <v>753</v>
      </c>
      <c r="C61" s="11" t="s">
        <v>249</v>
      </c>
      <c r="D61" s="11" t="s">
        <v>30</v>
      </c>
      <c r="E61" s="92" t="s">
        <v>479</v>
      </c>
      <c r="F61" s="11" t="s">
        <v>14</v>
      </c>
      <c r="G61" s="13" t="s">
        <v>267</v>
      </c>
      <c r="H61" s="11" t="s">
        <v>39</v>
      </c>
      <c r="I61" s="24" t="s">
        <v>233</v>
      </c>
      <c r="J61" s="11" t="s">
        <v>700</v>
      </c>
      <c r="K61" s="11">
        <v>1</v>
      </c>
      <c r="L61" s="11" t="s">
        <v>800</v>
      </c>
      <c r="M61" s="11" t="s">
        <v>30</v>
      </c>
      <c r="N61" s="70" t="s">
        <v>268</v>
      </c>
      <c r="O61" s="11" t="s">
        <v>45</v>
      </c>
      <c r="P61" s="11" t="s">
        <v>802</v>
      </c>
    </row>
    <row r="62" spans="1:47" s="17" customFormat="1">
      <c r="A62" s="11">
        <f t="shared" si="0"/>
        <v>57</v>
      </c>
      <c r="B62" s="47" t="s">
        <v>226</v>
      </c>
      <c r="C62" s="55" t="s">
        <v>796</v>
      </c>
      <c r="D62" s="11" t="s">
        <v>30</v>
      </c>
      <c r="E62" s="92" t="s">
        <v>480</v>
      </c>
      <c r="F62" s="11" t="s">
        <v>14</v>
      </c>
      <c r="G62" s="13" t="s">
        <v>797</v>
      </c>
      <c r="H62" s="11" t="s">
        <v>39</v>
      </c>
      <c r="I62" s="24" t="s">
        <v>234</v>
      </c>
      <c r="J62" s="52" t="s">
        <v>773</v>
      </c>
      <c r="K62" s="11">
        <v>1</v>
      </c>
      <c r="L62" s="11" t="s">
        <v>800</v>
      </c>
      <c r="M62" s="11" t="s">
        <v>30</v>
      </c>
      <c r="N62" s="48" t="s">
        <v>192</v>
      </c>
      <c r="O62" s="11" t="s">
        <v>45</v>
      </c>
      <c r="P62" s="11" t="s">
        <v>802</v>
      </c>
    </row>
    <row r="63" spans="1:47" s="17" customFormat="1">
      <c r="A63" s="11">
        <f t="shared" si="0"/>
        <v>58</v>
      </c>
      <c r="B63" s="47" t="s">
        <v>155</v>
      </c>
      <c r="C63" s="52" t="s">
        <v>782</v>
      </c>
      <c r="D63" s="11" t="s">
        <v>30</v>
      </c>
      <c r="E63" s="92" t="s">
        <v>30</v>
      </c>
      <c r="F63" s="11" t="s">
        <v>14</v>
      </c>
      <c r="G63" s="13" t="s">
        <v>328</v>
      </c>
      <c r="H63" s="11" t="s">
        <v>39</v>
      </c>
      <c r="I63" s="55" t="s">
        <v>783</v>
      </c>
      <c r="J63" s="11" t="s">
        <v>703</v>
      </c>
      <c r="K63" s="11">
        <v>1</v>
      </c>
      <c r="L63" s="11" t="s">
        <v>800</v>
      </c>
      <c r="M63" s="11" t="s">
        <v>30</v>
      </c>
      <c r="N63" s="48" t="s">
        <v>320</v>
      </c>
      <c r="O63" s="11" t="s">
        <v>45</v>
      </c>
      <c r="P63" s="11" t="s">
        <v>802</v>
      </c>
    </row>
    <row r="64" spans="1:47" s="17" customFormat="1">
      <c r="A64" s="11">
        <f t="shared" si="0"/>
        <v>59</v>
      </c>
      <c r="B64" s="47" t="s">
        <v>121</v>
      </c>
      <c r="C64" s="55" t="s">
        <v>770</v>
      </c>
      <c r="D64" s="11" t="s">
        <v>30</v>
      </c>
      <c r="E64" s="92" t="s">
        <v>482</v>
      </c>
      <c r="F64" s="11" t="s">
        <v>14</v>
      </c>
      <c r="G64" s="13" t="s">
        <v>771</v>
      </c>
      <c r="H64" s="11" t="s">
        <v>39</v>
      </c>
      <c r="I64" s="24" t="s">
        <v>236</v>
      </c>
      <c r="J64" s="52" t="s">
        <v>702</v>
      </c>
      <c r="K64" s="11">
        <v>1</v>
      </c>
      <c r="L64" s="11" t="s">
        <v>800</v>
      </c>
      <c r="M64" s="11" t="s">
        <v>30</v>
      </c>
      <c r="N64" s="48" t="s">
        <v>194</v>
      </c>
      <c r="O64" s="11" t="s">
        <v>45</v>
      </c>
      <c r="P64" s="11" t="s">
        <v>802</v>
      </c>
    </row>
    <row r="65" spans="1:16" s="17" customFormat="1">
      <c r="A65" s="11">
        <f t="shared" si="0"/>
        <v>60</v>
      </c>
      <c r="B65" s="47" t="s">
        <v>122</v>
      </c>
      <c r="C65" s="11" t="s">
        <v>637</v>
      </c>
      <c r="D65" s="11" t="s">
        <v>30</v>
      </c>
      <c r="E65" s="92" t="s">
        <v>30</v>
      </c>
      <c r="F65" s="11" t="s">
        <v>14</v>
      </c>
      <c r="G65" s="13" t="s">
        <v>327</v>
      </c>
      <c r="H65" s="11" t="s">
        <v>39</v>
      </c>
      <c r="I65" s="24" t="s">
        <v>459</v>
      </c>
      <c r="J65" s="11" t="s">
        <v>703</v>
      </c>
      <c r="K65" s="11">
        <v>1</v>
      </c>
      <c r="L65" s="11" t="s">
        <v>800</v>
      </c>
      <c r="M65" s="11" t="s">
        <v>30</v>
      </c>
      <c r="N65" s="48" t="s">
        <v>321</v>
      </c>
      <c r="O65" s="11" t="s">
        <v>45</v>
      </c>
      <c r="P65" s="11" t="s">
        <v>802</v>
      </c>
    </row>
    <row r="66" spans="1:16" s="17" customFormat="1">
      <c r="A66" s="11">
        <f t="shared" si="0"/>
        <v>61</v>
      </c>
      <c r="B66" s="47" t="s">
        <v>123</v>
      </c>
      <c r="C66" s="11" t="s">
        <v>251</v>
      </c>
      <c r="D66" s="11" t="s">
        <v>30</v>
      </c>
      <c r="E66" s="92" t="s">
        <v>484</v>
      </c>
      <c r="F66" s="11" t="s">
        <v>14</v>
      </c>
      <c r="G66" s="43" t="s">
        <v>166</v>
      </c>
      <c r="H66" s="11" t="s">
        <v>39</v>
      </c>
      <c r="I66" s="24" t="s">
        <v>238</v>
      </c>
      <c r="J66" s="11" t="s">
        <v>701</v>
      </c>
      <c r="K66" s="11">
        <v>1</v>
      </c>
      <c r="L66" s="11" t="s">
        <v>800</v>
      </c>
      <c r="M66" s="11" t="s">
        <v>30</v>
      </c>
      <c r="N66" s="48" t="s">
        <v>196</v>
      </c>
      <c r="O66" s="11" t="s">
        <v>45</v>
      </c>
      <c r="P66" s="11" t="s">
        <v>802</v>
      </c>
    </row>
    <row r="67" spans="1:16" s="17" customFormat="1">
      <c r="A67" s="11">
        <f t="shared" si="0"/>
        <v>62</v>
      </c>
      <c r="B67" s="47" t="s">
        <v>124</v>
      </c>
      <c r="C67" s="11" t="s">
        <v>252</v>
      </c>
      <c r="D67" s="11" t="s">
        <v>30</v>
      </c>
      <c r="E67" s="92" t="s">
        <v>485</v>
      </c>
      <c r="F67" s="11" t="s">
        <v>14</v>
      </c>
      <c r="G67" s="43" t="s">
        <v>167</v>
      </c>
      <c r="H67" s="11" t="s">
        <v>39</v>
      </c>
      <c r="I67" s="24" t="s">
        <v>239</v>
      </c>
      <c r="J67" s="11" t="s">
        <v>701</v>
      </c>
      <c r="K67" s="11">
        <v>1</v>
      </c>
      <c r="L67" s="11" t="s">
        <v>800</v>
      </c>
      <c r="M67" s="11" t="s">
        <v>30</v>
      </c>
      <c r="N67" s="48" t="s">
        <v>197</v>
      </c>
      <c r="O67" s="11" t="s">
        <v>45</v>
      </c>
      <c r="P67" s="11" t="s">
        <v>802</v>
      </c>
    </row>
    <row r="68" spans="1:16" s="17" customFormat="1">
      <c r="A68" s="11">
        <f t="shared" si="0"/>
        <v>63</v>
      </c>
      <c r="B68" s="47" t="s">
        <v>156</v>
      </c>
      <c r="C68" s="11" t="s">
        <v>253</v>
      </c>
      <c r="D68" s="11" t="s">
        <v>30</v>
      </c>
      <c r="E68" s="92" t="s">
        <v>486</v>
      </c>
      <c r="F68" s="11" t="s">
        <v>14</v>
      </c>
      <c r="G68" s="43" t="s">
        <v>168</v>
      </c>
      <c r="H68" s="11" t="s">
        <v>39</v>
      </c>
      <c r="I68" s="24" t="s">
        <v>240</v>
      </c>
      <c r="J68" s="11" t="s">
        <v>701</v>
      </c>
      <c r="K68" s="11">
        <v>1</v>
      </c>
      <c r="L68" s="11" t="s">
        <v>800</v>
      </c>
      <c r="M68" s="11" t="s">
        <v>30</v>
      </c>
      <c r="N68" s="48" t="s">
        <v>198</v>
      </c>
      <c r="O68" s="11" t="s">
        <v>45</v>
      </c>
      <c r="P68" s="11" t="s">
        <v>802</v>
      </c>
    </row>
    <row r="69" spans="1:16" s="17" customFormat="1">
      <c r="A69" s="11">
        <f t="shared" si="0"/>
        <v>64</v>
      </c>
      <c r="B69" s="47" t="s">
        <v>157</v>
      </c>
      <c r="C69" s="11" t="s">
        <v>254</v>
      </c>
      <c r="D69" s="11" t="s">
        <v>30</v>
      </c>
      <c r="E69" s="92" t="s">
        <v>487</v>
      </c>
      <c r="F69" s="11" t="s">
        <v>14</v>
      </c>
      <c r="G69" s="43" t="s">
        <v>164</v>
      </c>
      <c r="H69" s="11" t="s">
        <v>39</v>
      </c>
      <c r="I69" s="24" t="s">
        <v>241</v>
      </c>
      <c r="J69" s="11" t="s">
        <v>701</v>
      </c>
      <c r="K69" s="11">
        <v>1</v>
      </c>
      <c r="L69" s="11" t="s">
        <v>800</v>
      </c>
      <c r="M69" s="11" t="s">
        <v>30</v>
      </c>
      <c r="N69" s="48" t="s">
        <v>199</v>
      </c>
      <c r="O69" s="11" t="s">
        <v>45</v>
      </c>
      <c r="P69" s="11" t="s">
        <v>802</v>
      </c>
    </row>
    <row r="70" spans="1:16" s="17" customFormat="1">
      <c r="A70" s="11">
        <f t="shared" si="0"/>
        <v>65</v>
      </c>
      <c r="B70" s="47" t="s">
        <v>176</v>
      </c>
      <c r="C70" s="11" t="s">
        <v>323</v>
      </c>
      <c r="D70" s="11" t="s">
        <v>30</v>
      </c>
      <c r="E70" s="92" t="s">
        <v>488</v>
      </c>
      <c r="F70" s="11" t="s">
        <v>14</v>
      </c>
      <c r="G70" s="43" t="s">
        <v>169</v>
      </c>
      <c r="H70" s="11" t="s">
        <v>39</v>
      </c>
      <c r="I70" s="24" t="s">
        <v>242</v>
      </c>
      <c r="J70" s="11" t="s">
        <v>701</v>
      </c>
      <c r="K70" s="11">
        <v>1</v>
      </c>
      <c r="L70" s="11" t="s">
        <v>800</v>
      </c>
      <c r="M70" s="11" t="s">
        <v>30</v>
      </c>
      <c r="N70" s="48" t="s">
        <v>200</v>
      </c>
      <c r="O70" s="11" t="s">
        <v>45</v>
      </c>
      <c r="P70" s="11" t="s">
        <v>802</v>
      </c>
    </row>
    <row r="71" spans="1:16" s="17" customFormat="1">
      <c r="A71" s="11">
        <f t="shared" si="0"/>
        <v>66</v>
      </c>
      <c r="B71" s="47" t="s">
        <v>158</v>
      </c>
      <c r="C71" s="11" t="s">
        <v>255</v>
      </c>
      <c r="D71" s="11" t="s">
        <v>30</v>
      </c>
      <c r="E71" s="92" t="s">
        <v>489</v>
      </c>
      <c r="F71" s="11" t="s">
        <v>14</v>
      </c>
      <c r="G71" s="43" t="s">
        <v>165</v>
      </c>
      <c r="H71" s="11" t="s">
        <v>39</v>
      </c>
      <c r="I71" s="24" t="s">
        <v>243</v>
      </c>
      <c r="J71" s="11" t="s">
        <v>701</v>
      </c>
      <c r="K71" s="11">
        <v>1</v>
      </c>
      <c r="L71" s="11" t="s">
        <v>800</v>
      </c>
      <c r="M71" s="11" t="s">
        <v>30</v>
      </c>
      <c r="N71" s="48" t="s">
        <v>201</v>
      </c>
      <c r="O71" s="11" t="s">
        <v>45</v>
      </c>
      <c r="P71" s="11" t="s">
        <v>802</v>
      </c>
    </row>
    <row r="72" spans="1:16" s="17" customFormat="1">
      <c r="A72" s="11">
        <f t="shared" si="0"/>
        <v>67</v>
      </c>
      <c r="B72" s="47" t="s">
        <v>270</v>
      </c>
      <c r="C72" s="11" t="s">
        <v>256</v>
      </c>
      <c r="D72" s="11" t="s">
        <v>30</v>
      </c>
      <c r="E72" s="92" t="s">
        <v>490</v>
      </c>
      <c r="F72" s="11" t="s">
        <v>14</v>
      </c>
      <c r="G72" s="43" t="s">
        <v>170</v>
      </c>
      <c r="H72" s="11" t="s">
        <v>39</v>
      </c>
      <c r="I72" s="24" t="s">
        <v>244</v>
      </c>
      <c r="J72" s="11" t="s">
        <v>701</v>
      </c>
      <c r="K72" s="11">
        <v>1</v>
      </c>
      <c r="L72" s="11" t="s">
        <v>800</v>
      </c>
      <c r="M72" s="11" t="s">
        <v>30</v>
      </c>
      <c r="N72" s="48" t="s">
        <v>202</v>
      </c>
      <c r="O72" s="11" t="s">
        <v>45</v>
      </c>
      <c r="P72" s="11" t="s">
        <v>802</v>
      </c>
    </row>
    <row r="73" spans="1:16" s="17" customFormat="1">
      <c r="A73" s="11">
        <f t="shared" si="0"/>
        <v>68</v>
      </c>
      <c r="B73" s="47" t="s">
        <v>271</v>
      </c>
      <c r="C73" s="11" t="s">
        <v>262</v>
      </c>
      <c r="D73" s="11" t="s">
        <v>30</v>
      </c>
      <c r="E73" s="92" t="s">
        <v>491</v>
      </c>
      <c r="F73" s="11" t="s">
        <v>14</v>
      </c>
      <c r="G73" s="43" t="s">
        <v>163</v>
      </c>
      <c r="H73" s="11" t="s">
        <v>39</v>
      </c>
      <c r="I73" s="54" t="s">
        <v>265</v>
      </c>
      <c r="J73" s="11" t="s">
        <v>700</v>
      </c>
      <c r="K73" s="11">
        <v>1</v>
      </c>
      <c r="L73" s="11" t="s">
        <v>800</v>
      </c>
      <c r="M73" s="11" t="s">
        <v>30</v>
      </c>
      <c r="N73" s="48" t="s">
        <v>203</v>
      </c>
      <c r="O73" s="11" t="s">
        <v>45</v>
      </c>
      <c r="P73" s="11" t="s">
        <v>802</v>
      </c>
    </row>
    <row r="74" spans="1:16" s="17" customFormat="1">
      <c r="A74" s="11">
        <f t="shared" si="0"/>
        <v>69</v>
      </c>
      <c r="B74" s="47" t="s">
        <v>272</v>
      </c>
      <c r="C74" s="11" t="s">
        <v>257</v>
      </c>
      <c r="D74" s="11" t="s">
        <v>30</v>
      </c>
      <c r="E74" s="92" t="s">
        <v>492</v>
      </c>
      <c r="F74" s="11" t="s">
        <v>14</v>
      </c>
      <c r="G74" s="43" t="s">
        <v>171</v>
      </c>
      <c r="H74" s="11" t="s">
        <v>39</v>
      </c>
      <c r="I74" s="24" t="s">
        <v>245</v>
      </c>
      <c r="J74" s="11" t="s">
        <v>703</v>
      </c>
      <c r="K74" s="11">
        <v>1</v>
      </c>
      <c r="L74" s="11" t="s">
        <v>800</v>
      </c>
      <c r="M74" s="11" t="s">
        <v>30</v>
      </c>
      <c r="N74" s="48" t="s">
        <v>204</v>
      </c>
      <c r="O74" s="11" t="s">
        <v>45</v>
      </c>
      <c r="P74" s="11" t="s">
        <v>802</v>
      </c>
    </row>
    <row r="75" spans="1:16" s="17" customFormat="1">
      <c r="A75" s="11">
        <f t="shared" si="0"/>
        <v>70</v>
      </c>
      <c r="B75" s="47" t="s">
        <v>558</v>
      </c>
      <c r="C75" s="11" t="s">
        <v>258</v>
      </c>
      <c r="D75" s="11" t="s">
        <v>30</v>
      </c>
      <c r="E75" s="92" t="s">
        <v>493</v>
      </c>
      <c r="F75" s="11" t="s">
        <v>14</v>
      </c>
      <c r="G75" s="43" t="s">
        <v>172</v>
      </c>
      <c r="H75" s="11" t="s">
        <v>39</v>
      </c>
      <c r="I75" s="24" t="s">
        <v>246</v>
      </c>
      <c r="J75" s="11" t="s">
        <v>703</v>
      </c>
      <c r="K75" s="11">
        <v>1</v>
      </c>
      <c r="L75" s="11" t="s">
        <v>800</v>
      </c>
      <c r="M75" s="11" t="s">
        <v>30</v>
      </c>
      <c r="N75" s="48" t="s">
        <v>205</v>
      </c>
      <c r="O75" s="11" t="s">
        <v>45</v>
      </c>
      <c r="P75" s="11" t="s">
        <v>802</v>
      </c>
    </row>
    <row r="76" spans="1:16" s="17" customFormat="1">
      <c r="A76" s="11">
        <f t="shared" si="0"/>
        <v>71</v>
      </c>
      <c r="B76" s="47" t="s">
        <v>559</v>
      </c>
      <c r="C76" s="11" t="s">
        <v>259</v>
      </c>
      <c r="D76" s="11" t="s">
        <v>30</v>
      </c>
      <c r="E76" s="92" t="s">
        <v>494</v>
      </c>
      <c r="F76" s="11" t="s">
        <v>14</v>
      </c>
      <c r="G76" s="43" t="s">
        <v>190</v>
      </c>
      <c r="H76" s="11" t="s">
        <v>39</v>
      </c>
      <c r="I76" s="24" t="s">
        <v>247</v>
      </c>
      <c r="J76" s="11" t="s">
        <v>703</v>
      </c>
      <c r="K76" s="11">
        <v>1</v>
      </c>
      <c r="L76" s="11" t="s">
        <v>800</v>
      </c>
      <c r="M76" s="11" t="s">
        <v>30</v>
      </c>
      <c r="N76" s="48" t="s">
        <v>206</v>
      </c>
      <c r="O76" s="11" t="s">
        <v>45</v>
      </c>
      <c r="P76" s="11" t="s">
        <v>802</v>
      </c>
    </row>
    <row r="77" spans="1:16" s="17" customFormat="1">
      <c r="A77" s="11">
        <f t="shared" si="0"/>
        <v>72</v>
      </c>
      <c r="B77" s="47" t="s">
        <v>754</v>
      </c>
      <c r="C77" s="11" t="s">
        <v>260</v>
      </c>
      <c r="D77" s="11" t="s">
        <v>30</v>
      </c>
      <c r="E77" s="92" t="s">
        <v>495</v>
      </c>
      <c r="F77" s="11" t="s">
        <v>14</v>
      </c>
      <c r="G77" s="43" t="s">
        <v>191</v>
      </c>
      <c r="H77" s="11" t="s">
        <v>39</v>
      </c>
      <c r="I77" s="24" t="s">
        <v>248</v>
      </c>
      <c r="J77" s="11" t="s">
        <v>703</v>
      </c>
      <c r="K77" s="11">
        <v>1</v>
      </c>
      <c r="L77" s="11" t="s">
        <v>800</v>
      </c>
      <c r="M77" s="11" t="s">
        <v>30</v>
      </c>
      <c r="N77" s="48" t="s">
        <v>207</v>
      </c>
      <c r="O77" s="11" t="s">
        <v>45</v>
      </c>
      <c r="P77" s="11" t="s">
        <v>802</v>
      </c>
    </row>
    <row r="78" spans="1:16" s="17" customFormat="1">
      <c r="A78" s="11">
        <f t="shared" si="0"/>
        <v>73</v>
      </c>
      <c r="B78" s="47" t="s">
        <v>755</v>
      </c>
      <c r="C78" s="11" t="s">
        <v>263</v>
      </c>
      <c r="D78" s="11" t="s">
        <v>30</v>
      </c>
      <c r="E78" s="92" t="s">
        <v>496</v>
      </c>
      <c r="F78" s="11" t="s">
        <v>14</v>
      </c>
      <c r="G78" s="43" t="s">
        <v>208</v>
      </c>
      <c r="H78" s="11" t="s">
        <v>39</v>
      </c>
      <c r="I78" s="24" t="s">
        <v>264</v>
      </c>
      <c r="J78" s="11" t="s">
        <v>703</v>
      </c>
      <c r="K78" s="11">
        <v>1</v>
      </c>
      <c r="L78" s="11" t="s">
        <v>800</v>
      </c>
      <c r="M78" s="11" t="s">
        <v>30</v>
      </c>
      <c r="N78" s="48" t="s">
        <v>215</v>
      </c>
      <c r="O78" s="11" t="s">
        <v>45</v>
      </c>
      <c r="P78" s="11" t="s">
        <v>802</v>
      </c>
    </row>
    <row r="79" spans="1:16" s="17" customFormat="1">
      <c r="A79" s="11">
        <f t="shared" si="0"/>
        <v>74</v>
      </c>
      <c r="B79" s="47" t="s">
        <v>791</v>
      </c>
      <c r="C79" s="52" t="s">
        <v>778</v>
      </c>
      <c r="D79" s="11" t="s">
        <v>30</v>
      </c>
      <c r="E79" s="91" t="s">
        <v>497</v>
      </c>
      <c r="F79" s="11" t="s">
        <v>14</v>
      </c>
      <c r="G79" s="13" t="s">
        <v>533</v>
      </c>
      <c r="H79" s="52" t="s">
        <v>585</v>
      </c>
      <c r="I79" s="55" t="s">
        <v>780</v>
      </c>
      <c r="J79" s="11" t="s">
        <v>30</v>
      </c>
      <c r="K79" s="11">
        <v>1</v>
      </c>
      <c r="L79" s="11" t="s">
        <v>800</v>
      </c>
      <c r="M79" s="11" t="s">
        <v>30</v>
      </c>
      <c r="N79" s="71" t="s">
        <v>461</v>
      </c>
      <c r="O79" s="11" t="s">
        <v>269</v>
      </c>
      <c r="P79" s="11" t="s">
        <v>802</v>
      </c>
    </row>
    <row r="80" spans="1:16" s="17" customFormat="1">
      <c r="A80" s="11">
        <f t="shared" si="0"/>
        <v>75</v>
      </c>
      <c r="B80" s="47"/>
      <c r="C80" s="52" t="s">
        <v>779</v>
      </c>
      <c r="D80" s="11" t="s">
        <v>30</v>
      </c>
      <c r="E80" s="91" t="s">
        <v>497</v>
      </c>
      <c r="F80" s="11" t="s">
        <v>14</v>
      </c>
      <c r="G80" s="13" t="s">
        <v>533</v>
      </c>
      <c r="H80" s="52" t="s">
        <v>586</v>
      </c>
      <c r="I80" s="55" t="s">
        <v>781</v>
      </c>
      <c r="J80" s="11" t="s">
        <v>30</v>
      </c>
      <c r="K80" s="11"/>
      <c r="L80" s="11" t="s">
        <v>800</v>
      </c>
      <c r="M80" s="11" t="s">
        <v>30</v>
      </c>
      <c r="N80" s="48"/>
      <c r="O80" s="11" t="s">
        <v>269</v>
      </c>
      <c r="P80" s="11" t="s">
        <v>802</v>
      </c>
    </row>
    <row r="81" spans="1:16" s="25" customFormat="1">
      <c r="A81" s="11">
        <v>63</v>
      </c>
      <c r="B81" s="47" t="s">
        <v>561</v>
      </c>
      <c r="C81" s="96" t="s">
        <v>564</v>
      </c>
      <c r="D81" s="11" t="s">
        <v>30</v>
      </c>
      <c r="E81" s="91" t="s">
        <v>34</v>
      </c>
      <c r="F81" s="11" t="s">
        <v>30</v>
      </c>
      <c r="G81" s="53" t="s">
        <v>565</v>
      </c>
      <c r="H81" s="11" t="s">
        <v>566</v>
      </c>
      <c r="I81" s="11" t="s">
        <v>762</v>
      </c>
      <c r="J81" s="50" t="s">
        <v>127</v>
      </c>
      <c r="K81" s="50">
        <v>1</v>
      </c>
      <c r="L81" s="11" t="s">
        <v>800</v>
      </c>
      <c r="M81" s="11" t="s">
        <v>30</v>
      </c>
      <c r="N81" s="48" t="s">
        <v>567</v>
      </c>
      <c r="O81" s="52" t="s">
        <v>562</v>
      </c>
      <c r="P81" s="11" t="s">
        <v>802</v>
      </c>
    </row>
    <row r="82" spans="1:16">
      <c r="A82" s="45">
        <f t="shared" ref="A82:A84" si="3">ROW(A82)-5</f>
        <v>77</v>
      </c>
      <c r="B82" s="47" t="s">
        <v>756</v>
      </c>
      <c r="C82" s="96" t="s">
        <v>569</v>
      </c>
      <c r="D82" s="99" t="s">
        <v>14</v>
      </c>
      <c r="E82" s="45" t="s">
        <v>34</v>
      </c>
      <c r="F82" s="45" t="s">
        <v>14</v>
      </c>
      <c r="G82" s="53" t="s">
        <v>570</v>
      </c>
      <c r="H82" s="11" t="s">
        <v>20</v>
      </c>
      <c r="I82" s="11" t="s">
        <v>763</v>
      </c>
      <c r="J82" s="99" t="s">
        <v>14</v>
      </c>
      <c r="K82" s="50">
        <v>3</v>
      </c>
      <c r="L82" s="11" t="s">
        <v>800</v>
      </c>
      <c r="M82" s="11" t="s">
        <v>30</v>
      </c>
      <c r="N82" s="48" t="s">
        <v>573</v>
      </c>
      <c r="O82" s="101" t="s">
        <v>129</v>
      </c>
      <c r="P82" s="11" t="s">
        <v>802</v>
      </c>
    </row>
    <row r="83" spans="1:16">
      <c r="A83" s="45">
        <f t="shared" si="3"/>
        <v>78</v>
      </c>
      <c r="B83" s="47" t="s">
        <v>759</v>
      </c>
      <c r="C83" s="96" t="s">
        <v>760</v>
      </c>
      <c r="D83" s="99" t="s">
        <v>14</v>
      </c>
      <c r="E83" s="45" t="s">
        <v>34</v>
      </c>
      <c r="F83" s="45" t="s">
        <v>14</v>
      </c>
      <c r="G83" s="53" t="s">
        <v>572</v>
      </c>
      <c r="H83" s="11" t="s">
        <v>20</v>
      </c>
      <c r="I83" s="11" t="s">
        <v>764</v>
      </c>
      <c r="J83" s="99" t="s">
        <v>14</v>
      </c>
      <c r="K83" s="50">
        <v>4</v>
      </c>
      <c r="L83" s="11" t="s">
        <v>800</v>
      </c>
      <c r="M83" s="11" t="s">
        <v>30</v>
      </c>
      <c r="N83" s="48" t="s">
        <v>804</v>
      </c>
      <c r="O83" s="101" t="s">
        <v>129</v>
      </c>
      <c r="P83" s="11" t="s">
        <v>802</v>
      </c>
    </row>
    <row r="84" spans="1:16">
      <c r="A84" s="11">
        <f t="shared" si="3"/>
        <v>79</v>
      </c>
      <c r="B84" s="47" t="s">
        <v>792</v>
      </c>
      <c r="C84" s="96" t="s">
        <v>761</v>
      </c>
      <c r="D84" s="11" t="s">
        <v>30</v>
      </c>
      <c r="E84" s="50" t="s">
        <v>34</v>
      </c>
      <c r="F84" s="11" t="s">
        <v>30</v>
      </c>
      <c r="G84" s="53" t="s">
        <v>230</v>
      </c>
      <c r="H84" s="11" t="s">
        <v>154</v>
      </c>
      <c r="I84" s="11" t="s">
        <v>765</v>
      </c>
      <c r="J84" s="50" t="s">
        <v>127</v>
      </c>
      <c r="K84" s="50">
        <v>1</v>
      </c>
      <c r="L84" s="11" t="s">
        <v>800</v>
      </c>
      <c r="M84" s="11" t="s">
        <v>30</v>
      </c>
      <c r="N84" s="48"/>
      <c r="O84" s="52" t="s">
        <v>129</v>
      </c>
      <c r="P84" s="11" t="s">
        <v>803</v>
      </c>
    </row>
    <row r="85" spans="1:16">
      <c r="B85" s="3"/>
      <c r="C85" s="2"/>
      <c r="H85" s="5"/>
      <c r="I85" s="2"/>
    </row>
    <row r="86" spans="1:16">
      <c r="A86" s="17"/>
      <c r="B86" s="1" t="s">
        <v>15</v>
      </c>
      <c r="C86" s="10" t="s">
        <v>16</v>
      </c>
      <c r="D86" s="18"/>
      <c r="E86" s="17"/>
      <c r="F86" s="17"/>
      <c r="G86" s="4"/>
      <c r="H86" s="17"/>
      <c r="I86" s="17"/>
      <c r="J86" s="17"/>
      <c r="O86" s="17"/>
      <c r="P86" s="17"/>
    </row>
    <row r="87" spans="1:16">
      <c r="A87" s="17"/>
      <c r="B87" s="17"/>
      <c r="C87" s="15" t="s">
        <v>5</v>
      </c>
      <c r="D87" s="17"/>
      <c r="E87" s="17"/>
      <c r="F87" s="17"/>
      <c r="G87" s="16"/>
      <c r="H87" s="17"/>
      <c r="I87" s="17"/>
      <c r="J87" s="17"/>
      <c r="O87" s="17"/>
      <c r="P87" s="17"/>
    </row>
    <row r="88" spans="1:16">
      <c r="A88" s="17"/>
      <c r="B88" s="17"/>
      <c r="C88" s="19" t="s">
        <v>6</v>
      </c>
      <c r="D88" s="17"/>
      <c r="E88" s="17"/>
      <c r="F88" s="17"/>
      <c r="G88" s="16"/>
      <c r="H88" s="17"/>
      <c r="I88" s="17"/>
      <c r="J88" s="17"/>
      <c r="O88" s="17"/>
      <c r="P88" s="17"/>
    </row>
    <row r="89" spans="1:16">
      <c r="C89" s="20" t="s">
        <v>52</v>
      </c>
      <c r="G89" s="18"/>
    </row>
    <row r="90" spans="1:16" ht="46.5">
      <c r="C90" s="29" t="s">
        <v>53</v>
      </c>
    </row>
    <row r="91" spans="1:16">
      <c r="K91" s="7"/>
      <c r="L91" s="7"/>
      <c r="M91" s="7"/>
    </row>
    <row r="92" spans="1:16">
      <c r="G92" s="22"/>
    </row>
  </sheetData>
  <autoFilter ref="A5:P5" xr:uid="{0904EA63-61BA-409E-B3E9-648764AADB42}"/>
  <mergeCells count="4">
    <mergeCell ref="A3:B3"/>
    <mergeCell ref="A4:B4"/>
    <mergeCell ref="A1:P1"/>
    <mergeCell ref="A2:P2"/>
  </mergeCells>
  <phoneticPr fontId="18" type="noConversion"/>
  <conditionalFormatting sqref="A1:A2 Q1:XFD58 A3:M6 N3:O79 A7:K10 L7:M84 F11:K19 H20:K21 A21:B26 F22:K24 I25:K33 J34:K38 I39:K39 A40:K40 G41:K45 A46:K50 A54:K55 Q60:XFD1048576 K61:K64 F63:K63 F65:K78 A85:O1048576">
    <cfRule type="containsText" dxfId="560" priority="351" operator="containsText" text="TBD">
      <formula>NOT(ISERROR(SEARCH("TBD",A1)))</formula>
    </cfRule>
  </conditionalFormatting>
  <conditionalFormatting sqref="A61:A79">
    <cfRule type="containsText" dxfId="559" priority="350" operator="containsText" text="TBD">
      <formula>NOT(ISERROR(SEARCH("TBD",A61)))</formula>
    </cfRule>
  </conditionalFormatting>
  <conditionalFormatting sqref="A28:B28">
    <cfRule type="containsText" dxfId="558" priority="289" operator="containsText" text="TBD">
      <formula>NOT(ISERROR(SEARCH("TBD",A28)))</formula>
    </cfRule>
  </conditionalFormatting>
  <conditionalFormatting sqref="A43:B45">
    <cfRule type="containsText" dxfId="557" priority="119" operator="containsText" text="TBD">
      <formula>NOT(ISERROR(SEARCH("TBD",A43)))</formula>
    </cfRule>
  </conditionalFormatting>
  <conditionalFormatting sqref="A56:B59 D56:D59 F56:K61">
    <cfRule type="containsText" dxfId="556" priority="28" operator="containsText" text="TBD">
      <formula>NOT(ISERROR(SEARCH("TBD",A56)))</formula>
    </cfRule>
  </conditionalFormatting>
  <conditionalFormatting sqref="A80:B80">
    <cfRule type="containsText" dxfId="555" priority="143" operator="containsText" text="TBD">
      <formula>NOT(ISERROR(SEARCH("TBD",A80)))</formula>
    </cfRule>
  </conditionalFormatting>
  <conditionalFormatting sqref="A51:C53">
    <cfRule type="containsText" dxfId="554" priority="20" operator="containsText" text="TBD">
      <formula>NOT(ISERROR(SEARCH("TBD",A51)))</formula>
    </cfRule>
  </conditionalFormatting>
  <conditionalFormatting sqref="A11:D20">
    <cfRule type="containsText" dxfId="553" priority="388" operator="containsText" text="TBD">
      <formula>NOT(ISERROR(SEARCH("TBD",A11)))</formula>
    </cfRule>
  </conditionalFormatting>
  <conditionalFormatting sqref="A60:D61 B62:B79">
    <cfRule type="containsText" dxfId="552" priority="345" operator="containsText" text="TBD">
      <formula>NOT(ISERROR(SEARCH("TBD",A60)))</formula>
    </cfRule>
  </conditionalFormatting>
  <conditionalFormatting sqref="A41:F42">
    <cfRule type="containsText" dxfId="551" priority="337" operator="containsText" text="TBD">
      <formula>NOT(ISERROR(SEARCH("TBD",A41)))</formula>
    </cfRule>
  </conditionalFormatting>
  <conditionalFormatting sqref="A27:G27">
    <cfRule type="containsText" dxfId="550" priority="335" operator="containsText" text="TBD">
      <formula>NOT(ISERROR(SEARCH("TBD",A27)))</formula>
    </cfRule>
  </conditionalFormatting>
  <conditionalFormatting sqref="A29:G30">
    <cfRule type="containsText" dxfId="549" priority="278" operator="containsText" text="TBD">
      <formula>NOT(ISERROR(SEARCH("TBD",A29)))</formula>
    </cfRule>
  </conditionalFormatting>
  <conditionalFormatting sqref="A81:K84">
    <cfRule type="containsText" dxfId="548" priority="36" operator="containsText" text="TBD">
      <formula>NOT(ISERROR(SEARCH("TBD",A81)))</formula>
    </cfRule>
  </conditionalFormatting>
  <conditionalFormatting sqref="C27:C31">
    <cfRule type="containsText" dxfId="547" priority="279" operator="containsText" text="TBD">
      <formula>NOT(ISERROR(SEARCH("TBD",C27)))</formula>
    </cfRule>
  </conditionalFormatting>
  <conditionalFormatting sqref="C33:C40">
    <cfRule type="containsText" dxfId="546" priority="175" operator="containsText" text="TBD">
      <formula>NOT(ISERROR(SEARCH("TBD",C33)))</formula>
    </cfRule>
  </conditionalFormatting>
  <conditionalFormatting sqref="C42:C45">
    <cfRule type="containsText" dxfId="545" priority="101" operator="containsText" text="TBD">
      <formula>NOT(ISERROR(SEARCH("TBD",C42)))</formula>
    </cfRule>
  </conditionalFormatting>
  <conditionalFormatting sqref="C55:C60">
    <cfRule type="containsText" dxfId="544" priority="29" operator="containsText" text="TBD">
      <formula>NOT(ISERROR(SEARCH("TBD",C55)))</formula>
    </cfRule>
  </conditionalFormatting>
  <conditionalFormatting sqref="C86:C89">
    <cfRule type="containsText" dxfId="543" priority="434" operator="containsText" text="TBD">
      <formula>NOT(ISERROR(SEARCH("TBD",C86)))</formula>
    </cfRule>
  </conditionalFormatting>
  <conditionalFormatting sqref="C21:D24">
    <cfRule type="containsText" dxfId="542" priority="292" operator="containsText" text="TBD">
      <formula>NOT(ISERROR(SEARCH("TBD",C21)))</formula>
    </cfRule>
  </conditionalFormatting>
  <conditionalFormatting sqref="C61:D78">
    <cfRule type="containsText" dxfId="541" priority="46" operator="containsText" text="TBD">
      <formula>NOT(ISERROR(SEARCH("TBD",C61)))</formula>
    </cfRule>
  </conditionalFormatting>
  <conditionalFormatting sqref="C25:G26">
    <cfRule type="containsText" dxfId="540" priority="358" operator="containsText" text="TBD">
      <formula>NOT(ISERROR(SEARCH("TBD",C25)))</formula>
    </cfRule>
  </conditionalFormatting>
  <conditionalFormatting sqref="C79:K80">
    <cfRule type="containsText" dxfId="539" priority="30" operator="containsText" text="TBD">
      <formula>NOT(ISERROR(SEARCH("TBD",C79)))</formula>
    </cfRule>
  </conditionalFormatting>
  <conditionalFormatting sqref="D31:F31 C32:F32">
    <cfRule type="containsText" dxfId="538" priority="357" operator="containsText" text="TBD">
      <formula>NOT(ISERROR(SEARCH("TBD",C31)))</formula>
    </cfRule>
  </conditionalFormatting>
  <conditionalFormatting sqref="D33:F34">
    <cfRule type="containsText" dxfId="537" priority="187" operator="containsText" text="TBD">
      <formula>NOT(ISERROR(SEARCH("TBD",D33)))</formula>
    </cfRule>
  </conditionalFormatting>
  <conditionalFormatting sqref="D43:F45">
    <cfRule type="containsText" dxfId="536" priority="120" operator="containsText" text="TBD">
      <formula>NOT(ISERROR(SEARCH("TBD",D43)))</formula>
    </cfRule>
  </conditionalFormatting>
  <conditionalFormatting sqref="D52:F52">
    <cfRule type="containsText" dxfId="535" priority="59" operator="containsText" text="TBD">
      <formula>NOT(ISERROR(SEARCH("TBD",D52)))</formula>
    </cfRule>
  </conditionalFormatting>
  <conditionalFormatting sqref="D28:G28">
    <cfRule type="containsText" dxfId="534" priority="282" operator="containsText" text="TBD">
      <formula>NOT(ISERROR(SEARCH("TBD",D28)))</formula>
    </cfRule>
  </conditionalFormatting>
  <conditionalFormatting sqref="D35:G39">
    <cfRule type="containsText" dxfId="533" priority="172" operator="containsText" text="TBD">
      <formula>NOT(ISERROR(SEARCH("TBD",D35)))</formula>
    </cfRule>
  </conditionalFormatting>
  <conditionalFormatting sqref="D51:G51">
    <cfRule type="containsText" dxfId="532" priority="57" operator="containsText" text="TBD">
      <formula>NOT(ISERROR(SEARCH("TBD",D51)))</formula>
    </cfRule>
  </conditionalFormatting>
  <conditionalFormatting sqref="D53:H53">
    <cfRule type="containsText" dxfId="531" priority="25" operator="containsText" text="TBD">
      <formula>NOT(ISERROR(SEARCH("TBD",D53)))</formula>
    </cfRule>
  </conditionalFormatting>
  <conditionalFormatting sqref="E11:E23">
    <cfRule type="containsText" dxfId="530" priority="121" operator="containsText" text="TBD">
      <formula>NOT(ISERROR(SEARCH("TBD",E11)))</formula>
    </cfRule>
  </conditionalFormatting>
  <conditionalFormatting sqref="E33">
    <cfRule type="containsText" dxfId="529" priority="185" operator="containsText" text="TBD">
      <formula>NOT(ISERROR(SEARCH("TBD",E33)))</formula>
    </cfRule>
  </conditionalFormatting>
  <conditionalFormatting sqref="E51:E53">
    <cfRule type="containsText" dxfId="528" priority="23" operator="containsText" text="TBD">
      <formula>NOT(ISERROR(SEARCH("TBD",E51)))</formula>
    </cfRule>
  </conditionalFormatting>
  <conditionalFormatting sqref="E55:E78">
    <cfRule type="containsText" dxfId="527" priority="26" operator="containsText" text="TBD">
      <formula>NOT(ISERROR(SEARCH("TBD",E55)))</formula>
    </cfRule>
  </conditionalFormatting>
  <conditionalFormatting sqref="F20:F21">
    <cfRule type="containsText" dxfId="526" priority="427" operator="containsText" text="TBD">
      <formula>NOT(ISERROR(SEARCH("TBD",F20)))</formula>
    </cfRule>
  </conditionalFormatting>
  <conditionalFormatting sqref="F62:J62">
    <cfRule type="containsText" dxfId="525" priority="44" operator="containsText" text="TBD">
      <formula>NOT(ISERROR(SEARCH("TBD",F62)))</formula>
    </cfRule>
  </conditionalFormatting>
  <conditionalFormatting sqref="F64:J64">
    <cfRule type="containsText" dxfId="524" priority="40" operator="containsText" text="TBD">
      <formula>NOT(ISERROR(SEARCH("TBD",F64)))</formula>
    </cfRule>
  </conditionalFormatting>
  <conditionalFormatting sqref="G31:G34">
    <cfRule type="containsText" dxfId="523" priority="180" operator="containsText" text="TBD">
      <formula>NOT(ISERROR(SEARCH("TBD",G31)))</formula>
    </cfRule>
  </conditionalFormatting>
  <conditionalFormatting sqref="G51:G53">
    <cfRule type="containsText" dxfId="522" priority="22" operator="containsText" text="TBD">
      <formula>NOT(ISERROR(SEARCH("TBD",G51)))</formula>
    </cfRule>
  </conditionalFormatting>
  <conditionalFormatting sqref="H25:H39 A31:B39">
    <cfRule type="containsText" dxfId="521" priority="179" operator="containsText" text="TBD">
      <formula>NOT(ISERROR(SEARCH("TBD",A25)))</formula>
    </cfRule>
  </conditionalFormatting>
  <conditionalFormatting sqref="H51:H52">
    <cfRule type="containsText" dxfId="520" priority="54" operator="containsText" text="TBD">
      <formula>NOT(ISERROR(SEARCH("TBD",H51)))</formula>
    </cfRule>
  </conditionalFormatting>
  <conditionalFormatting sqref="I36:I38">
    <cfRule type="containsText" dxfId="519" priority="173" operator="containsText" text="TBD">
      <formula>NOT(ISERROR(SEARCH("TBD",I36)))</formula>
    </cfRule>
  </conditionalFormatting>
  <conditionalFormatting sqref="I51:K53">
    <cfRule type="containsText" dxfId="518" priority="21" operator="containsText" text="TBD">
      <formula>NOT(ISERROR(SEARCH("TBD",I51)))</formula>
    </cfRule>
  </conditionalFormatting>
  <conditionalFormatting sqref="N80:N84">
    <cfRule type="containsText" dxfId="517" priority="2" operator="containsText" text="TBD">
      <formula>NOT(ISERROR(SEARCH("TBD",N80)))</formula>
    </cfRule>
  </conditionalFormatting>
  <conditionalFormatting sqref="O80:O84">
    <cfRule type="containsText" dxfId="516" priority="131" operator="containsText" text="TBD">
      <formula>NOT(ISERROR(SEARCH("TBD",O80)))</formula>
    </cfRule>
  </conditionalFormatting>
  <conditionalFormatting sqref="O83">
    <cfRule type="containsText" dxfId="515" priority="127" operator="containsText" text="Group A">
      <formula>NOT(ISERROR(SEARCH("Group A",O83)))</formula>
    </cfRule>
    <cfRule type="containsText" dxfId="514" priority="128" operator="containsText" text="Group B">
      <formula>NOT(ISERROR(SEARCH("Group B",O83)))</formula>
    </cfRule>
    <cfRule type="containsText" dxfId="513" priority="129" operator="containsText" text="Group A">
      <formula>NOT(ISERROR(SEARCH("Group A",O83)))</formula>
    </cfRule>
    <cfRule type="containsText" dxfId="512" priority="130" operator="containsText" text="Group A">
      <formula>NOT(ISERROR(SEARCH("Group A",O83)))</formula>
    </cfRule>
  </conditionalFormatting>
  <conditionalFormatting sqref="P3:P53 P56:P1048576">
    <cfRule type="containsText" dxfId="511" priority="12" operator="containsText" text="TBD">
      <formula>NOT(ISERROR(SEARCH("TBD",P3)))</formula>
    </cfRule>
  </conditionalFormatting>
  <conditionalFormatting sqref="P7:P14">
    <cfRule type="containsText" dxfId="510" priority="5" operator="containsText" text="TBD">
      <formula>NOT(ISERROR(SEARCH("TBD",P7)))</formula>
    </cfRule>
  </conditionalFormatting>
  <conditionalFormatting sqref="P24">
    <cfRule type="containsText" dxfId="509" priority="4" operator="containsText" text="TBD">
      <formula>NOT(ISERROR(SEARCH("TBD",P24)))</formula>
    </cfRule>
  </conditionalFormatting>
  <conditionalFormatting sqref="P81">
    <cfRule type="containsText" dxfId="508" priority="9" operator="containsText" text="Group B">
      <formula>NOT(ISERROR(SEARCH("Group B",P81)))</formula>
    </cfRule>
    <cfRule type="containsText" dxfId="507" priority="8" operator="containsText" text="Group A">
      <formula>NOT(ISERROR(SEARCH("Group A",P81)))</formula>
    </cfRule>
    <cfRule type="containsText" dxfId="506" priority="11" operator="containsText" text="Group A">
      <formula>NOT(ISERROR(SEARCH("Group A",P81)))</formula>
    </cfRule>
    <cfRule type="containsText" dxfId="505" priority="10" operator="containsText" text="Group A">
      <formula>NOT(ISERROR(SEARCH("Group A",P81)))</formula>
    </cfRule>
  </conditionalFormatting>
  <conditionalFormatting sqref="P84">
    <cfRule type="containsText" dxfId="504" priority="3" operator="containsText" text="TBD">
      <formula>NOT(ISERROR(SEARCH("TBD",P84)))</formula>
    </cfRule>
  </conditionalFormatting>
  <conditionalFormatting sqref="P54:P55">
    <cfRule type="containsText" dxfId="0" priority="1" operator="containsText" text="TBD">
      <formula>NOT(ISERROR(SEARCH("TBD",P54)))</formula>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CD9EF-4F54-43F6-9DD1-71248D3D3831}">
  <sheetPr>
    <tabColor theme="8" tint="0.59999389629810485"/>
  </sheetPr>
  <dimension ref="A1:AU92"/>
  <sheetViews>
    <sheetView tabSelected="1" zoomScale="55" zoomScaleNormal="55" workbookViewId="0">
      <pane ySplit="5" topLeftCell="A21" activePane="bottomLeft" state="frozen"/>
      <selection activeCell="I40" sqref="I40"/>
      <selection pane="bottomLeft" activeCell="I40" sqref="I4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6328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36.90625" style="6" customWidth="1"/>
    <col min="15" max="16" width="17.269531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1A72D6200-600-G</v>
      </c>
      <c r="D3" s="26" t="s">
        <v>1</v>
      </c>
      <c r="E3" s="27" t="s">
        <v>14</v>
      </c>
      <c r="F3" s="26"/>
      <c r="G3" s="26"/>
      <c r="H3" s="26"/>
      <c r="I3" s="26"/>
      <c r="J3" s="26"/>
      <c r="K3" s="26"/>
      <c r="L3" s="26"/>
      <c r="M3" s="26"/>
      <c r="N3" s="44"/>
      <c r="O3" s="26"/>
      <c r="P3" s="26"/>
    </row>
    <row r="4" spans="1:16" s="8" customFormat="1">
      <c r="A4" s="179" t="s">
        <v>8</v>
      </c>
      <c r="B4" s="179"/>
      <c r="C4" s="89" t="str">
        <f>E6</f>
        <v>TBD</v>
      </c>
      <c r="D4" s="41" t="s">
        <v>9</v>
      </c>
      <c r="E4" s="42" t="s">
        <v>14</v>
      </c>
      <c r="F4" s="41" t="s">
        <v>10</v>
      </c>
      <c r="G4" s="13" t="str">
        <f>G6</f>
        <v>Maxwell Mercury_L10 Compute Tray Assy_Sun-Ref, Micron</v>
      </c>
      <c r="H4" s="41"/>
      <c r="I4" s="41"/>
      <c r="J4" s="41"/>
      <c r="K4" s="41"/>
      <c r="L4" s="41"/>
      <c r="M4" s="41"/>
      <c r="N4" s="44"/>
      <c r="O4" s="41"/>
      <c r="P4" s="41"/>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ROW(A6)-5</f>
        <v>1</v>
      </c>
      <c r="B6" s="49" t="s">
        <v>36</v>
      </c>
      <c r="C6" s="52" t="s">
        <v>683</v>
      </c>
      <c r="D6" s="11" t="s">
        <v>17</v>
      </c>
      <c r="E6" s="91" t="s">
        <v>34</v>
      </c>
      <c r="F6" s="11" t="s">
        <v>14</v>
      </c>
      <c r="G6" s="13" t="s">
        <v>694</v>
      </c>
      <c r="H6" s="11" t="s">
        <v>20</v>
      </c>
      <c r="I6" s="52" t="str">
        <f>C6</f>
        <v>1A72D6200-600-G</v>
      </c>
      <c r="J6" s="11" t="s">
        <v>14</v>
      </c>
      <c r="K6" s="11">
        <v>1</v>
      </c>
      <c r="L6" s="11" t="s">
        <v>800</v>
      </c>
      <c r="M6" s="11" t="s">
        <v>30</v>
      </c>
      <c r="N6" s="45"/>
      <c r="O6" s="11" t="s">
        <v>14</v>
      </c>
      <c r="P6" s="11" t="s">
        <v>802</v>
      </c>
    </row>
    <row r="7" spans="1:16" ht="62">
      <c r="A7" s="11">
        <f>ROW(A7)-5</f>
        <v>2</v>
      </c>
      <c r="B7" s="49" t="s">
        <v>29</v>
      </c>
      <c r="C7" s="55" t="s">
        <v>218</v>
      </c>
      <c r="D7" s="11" t="s">
        <v>17</v>
      </c>
      <c r="E7" s="11" t="s">
        <v>34</v>
      </c>
      <c r="F7" s="11" t="s">
        <v>14</v>
      </c>
      <c r="G7" s="13" t="s">
        <v>189</v>
      </c>
      <c r="H7" s="11" t="s">
        <v>40</v>
      </c>
      <c r="I7" s="24" t="s">
        <v>216</v>
      </c>
      <c r="J7" s="11" t="s">
        <v>14</v>
      </c>
      <c r="K7" s="11">
        <v>1</v>
      </c>
      <c r="L7" s="11" t="s">
        <v>800</v>
      </c>
      <c r="M7" s="11" t="s">
        <v>30</v>
      </c>
      <c r="N7" s="83" t="s">
        <v>460</v>
      </c>
      <c r="O7" s="11" t="s">
        <v>42</v>
      </c>
      <c r="P7" s="11" t="s">
        <v>803</v>
      </c>
    </row>
    <row r="8" spans="1:16" ht="62">
      <c r="A8" s="11">
        <f>ROW(A8)-5</f>
        <v>3</v>
      </c>
      <c r="B8" s="49" t="s">
        <v>37</v>
      </c>
      <c r="C8" s="55" t="s">
        <v>343</v>
      </c>
      <c r="D8" s="11" t="s">
        <v>17</v>
      </c>
      <c r="E8" s="11" t="s">
        <v>34</v>
      </c>
      <c r="F8" s="11" t="s">
        <v>14</v>
      </c>
      <c r="G8" s="13" t="s">
        <v>232</v>
      </c>
      <c r="H8" s="11" t="s">
        <v>40</v>
      </c>
      <c r="I8" s="55" t="s">
        <v>344</v>
      </c>
      <c r="J8" s="11" t="s">
        <v>14</v>
      </c>
      <c r="K8" s="11">
        <v>2</v>
      </c>
      <c r="L8" s="11" t="s">
        <v>800</v>
      </c>
      <c r="M8" s="11" t="s">
        <v>30</v>
      </c>
      <c r="N8" s="83" t="s">
        <v>685</v>
      </c>
      <c r="O8" s="11" t="s">
        <v>42</v>
      </c>
      <c r="P8" s="11" t="s">
        <v>803</v>
      </c>
    </row>
    <row r="9" spans="1:16" ht="31">
      <c r="A9" s="11">
        <f t="shared" ref="A9:A80" si="0">ROW(A9)-5</f>
        <v>4</v>
      </c>
      <c r="B9" s="49" t="s">
        <v>117</v>
      </c>
      <c r="C9" s="11" t="s">
        <v>313</v>
      </c>
      <c r="D9" s="56" t="s">
        <v>30</v>
      </c>
      <c r="E9" s="11" t="s">
        <v>34</v>
      </c>
      <c r="F9" s="11" t="s">
        <v>14</v>
      </c>
      <c r="G9" s="13" t="s">
        <v>58</v>
      </c>
      <c r="H9" s="11" t="s">
        <v>40</v>
      </c>
      <c r="I9" s="24" t="s">
        <v>309</v>
      </c>
      <c r="J9" s="56" t="s">
        <v>30</v>
      </c>
      <c r="K9" s="11">
        <v>2</v>
      </c>
      <c r="L9" s="11" t="s">
        <v>800</v>
      </c>
      <c r="M9" s="11" t="s">
        <v>30</v>
      </c>
      <c r="N9" s="83" t="s">
        <v>505</v>
      </c>
      <c r="O9" s="11" t="s">
        <v>41</v>
      </c>
      <c r="P9" s="11" t="s">
        <v>803</v>
      </c>
    </row>
    <row r="10" spans="1:16" ht="46.5">
      <c r="A10" s="11">
        <f t="shared" si="0"/>
        <v>5</v>
      </c>
      <c r="B10" s="49" t="s">
        <v>118</v>
      </c>
      <c r="C10" s="24" t="s">
        <v>219</v>
      </c>
      <c r="D10" s="56" t="s">
        <v>30</v>
      </c>
      <c r="E10" s="11" t="s">
        <v>34</v>
      </c>
      <c r="F10" s="11" t="s">
        <v>14</v>
      </c>
      <c r="G10" s="13" t="s">
        <v>59</v>
      </c>
      <c r="H10" s="11" t="s">
        <v>40</v>
      </c>
      <c r="I10" s="24" t="s">
        <v>217</v>
      </c>
      <c r="J10" s="56" t="s">
        <v>30</v>
      </c>
      <c r="K10" s="11">
        <v>1</v>
      </c>
      <c r="L10" s="11" t="s">
        <v>800</v>
      </c>
      <c r="M10" s="11" t="s">
        <v>30</v>
      </c>
      <c r="N10" s="83" t="s">
        <v>329</v>
      </c>
      <c r="O10" s="11" t="s">
        <v>41</v>
      </c>
      <c r="P10" s="11"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225</v>
      </c>
      <c r="D14" s="56" t="s">
        <v>30</v>
      </c>
      <c r="E14" s="91" t="s">
        <v>468</v>
      </c>
      <c r="F14" s="11" t="s">
        <v>14</v>
      </c>
      <c r="G14" s="13" t="s">
        <v>188</v>
      </c>
      <c r="H14" s="11" t="s">
        <v>138</v>
      </c>
      <c r="I14" s="11" t="s">
        <v>145</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ROW(A19)-5</f>
        <v>14</v>
      </c>
      <c r="B19" s="58" t="s">
        <v>174</v>
      </c>
      <c r="C19" s="60" t="s">
        <v>151</v>
      </c>
      <c r="D19" s="61" t="s">
        <v>14</v>
      </c>
      <c r="E19" s="91" t="s">
        <v>526</v>
      </c>
      <c r="F19" s="11" t="s">
        <v>14</v>
      </c>
      <c r="G19" s="95" t="s">
        <v>532</v>
      </c>
      <c r="H19" s="62" t="s">
        <v>51</v>
      </c>
      <c r="I19" s="60" t="s">
        <v>151</v>
      </c>
      <c r="J19" s="11" t="s">
        <v>30</v>
      </c>
      <c r="K19" s="63">
        <v>1</v>
      </c>
      <c r="L19" s="11" t="s">
        <v>800</v>
      </c>
      <c r="M19" s="11" t="s">
        <v>30</v>
      </c>
      <c r="N19" s="64" t="s">
        <v>341</v>
      </c>
      <c r="O19" s="63" t="s">
        <v>159</v>
      </c>
      <c r="P19" s="11" t="s">
        <v>802</v>
      </c>
    </row>
    <row r="20" spans="1:16">
      <c r="A20" s="11">
        <f t="shared" si="0"/>
        <v>15</v>
      </c>
      <c r="B20" s="58" t="s">
        <v>131</v>
      </c>
      <c r="C20" s="55" t="s">
        <v>345</v>
      </c>
      <c r="D20" s="11" t="s">
        <v>14</v>
      </c>
      <c r="E20" s="91" t="s">
        <v>516</v>
      </c>
      <c r="F20" s="11" t="s">
        <v>14</v>
      </c>
      <c r="G20" s="72" t="s">
        <v>346</v>
      </c>
      <c r="H20" s="11" t="s">
        <v>51</v>
      </c>
      <c r="I20" s="55" t="s">
        <v>345</v>
      </c>
      <c r="J20" s="11" t="s">
        <v>14</v>
      </c>
      <c r="K20" s="11">
        <v>1</v>
      </c>
      <c r="L20" s="11" t="s">
        <v>800</v>
      </c>
      <c r="M20" s="11" t="s">
        <v>30</v>
      </c>
      <c r="N20" s="45" t="s">
        <v>303</v>
      </c>
      <c r="O20" s="11" t="s">
        <v>41</v>
      </c>
      <c r="P20" s="11" t="s">
        <v>802</v>
      </c>
    </row>
    <row r="21" spans="1:16">
      <c r="A21" s="11">
        <f t="shared" si="0"/>
        <v>16</v>
      </c>
      <c r="B21" s="58" t="s">
        <v>381</v>
      </c>
      <c r="C21" s="55" t="s">
        <v>347</v>
      </c>
      <c r="D21" s="11" t="s">
        <v>14</v>
      </c>
      <c r="E21" s="91" t="s">
        <v>473</v>
      </c>
      <c r="F21" s="11" t="s">
        <v>14</v>
      </c>
      <c r="G21" s="72" t="s">
        <v>348</v>
      </c>
      <c r="H21" s="11" t="s">
        <v>51</v>
      </c>
      <c r="I21" s="55" t="s">
        <v>347</v>
      </c>
      <c r="J21" s="11" t="s">
        <v>14</v>
      </c>
      <c r="K21" s="11">
        <v>1</v>
      </c>
      <c r="L21" s="11" t="s">
        <v>800</v>
      </c>
      <c r="M21" s="11" t="s">
        <v>30</v>
      </c>
      <c r="N21" s="45" t="s">
        <v>303</v>
      </c>
      <c r="O21" s="11" t="s">
        <v>41</v>
      </c>
      <c r="P21" s="11" t="s">
        <v>802</v>
      </c>
    </row>
    <row r="22" spans="1:16">
      <c r="A22" s="11">
        <f t="shared" si="0"/>
        <v>17</v>
      </c>
      <c r="B22" s="58" t="s">
        <v>382</v>
      </c>
      <c r="C22" s="52"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551</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1">
        <f t="shared" si="0"/>
        <v>19</v>
      </c>
      <c r="B24" s="58" t="s">
        <v>552</v>
      </c>
      <c r="C24" s="24" t="s">
        <v>278</v>
      </c>
      <c r="D24" s="11" t="s">
        <v>30</v>
      </c>
      <c r="E24" s="116" t="s">
        <v>593</v>
      </c>
      <c r="F24" s="11" t="s">
        <v>30</v>
      </c>
      <c r="G24" s="43" t="s">
        <v>276</v>
      </c>
      <c r="H24" s="11" t="s">
        <v>274</v>
      </c>
      <c r="I24" s="11" t="s">
        <v>275</v>
      </c>
      <c r="J24" s="11" t="s">
        <v>14</v>
      </c>
      <c r="K24" s="11">
        <v>2</v>
      </c>
      <c r="L24" s="11" t="s">
        <v>800</v>
      </c>
      <c r="M24" s="11" t="s">
        <v>30</v>
      </c>
      <c r="N24" s="45" t="s">
        <v>277</v>
      </c>
      <c r="O24" s="11" t="s">
        <v>273</v>
      </c>
      <c r="P24" s="11" t="s">
        <v>803</v>
      </c>
    </row>
    <row r="25" spans="1:16">
      <c r="A25" s="11">
        <f t="shared" si="0"/>
        <v>20</v>
      </c>
      <c r="B25" s="58" t="s">
        <v>553</v>
      </c>
      <c r="C25" s="24" t="s">
        <v>339</v>
      </c>
      <c r="D25" s="11" t="s">
        <v>14</v>
      </c>
      <c r="E25" s="11" t="s">
        <v>34</v>
      </c>
      <c r="F25" s="11" t="s">
        <v>14</v>
      </c>
      <c r="G25" s="43" t="s">
        <v>305</v>
      </c>
      <c r="H25" s="52" t="s">
        <v>418</v>
      </c>
      <c r="I25" s="24" t="s">
        <v>339</v>
      </c>
      <c r="J25" s="11" t="s">
        <v>14</v>
      </c>
      <c r="K25" s="11">
        <v>1</v>
      </c>
      <c r="L25" s="11" t="s">
        <v>800</v>
      </c>
      <c r="M25" s="11" t="s">
        <v>30</v>
      </c>
      <c r="N25" s="45" t="s">
        <v>306</v>
      </c>
      <c r="O25" s="11" t="s">
        <v>44</v>
      </c>
      <c r="P25" s="11" t="s">
        <v>802</v>
      </c>
    </row>
    <row r="26" spans="1:16">
      <c r="A26" s="11">
        <f>ROW(A26)-5</f>
        <v>21</v>
      </c>
      <c r="B26" s="58" t="s">
        <v>554</v>
      </c>
      <c r="C26" s="11" t="s">
        <v>286</v>
      </c>
      <c r="D26" s="11" t="s">
        <v>14</v>
      </c>
      <c r="E26" s="11" t="s">
        <v>34</v>
      </c>
      <c r="F26" s="11" t="s">
        <v>14</v>
      </c>
      <c r="G26" s="43" t="s">
        <v>285</v>
      </c>
      <c r="H26" s="52" t="s">
        <v>418</v>
      </c>
      <c r="I26" s="11" t="s">
        <v>286</v>
      </c>
      <c r="J26" s="11" t="s">
        <v>14</v>
      </c>
      <c r="K26" s="11">
        <v>3</v>
      </c>
      <c r="L26" s="11" t="s">
        <v>800</v>
      </c>
      <c r="M26" s="11" t="s">
        <v>30</v>
      </c>
      <c r="N26" s="45" t="s">
        <v>284</v>
      </c>
      <c r="O26" s="11" t="s">
        <v>44</v>
      </c>
      <c r="P26" s="11" t="s">
        <v>802</v>
      </c>
    </row>
    <row r="27" spans="1:16">
      <c r="A27" s="11">
        <f t="shared" ref="A27:A30" si="1">ROW(A27)-5</f>
        <v>22</v>
      </c>
      <c r="B27" s="58"/>
      <c r="C27" s="55" t="s">
        <v>408</v>
      </c>
      <c r="D27" s="11" t="s">
        <v>14</v>
      </c>
      <c r="E27" s="11" t="s">
        <v>34</v>
      </c>
      <c r="F27" s="11" t="s">
        <v>14</v>
      </c>
      <c r="G27" s="43" t="s">
        <v>405</v>
      </c>
      <c r="H27" s="52" t="s">
        <v>406</v>
      </c>
      <c r="I27" s="55" t="s">
        <v>407</v>
      </c>
      <c r="J27" s="11" t="s">
        <v>14</v>
      </c>
      <c r="K27" s="11"/>
      <c r="L27" s="11" t="s">
        <v>800</v>
      </c>
      <c r="M27" s="11" t="s">
        <v>30</v>
      </c>
      <c r="N27" s="45" t="s">
        <v>296</v>
      </c>
      <c r="O27" s="11" t="s">
        <v>44</v>
      </c>
      <c r="P27" s="11" t="s">
        <v>802</v>
      </c>
    </row>
    <row r="28" spans="1:16">
      <c r="A28" s="11">
        <f>ROW(A28)-5</f>
        <v>23</v>
      </c>
      <c r="B28" s="58" t="s">
        <v>409</v>
      </c>
      <c r="C28" s="55" t="s">
        <v>506</v>
      </c>
      <c r="D28" s="11" t="s">
        <v>14</v>
      </c>
      <c r="E28" s="11" t="s">
        <v>34</v>
      </c>
      <c r="F28" s="11" t="s">
        <v>14</v>
      </c>
      <c r="G28" s="43" t="s">
        <v>507</v>
      </c>
      <c r="H28" s="52" t="s">
        <v>418</v>
      </c>
      <c r="I28" s="55" t="s">
        <v>506</v>
      </c>
      <c r="J28" s="11" t="s">
        <v>14</v>
      </c>
      <c r="K28" s="11">
        <v>4</v>
      </c>
      <c r="L28" s="11" t="s">
        <v>800</v>
      </c>
      <c r="M28" s="11" t="s">
        <v>30</v>
      </c>
      <c r="N28" s="45" t="s">
        <v>515</v>
      </c>
      <c r="O28" s="11" t="s">
        <v>44</v>
      </c>
      <c r="P28" s="11" t="s">
        <v>802</v>
      </c>
    </row>
    <row r="29" spans="1:16">
      <c r="A29" s="11">
        <f t="shared" si="1"/>
        <v>24</v>
      </c>
      <c r="B29" s="58"/>
      <c r="C29" s="55" t="s">
        <v>508</v>
      </c>
      <c r="D29" s="11" t="s">
        <v>14</v>
      </c>
      <c r="E29" s="1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1"/>
        <v>25</v>
      </c>
      <c r="B30" s="58"/>
      <c r="C30" s="55" t="s">
        <v>509</v>
      </c>
      <c r="D30" s="11" t="s">
        <v>14</v>
      </c>
      <c r="E30" s="1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1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11" t="s">
        <v>34</v>
      </c>
      <c r="F32" s="11" t="s">
        <v>14</v>
      </c>
      <c r="G32" s="43" t="s">
        <v>316</v>
      </c>
      <c r="H32" s="52" t="s">
        <v>418</v>
      </c>
      <c r="I32" s="24" t="s">
        <v>290</v>
      </c>
      <c r="J32" s="11" t="s">
        <v>14</v>
      </c>
      <c r="K32" s="11">
        <v>8</v>
      </c>
      <c r="L32" s="11" t="s">
        <v>800</v>
      </c>
      <c r="M32" s="11" t="s">
        <v>30</v>
      </c>
      <c r="N32" s="45" t="s">
        <v>289</v>
      </c>
      <c r="O32" s="11" t="s">
        <v>44</v>
      </c>
      <c r="P32" s="11" t="s">
        <v>802</v>
      </c>
    </row>
    <row r="33" spans="1:16">
      <c r="A33" s="11">
        <f>ROW(A33)-5</f>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413</v>
      </c>
      <c r="C34" s="24" t="s">
        <v>333</v>
      </c>
      <c r="D34" s="11" t="s">
        <v>14</v>
      </c>
      <c r="E34" s="11" t="s">
        <v>34</v>
      </c>
      <c r="F34" s="11" t="s">
        <v>14</v>
      </c>
      <c r="G34" s="43" t="s">
        <v>314</v>
      </c>
      <c r="H34" s="52" t="s">
        <v>418</v>
      </c>
      <c r="I34" s="67" t="s">
        <v>333</v>
      </c>
      <c r="J34" s="11" t="s">
        <v>14</v>
      </c>
      <c r="K34" s="11">
        <v>1</v>
      </c>
      <c r="L34" s="11" t="s">
        <v>800</v>
      </c>
      <c r="M34" s="11" t="s">
        <v>30</v>
      </c>
      <c r="N34" s="45" t="s">
        <v>291</v>
      </c>
      <c r="O34" s="11" t="s">
        <v>44</v>
      </c>
      <c r="P34" s="11" t="s">
        <v>802</v>
      </c>
    </row>
    <row r="35" spans="1:16">
      <c r="A35" s="11">
        <f t="shared" si="0"/>
        <v>30</v>
      </c>
      <c r="B35" s="58" t="s">
        <v>47</v>
      </c>
      <c r="C35" s="24" t="s">
        <v>335</v>
      </c>
      <c r="D35" s="11" t="s">
        <v>14</v>
      </c>
      <c r="E35" s="11" t="s">
        <v>34</v>
      </c>
      <c r="F35" s="11" t="s">
        <v>14</v>
      </c>
      <c r="G35" s="43" t="s">
        <v>334</v>
      </c>
      <c r="H35" s="52" t="s">
        <v>418</v>
      </c>
      <c r="I35" s="67" t="s">
        <v>335</v>
      </c>
      <c r="J35" s="11" t="s">
        <v>14</v>
      </c>
      <c r="K35" s="52">
        <v>2</v>
      </c>
      <c r="L35" s="11" t="s">
        <v>800</v>
      </c>
      <c r="M35" s="11" t="s">
        <v>30</v>
      </c>
      <c r="N35" s="45" t="s">
        <v>336</v>
      </c>
      <c r="O35" s="11" t="s">
        <v>44</v>
      </c>
      <c r="P35" s="11" t="s">
        <v>802</v>
      </c>
    </row>
    <row r="36" spans="1:16">
      <c r="A36" s="11">
        <f>ROW(A36)-5</f>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1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1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24" t="s">
        <v>300</v>
      </c>
      <c r="D39" s="11" t="s">
        <v>14</v>
      </c>
      <c r="E39" s="11" t="s">
        <v>34</v>
      </c>
      <c r="F39" s="11" t="s">
        <v>14</v>
      </c>
      <c r="G39" s="43" t="s">
        <v>299</v>
      </c>
      <c r="H39" s="52" t="s">
        <v>418</v>
      </c>
      <c r="I39" s="24" t="s">
        <v>300</v>
      </c>
      <c r="J39" s="11" t="s">
        <v>14</v>
      </c>
      <c r="K39" s="11">
        <v>64</v>
      </c>
      <c r="L39" s="11" t="s">
        <v>800</v>
      </c>
      <c r="M39" s="11" t="s">
        <v>30</v>
      </c>
      <c r="N39" s="45" t="s">
        <v>296</v>
      </c>
      <c r="O39" s="11" t="s">
        <v>44</v>
      </c>
      <c r="P39" s="11" t="s">
        <v>802</v>
      </c>
    </row>
    <row r="40" spans="1:16">
      <c r="A40" s="11">
        <f t="shared" si="0"/>
        <v>35</v>
      </c>
      <c r="B40" s="58"/>
      <c r="C40" s="55" t="s">
        <v>400</v>
      </c>
      <c r="D40" s="11" t="s">
        <v>14</v>
      </c>
      <c r="E40" s="11" t="s">
        <v>34</v>
      </c>
      <c r="F40" s="11" t="s">
        <v>14</v>
      </c>
      <c r="G40" s="204" t="s">
        <v>415</v>
      </c>
      <c r="H40" s="52" t="s">
        <v>401</v>
      </c>
      <c r="I40" s="55" t="s">
        <v>402</v>
      </c>
      <c r="J40" s="11" t="s">
        <v>14</v>
      </c>
      <c r="K40" s="11"/>
      <c r="L40" s="11" t="s">
        <v>800</v>
      </c>
      <c r="M40" s="11" t="s">
        <v>30</v>
      </c>
      <c r="N40" s="45" t="s">
        <v>296</v>
      </c>
      <c r="O40" s="11" t="s">
        <v>44</v>
      </c>
      <c r="P40" s="11" t="s">
        <v>802</v>
      </c>
    </row>
    <row r="41" spans="1:16">
      <c r="A41" s="11">
        <f t="shared" si="0"/>
        <v>36</v>
      </c>
      <c r="B41" s="58" t="s">
        <v>56</v>
      </c>
      <c r="C41" s="24" t="s">
        <v>301</v>
      </c>
      <c r="D41" s="11" t="s">
        <v>14</v>
      </c>
      <c r="E41" s="11" t="s">
        <v>34</v>
      </c>
      <c r="F41" s="11" t="s">
        <v>14</v>
      </c>
      <c r="G41" s="13" t="s">
        <v>298</v>
      </c>
      <c r="H41" s="52" t="s">
        <v>418</v>
      </c>
      <c r="I41" s="24" t="s">
        <v>301</v>
      </c>
      <c r="J41" s="11" t="s">
        <v>14</v>
      </c>
      <c r="K41" s="11">
        <v>64</v>
      </c>
      <c r="L41" s="11" t="s">
        <v>800</v>
      </c>
      <c r="M41" s="11" t="s">
        <v>30</v>
      </c>
      <c r="N41" s="45" t="s">
        <v>297</v>
      </c>
      <c r="O41" s="11" t="s">
        <v>44</v>
      </c>
      <c r="P41" s="11" t="s">
        <v>802</v>
      </c>
    </row>
    <row r="42" spans="1:16">
      <c r="A42" s="11">
        <f t="shared" si="0"/>
        <v>37</v>
      </c>
      <c r="B42" s="58"/>
      <c r="C42" s="55" t="s">
        <v>404</v>
      </c>
      <c r="D42" s="11" t="s">
        <v>14</v>
      </c>
      <c r="E42" s="1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11" t="s">
        <v>34</v>
      </c>
      <c r="F43" s="11" t="s">
        <v>14</v>
      </c>
      <c r="G43" s="43"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11" t="s">
        <v>34</v>
      </c>
      <c r="F44" s="11" t="s">
        <v>14</v>
      </c>
      <c r="G44" s="43"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11" t="s">
        <v>34</v>
      </c>
      <c r="F45" s="11" t="s">
        <v>14</v>
      </c>
      <c r="G45" s="43"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11" t="s">
        <v>34</v>
      </c>
      <c r="F46" s="11" t="s">
        <v>14</v>
      </c>
      <c r="G46" s="43"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11" t="s">
        <v>34</v>
      </c>
      <c r="F47" s="11" t="s">
        <v>14</v>
      </c>
      <c r="G47" s="43"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11" t="s">
        <v>34</v>
      </c>
      <c r="F48" s="11" t="s">
        <v>14</v>
      </c>
      <c r="G48" s="43" t="s">
        <v>536</v>
      </c>
      <c r="H48" s="52" t="s">
        <v>538</v>
      </c>
      <c r="I48" s="52" t="s">
        <v>632</v>
      </c>
      <c r="J48" s="11" t="s">
        <v>14</v>
      </c>
      <c r="K48" s="11"/>
      <c r="L48" s="11" t="s">
        <v>800</v>
      </c>
      <c r="M48" s="11" t="s">
        <v>30</v>
      </c>
      <c r="N48" s="45" t="s">
        <v>524</v>
      </c>
      <c r="O48" s="11" t="s">
        <v>44</v>
      </c>
      <c r="P48" s="11" t="s">
        <v>802</v>
      </c>
    </row>
    <row r="49" spans="1:47">
      <c r="A49" s="11">
        <f t="shared" si="0"/>
        <v>44</v>
      </c>
      <c r="B49" s="58" t="s">
        <v>710</v>
      </c>
      <c r="C49" s="55" t="s">
        <v>550</v>
      </c>
      <c r="D49" s="11" t="s">
        <v>14</v>
      </c>
      <c r="E49" s="91" t="s">
        <v>34</v>
      </c>
      <c r="F49" s="11" t="s">
        <v>14</v>
      </c>
      <c r="G49" s="66" t="s">
        <v>549</v>
      </c>
      <c r="H49" s="52" t="s">
        <v>51</v>
      </c>
      <c r="I49" s="52" t="s">
        <v>639</v>
      </c>
      <c r="J49" s="11" t="s">
        <v>14</v>
      </c>
      <c r="K49" s="11">
        <v>1</v>
      </c>
      <c r="L49" s="11" t="s">
        <v>800</v>
      </c>
      <c r="M49" s="11" t="s">
        <v>30</v>
      </c>
      <c r="N49" s="45" t="s">
        <v>638</v>
      </c>
      <c r="O49" s="11" t="s">
        <v>44</v>
      </c>
      <c r="P49" s="11" t="s">
        <v>802</v>
      </c>
    </row>
    <row r="50" spans="1:47">
      <c r="A50" s="11">
        <f t="shared" si="0"/>
        <v>45</v>
      </c>
      <c r="B50" s="58"/>
      <c r="C50" s="55" t="s">
        <v>706</v>
      </c>
      <c r="D50" s="11" t="s">
        <v>14</v>
      </c>
      <c r="E50" s="91" t="s">
        <v>34</v>
      </c>
      <c r="F50" s="11" t="s">
        <v>14</v>
      </c>
      <c r="G50" s="66" t="s">
        <v>549</v>
      </c>
      <c r="H50" s="52" t="s">
        <v>705</v>
      </c>
      <c r="I50" s="52" t="s">
        <v>704</v>
      </c>
      <c r="J50" s="11" t="s">
        <v>14</v>
      </c>
      <c r="K50" s="11"/>
      <c r="L50" s="11" t="s">
        <v>800</v>
      </c>
      <c r="M50" s="11" t="s">
        <v>30</v>
      </c>
      <c r="N50" s="45" t="s">
        <v>638</v>
      </c>
      <c r="O50" s="11" t="s">
        <v>44</v>
      </c>
      <c r="P50" s="11" t="s">
        <v>802</v>
      </c>
    </row>
    <row r="51" spans="1:47">
      <c r="A51" s="11">
        <f t="shared" si="0"/>
        <v>46</v>
      </c>
      <c r="B51" s="58" t="s">
        <v>746</v>
      </c>
      <c r="C51" s="55" t="s">
        <v>747</v>
      </c>
      <c r="D51" s="11" t="s">
        <v>14</v>
      </c>
      <c r="E51" s="91" t="s">
        <v>34</v>
      </c>
      <c r="F51" s="11" t="s">
        <v>14</v>
      </c>
      <c r="G51" s="66" t="s">
        <v>744</v>
      </c>
      <c r="H51" s="55" t="s">
        <v>743</v>
      </c>
      <c r="I51" s="55" t="s">
        <v>747</v>
      </c>
      <c r="J51" s="11" t="s">
        <v>14</v>
      </c>
      <c r="K51" s="11">
        <v>1</v>
      </c>
      <c r="L51" s="11" t="s">
        <v>800</v>
      </c>
      <c r="M51" s="11" t="s">
        <v>30</v>
      </c>
      <c r="N51" s="45"/>
      <c r="O51" s="11" t="s">
        <v>44</v>
      </c>
      <c r="P51" s="11" t="s">
        <v>802</v>
      </c>
    </row>
    <row r="52" spans="1:47" s="212" customFormat="1">
      <c r="A52" s="200">
        <f t="shared" si="0"/>
        <v>47</v>
      </c>
      <c r="B52" s="201" t="s">
        <v>757</v>
      </c>
      <c r="C52" s="208" t="s">
        <v>751</v>
      </c>
      <c r="D52" s="200" t="s">
        <v>14</v>
      </c>
      <c r="E52" s="203" t="s">
        <v>34</v>
      </c>
      <c r="F52" s="200" t="s">
        <v>14</v>
      </c>
      <c r="G52" s="209" t="s">
        <v>748</v>
      </c>
      <c r="H52" s="210" t="s">
        <v>749</v>
      </c>
      <c r="I52" s="208" t="s">
        <v>750</v>
      </c>
      <c r="J52" s="200" t="s">
        <v>14</v>
      </c>
      <c r="K52" s="200">
        <v>4</v>
      </c>
      <c r="L52" s="200" t="s">
        <v>800</v>
      </c>
      <c r="M52" s="200" t="s">
        <v>30</v>
      </c>
      <c r="N52" s="211"/>
      <c r="O52" s="200" t="s">
        <v>44</v>
      </c>
      <c r="P52" s="200" t="s">
        <v>802</v>
      </c>
    </row>
    <row r="53" spans="1:47" s="212" customFormat="1">
      <c r="A53" s="200">
        <f t="shared" si="0"/>
        <v>48</v>
      </c>
      <c r="B53" s="201" t="s">
        <v>555</v>
      </c>
      <c r="C53" s="200" t="s">
        <v>789</v>
      </c>
      <c r="D53" s="200" t="s">
        <v>14</v>
      </c>
      <c r="E53" s="203" t="s">
        <v>34</v>
      </c>
      <c r="F53" s="200" t="s">
        <v>14</v>
      </c>
      <c r="G53" s="209" t="s">
        <v>786</v>
      </c>
      <c r="H53" s="210" t="s">
        <v>787</v>
      </c>
      <c r="I53" s="208" t="s">
        <v>785</v>
      </c>
      <c r="J53" s="200" t="s">
        <v>14</v>
      </c>
      <c r="K53" s="200">
        <v>1</v>
      </c>
      <c r="L53" s="200" t="s">
        <v>800</v>
      </c>
      <c r="M53" s="200" t="s">
        <v>30</v>
      </c>
      <c r="N53" s="211"/>
      <c r="O53" s="200" t="s">
        <v>44</v>
      </c>
      <c r="P53" s="200" t="s">
        <v>802</v>
      </c>
    </row>
    <row r="54" spans="1:47" s="206" customFormat="1">
      <c r="A54" s="200">
        <f t="shared" si="0"/>
        <v>49</v>
      </c>
      <c r="B54" s="201" t="s">
        <v>556</v>
      </c>
      <c r="C54" s="200" t="s">
        <v>211</v>
      </c>
      <c r="D54" s="200" t="s">
        <v>30</v>
      </c>
      <c r="E54" s="200" t="s">
        <v>527</v>
      </c>
      <c r="F54" s="200" t="s">
        <v>14</v>
      </c>
      <c r="G54" s="204" t="s">
        <v>209</v>
      </c>
      <c r="H54" s="200" t="s">
        <v>210</v>
      </c>
      <c r="I54" s="202" t="s">
        <v>213</v>
      </c>
      <c r="J54" s="200" t="s">
        <v>30</v>
      </c>
      <c r="K54" s="200">
        <v>8</v>
      </c>
      <c r="L54" s="200" t="s">
        <v>800</v>
      </c>
      <c r="M54" s="200" t="s">
        <v>30</v>
      </c>
      <c r="N54" s="205"/>
      <c r="O54" s="200" t="s">
        <v>50</v>
      </c>
      <c r="P54" s="200" t="s">
        <v>803</v>
      </c>
    </row>
    <row r="55" spans="1:47" s="206" customFormat="1">
      <c r="A55" s="200">
        <f t="shared" si="0"/>
        <v>50</v>
      </c>
      <c r="B55" s="201"/>
      <c r="C55" s="200" t="s">
        <v>212</v>
      </c>
      <c r="D55" s="200" t="s">
        <v>30</v>
      </c>
      <c r="E55" s="200" t="s">
        <v>527</v>
      </c>
      <c r="F55" s="200" t="s">
        <v>14</v>
      </c>
      <c r="G55" s="207" t="s">
        <v>209</v>
      </c>
      <c r="H55" s="200" t="s">
        <v>57</v>
      </c>
      <c r="I55" s="202" t="s">
        <v>214</v>
      </c>
      <c r="J55" s="200" t="s">
        <v>30</v>
      </c>
      <c r="K55" s="200"/>
      <c r="L55" s="200" t="s">
        <v>800</v>
      </c>
      <c r="M55" s="200" t="s">
        <v>30</v>
      </c>
      <c r="N55" s="205"/>
      <c r="O55" s="200" t="s">
        <v>50</v>
      </c>
      <c r="P55" s="200" t="s">
        <v>803</v>
      </c>
    </row>
    <row r="56" spans="1:47" s="39" customFormat="1" ht="14.5">
      <c r="A56" s="24">
        <f t="shared" si="0"/>
        <v>51</v>
      </c>
      <c r="B56" s="47" t="s">
        <v>557</v>
      </c>
      <c r="C56" s="24" t="s">
        <v>456</v>
      </c>
      <c r="D56" s="93" t="s">
        <v>30</v>
      </c>
      <c r="E56" s="11" t="s">
        <v>528</v>
      </c>
      <c r="F56" s="24" t="s">
        <v>14</v>
      </c>
      <c r="G56" s="13" t="s">
        <v>424</v>
      </c>
      <c r="H56" s="55" t="s">
        <v>464</v>
      </c>
      <c r="I56" s="55" t="s">
        <v>456</v>
      </c>
      <c r="J56" s="24" t="s">
        <v>30</v>
      </c>
      <c r="K56" s="24">
        <v>1</v>
      </c>
      <c r="L56" s="11" t="s">
        <v>800</v>
      </c>
      <c r="M56" s="11" t="s">
        <v>30</v>
      </c>
      <c r="N56" s="94"/>
      <c r="O56" s="24" t="s">
        <v>50</v>
      </c>
      <c r="P56" s="11" t="s">
        <v>802</v>
      </c>
    </row>
    <row r="57" spans="1:47" s="39" customFormat="1" ht="14.5">
      <c r="A57" s="24">
        <f t="shared" si="0"/>
        <v>52</v>
      </c>
      <c r="B57" s="47"/>
      <c r="C57" s="24" t="s">
        <v>462</v>
      </c>
      <c r="D57" s="93" t="s">
        <v>30</v>
      </c>
      <c r="E57" s="11" t="s">
        <v>528</v>
      </c>
      <c r="F57" s="24" t="s">
        <v>14</v>
      </c>
      <c r="G57" s="13" t="s">
        <v>425</v>
      </c>
      <c r="H57" s="55" t="s">
        <v>464</v>
      </c>
      <c r="I57" s="55" t="s">
        <v>462</v>
      </c>
      <c r="J57" s="24" t="s">
        <v>30</v>
      </c>
      <c r="K57" s="24"/>
      <c r="L57" s="11" t="s">
        <v>800</v>
      </c>
      <c r="M57" s="11" t="s">
        <v>30</v>
      </c>
      <c r="N57" s="94"/>
      <c r="O57" s="24" t="s">
        <v>50</v>
      </c>
      <c r="P57" s="11" t="s">
        <v>802</v>
      </c>
    </row>
    <row r="58" spans="1:47" s="39" customFormat="1" ht="14.5">
      <c r="A58" s="24">
        <f t="shared" si="0"/>
        <v>53</v>
      </c>
      <c r="B58" s="47"/>
      <c r="C58" s="24" t="s">
        <v>463</v>
      </c>
      <c r="D58" s="93" t="s">
        <v>30</v>
      </c>
      <c r="E58" s="11" t="s">
        <v>528</v>
      </c>
      <c r="F58" s="24" t="s">
        <v>14</v>
      </c>
      <c r="G58" s="13" t="s">
        <v>465</v>
      </c>
      <c r="H58" s="55" t="s">
        <v>464</v>
      </c>
      <c r="I58" s="55" t="s">
        <v>463</v>
      </c>
      <c r="J58" s="24" t="s">
        <v>30</v>
      </c>
      <c r="K58" s="24"/>
      <c r="L58" s="11" t="s">
        <v>800</v>
      </c>
      <c r="M58" s="11" t="s">
        <v>30</v>
      </c>
      <c r="N58" s="94"/>
      <c r="O58" s="24" t="s">
        <v>50</v>
      </c>
      <c r="P58" s="11" t="s">
        <v>802</v>
      </c>
    </row>
    <row r="59" spans="1:47" s="45" customFormat="1">
      <c r="A59" s="24">
        <f t="shared" si="0"/>
        <v>54</v>
      </c>
      <c r="B59" s="47"/>
      <c r="C59" s="24" t="s">
        <v>775</v>
      </c>
      <c r="D59" s="93" t="s">
        <v>30</v>
      </c>
      <c r="E59" s="91" t="s">
        <v>528</v>
      </c>
      <c r="F59" s="24" t="s">
        <v>14</v>
      </c>
      <c r="G59" s="13" t="s">
        <v>726</v>
      </c>
      <c r="H59" s="55" t="s">
        <v>464</v>
      </c>
      <c r="I59" s="55" t="str">
        <f>C59</f>
        <v>TEMP-S000229174</v>
      </c>
      <c r="J59" s="24" t="s">
        <v>30</v>
      </c>
      <c r="K59" s="24"/>
      <c r="L59" s="11" t="s">
        <v>800</v>
      </c>
      <c r="M59" s="11" t="s">
        <v>30</v>
      </c>
      <c r="N59" s="94"/>
      <c r="O59" s="24" t="s">
        <v>50</v>
      </c>
      <c r="P59" s="11" t="s">
        <v>802</v>
      </c>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row>
    <row r="60" spans="1:47" s="25" customFormat="1" ht="14.5">
      <c r="A60" s="11">
        <f>ROW(A60)-5</f>
        <v>55</v>
      </c>
      <c r="B60" s="47" t="s">
        <v>752</v>
      </c>
      <c r="C60" s="11" t="s">
        <v>383</v>
      </c>
      <c r="D60" s="11" t="s">
        <v>30</v>
      </c>
      <c r="E60" s="90" t="s">
        <v>34</v>
      </c>
      <c r="F60" s="11" t="s">
        <v>30</v>
      </c>
      <c r="G60" s="53" t="s">
        <v>312</v>
      </c>
      <c r="H60" s="11" t="s">
        <v>51</v>
      </c>
      <c r="I60" s="11" t="s">
        <v>383</v>
      </c>
      <c r="J60" s="50" t="s">
        <v>127</v>
      </c>
      <c r="K60" s="50">
        <v>1</v>
      </c>
      <c r="L60" s="11" t="s">
        <v>800</v>
      </c>
      <c r="M60" s="11" t="s">
        <v>30</v>
      </c>
      <c r="N60" s="69"/>
      <c r="O60" s="52" t="s">
        <v>50</v>
      </c>
      <c r="P60" s="11" t="s">
        <v>802</v>
      </c>
    </row>
    <row r="61" spans="1:47" s="17" customFormat="1">
      <c r="A61" s="11">
        <f t="shared" si="0"/>
        <v>56</v>
      </c>
      <c r="B61" s="47" t="s">
        <v>753</v>
      </c>
      <c r="C61" s="11" t="s">
        <v>249</v>
      </c>
      <c r="D61" s="11" t="s">
        <v>30</v>
      </c>
      <c r="E61" s="92" t="s">
        <v>479</v>
      </c>
      <c r="F61" s="11" t="s">
        <v>14</v>
      </c>
      <c r="G61" s="13" t="s">
        <v>267</v>
      </c>
      <c r="H61" s="11" t="s">
        <v>39</v>
      </c>
      <c r="I61" s="24" t="s">
        <v>233</v>
      </c>
      <c r="J61" s="11" t="s">
        <v>700</v>
      </c>
      <c r="K61" s="11">
        <v>1</v>
      </c>
      <c r="L61" s="11" t="s">
        <v>800</v>
      </c>
      <c r="M61" s="11" t="s">
        <v>30</v>
      </c>
      <c r="N61" s="70" t="s">
        <v>268</v>
      </c>
      <c r="O61" s="11" t="s">
        <v>45</v>
      </c>
      <c r="P61" s="11" t="s">
        <v>802</v>
      </c>
    </row>
    <row r="62" spans="1:47" s="17" customFormat="1">
      <c r="A62" s="11">
        <f t="shared" si="0"/>
        <v>57</v>
      </c>
      <c r="B62" s="47" t="s">
        <v>226</v>
      </c>
      <c r="C62" s="55" t="s">
        <v>796</v>
      </c>
      <c r="D62" s="11" t="s">
        <v>30</v>
      </c>
      <c r="E62" s="92" t="s">
        <v>480</v>
      </c>
      <c r="F62" s="11" t="s">
        <v>14</v>
      </c>
      <c r="G62" s="13" t="s">
        <v>797</v>
      </c>
      <c r="H62" s="11" t="s">
        <v>39</v>
      </c>
      <c r="I62" s="24" t="s">
        <v>234</v>
      </c>
      <c r="J62" s="52" t="s">
        <v>773</v>
      </c>
      <c r="K62" s="11">
        <v>1</v>
      </c>
      <c r="L62" s="11" t="s">
        <v>800</v>
      </c>
      <c r="M62" s="11" t="s">
        <v>30</v>
      </c>
      <c r="N62" s="48" t="s">
        <v>192</v>
      </c>
      <c r="O62" s="11" t="s">
        <v>45</v>
      </c>
      <c r="P62" s="11" t="s">
        <v>802</v>
      </c>
    </row>
    <row r="63" spans="1:47" s="17" customFormat="1">
      <c r="A63" s="11">
        <f t="shared" si="0"/>
        <v>58</v>
      </c>
      <c r="B63" s="47" t="s">
        <v>155</v>
      </c>
      <c r="C63" s="52" t="s">
        <v>782</v>
      </c>
      <c r="D63" s="11" t="s">
        <v>30</v>
      </c>
      <c r="E63" s="92" t="s">
        <v>30</v>
      </c>
      <c r="F63" s="11" t="s">
        <v>14</v>
      </c>
      <c r="G63" s="13" t="s">
        <v>328</v>
      </c>
      <c r="H63" s="11" t="s">
        <v>39</v>
      </c>
      <c r="I63" s="55" t="s">
        <v>783</v>
      </c>
      <c r="J63" s="11" t="s">
        <v>703</v>
      </c>
      <c r="K63" s="11">
        <v>1</v>
      </c>
      <c r="L63" s="11" t="s">
        <v>800</v>
      </c>
      <c r="M63" s="11" t="s">
        <v>30</v>
      </c>
      <c r="N63" s="48" t="s">
        <v>320</v>
      </c>
      <c r="O63" s="11" t="s">
        <v>45</v>
      </c>
      <c r="P63" s="11" t="s">
        <v>802</v>
      </c>
    </row>
    <row r="64" spans="1:47" s="17" customFormat="1">
      <c r="A64" s="11">
        <f t="shared" si="0"/>
        <v>59</v>
      </c>
      <c r="B64" s="47" t="s">
        <v>121</v>
      </c>
      <c r="C64" s="55" t="s">
        <v>770</v>
      </c>
      <c r="D64" s="11" t="s">
        <v>30</v>
      </c>
      <c r="E64" s="92" t="s">
        <v>482</v>
      </c>
      <c r="F64" s="11" t="s">
        <v>14</v>
      </c>
      <c r="G64" s="13" t="s">
        <v>771</v>
      </c>
      <c r="H64" s="11" t="s">
        <v>39</v>
      </c>
      <c r="I64" s="24" t="s">
        <v>236</v>
      </c>
      <c r="J64" s="52" t="s">
        <v>702</v>
      </c>
      <c r="K64" s="11">
        <v>1</v>
      </c>
      <c r="L64" s="11" t="s">
        <v>800</v>
      </c>
      <c r="M64" s="11" t="s">
        <v>30</v>
      </c>
      <c r="N64" s="48" t="s">
        <v>194</v>
      </c>
      <c r="O64" s="11" t="s">
        <v>45</v>
      </c>
      <c r="P64" s="11" t="s">
        <v>802</v>
      </c>
    </row>
    <row r="65" spans="1:16" s="17" customFormat="1">
      <c r="A65" s="11">
        <f t="shared" si="0"/>
        <v>60</v>
      </c>
      <c r="B65" s="47" t="s">
        <v>122</v>
      </c>
      <c r="C65" s="11" t="s">
        <v>637</v>
      </c>
      <c r="D65" s="11" t="s">
        <v>30</v>
      </c>
      <c r="E65" s="92" t="s">
        <v>30</v>
      </c>
      <c r="F65" s="11" t="s">
        <v>14</v>
      </c>
      <c r="G65" s="13" t="s">
        <v>327</v>
      </c>
      <c r="H65" s="11" t="s">
        <v>39</v>
      </c>
      <c r="I65" s="24" t="s">
        <v>459</v>
      </c>
      <c r="J65" s="11" t="s">
        <v>703</v>
      </c>
      <c r="K65" s="11">
        <v>1</v>
      </c>
      <c r="L65" s="11" t="s">
        <v>800</v>
      </c>
      <c r="M65" s="11" t="s">
        <v>30</v>
      </c>
      <c r="N65" s="48" t="s">
        <v>321</v>
      </c>
      <c r="O65" s="11" t="s">
        <v>45</v>
      </c>
      <c r="P65" s="11" t="s">
        <v>802</v>
      </c>
    </row>
    <row r="66" spans="1:16" s="17" customFormat="1">
      <c r="A66" s="11">
        <f t="shared" si="0"/>
        <v>61</v>
      </c>
      <c r="B66" s="47" t="s">
        <v>123</v>
      </c>
      <c r="C66" s="11" t="s">
        <v>251</v>
      </c>
      <c r="D66" s="11" t="s">
        <v>30</v>
      </c>
      <c r="E66" s="92" t="s">
        <v>484</v>
      </c>
      <c r="F66" s="11" t="s">
        <v>14</v>
      </c>
      <c r="G66" s="43" t="s">
        <v>166</v>
      </c>
      <c r="H66" s="11" t="s">
        <v>39</v>
      </c>
      <c r="I66" s="24" t="s">
        <v>238</v>
      </c>
      <c r="J66" s="11" t="s">
        <v>701</v>
      </c>
      <c r="K66" s="11">
        <v>1</v>
      </c>
      <c r="L66" s="11" t="s">
        <v>800</v>
      </c>
      <c r="M66" s="11" t="s">
        <v>30</v>
      </c>
      <c r="N66" s="48" t="s">
        <v>196</v>
      </c>
      <c r="O66" s="11" t="s">
        <v>45</v>
      </c>
      <c r="P66" s="11" t="s">
        <v>802</v>
      </c>
    </row>
    <row r="67" spans="1:16" s="17" customFormat="1">
      <c r="A67" s="11">
        <f t="shared" si="0"/>
        <v>62</v>
      </c>
      <c r="B67" s="47" t="s">
        <v>124</v>
      </c>
      <c r="C67" s="11" t="s">
        <v>252</v>
      </c>
      <c r="D67" s="11" t="s">
        <v>30</v>
      </c>
      <c r="E67" s="92" t="s">
        <v>485</v>
      </c>
      <c r="F67" s="11" t="s">
        <v>14</v>
      </c>
      <c r="G67" s="43" t="s">
        <v>167</v>
      </c>
      <c r="H67" s="11" t="s">
        <v>39</v>
      </c>
      <c r="I67" s="24" t="s">
        <v>239</v>
      </c>
      <c r="J67" s="11" t="s">
        <v>701</v>
      </c>
      <c r="K67" s="11">
        <v>1</v>
      </c>
      <c r="L67" s="11" t="s">
        <v>800</v>
      </c>
      <c r="M67" s="11" t="s">
        <v>30</v>
      </c>
      <c r="N67" s="48" t="s">
        <v>197</v>
      </c>
      <c r="O67" s="11" t="s">
        <v>45</v>
      </c>
      <c r="P67" s="11" t="s">
        <v>802</v>
      </c>
    </row>
    <row r="68" spans="1:16" s="17" customFormat="1">
      <c r="A68" s="11">
        <f t="shared" si="0"/>
        <v>63</v>
      </c>
      <c r="B68" s="47" t="s">
        <v>156</v>
      </c>
      <c r="C68" s="11" t="s">
        <v>253</v>
      </c>
      <c r="D68" s="11" t="s">
        <v>30</v>
      </c>
      <c r="E68" s="92" t="s">
        <v>486</v>
      </c>
      <c r="F68" s="11" t="s">
        <v>14</v>
      </c>
      <c r="G68" s="43" t="s">
        <v>168</v>
      </c>
      <c r="H68" s="11" t="s">
        <v>39</v>
      </c>
      <c r="I68" s="24" t="s">
        <v>240</v>
      </c>
      <c r="J68" s="11" t="s">
        <v>701</v>
      </c>
      <c r="K68" s="11">
        <v>1</v>
      </c>
      <c r="L68" s="11" t="s">
        <v>800</v>
      </c>
      <c r="M68" s="11" t="s">
        <v>30</v>
      </c>
      <c r="N68" s="48" t="s">
        <v>198</v>
      </c>
      <c r="O68" s="11" t="s">
        <v>45</v>
      </c>
      <c r="P68" s="11" t="s">
        <v>802</v>
      </c>
    </row>
    <row r="69" spans="1:16" s="17" customFormat="1">
      <c r="A69" s="11">
        <f t="shared" si="0"/>
        <v>64</v>
      </c>
      <c r="B69" s="47" t="s">
        <v>157</v>
      </c>
      <c r="C69" s="11" t="s">
        <v>254</v>
      </c>
      <c r="D69" s="11" t="s">
        <v>30</v>
      </c>
      <c r="E69" s="92" t="s">
        <v>487</v>
      </c>
      <c r="F69" s="11" t="s">
        <v>14</v>
      </c>
      <c r="G69" s="43" t="s">
        <v>164</v>
      </c>
      <c r="H69" s="11" t="s">
        <v>39</v>
      </c>
      <c r="I69" s="24" t="s">
        <v>241</v>
      </c>
      <c r="J69" s="11" t="s">
        <v>701</v>
      </c>
      <c r="K69" s="11">
        <v>1</v>
      </c>
      <c r="L69" s="11" t="s">
        <v>800</v>
      </c>
      <c r="M69" s="11" t="s">
        <v>30</v>
      </c>
      <c r="N69" s="48" t="s">
        <v>199</v>
      </c>
      <c r="O69" s="11" t="s">
        <v>45</v>
      </c>
      <c r="P69" s="11" t="s">
        <v>802</v>
      </c>
    </row>
    <row r="70" spans="1:16" s="17" customFormat="1">
      <c r="A70" s="11">
        <f t="shared" si="0"/>
        <v>65</v>
      </c>
      <c r="B70" s="47" t="s">
        <v>176</v>
      </c>
      <c r="C70" s="11" t="s">
        <v>323</v>
      </c>
      <c r="D70" s="11" t="s">
        <v>30</v>
      </c>
      <c r="E70" s="92" t="s">
        <v>488</v>
      </c>
      <c r="F70" s="11" t="s">
        <v>14</v>
      </c>
      <c r="G70" s="43" t="s">
        <v>169</v>
      </c>
      <c r="H70" s="11" t="s">
        <v>39</v>
      </c>
      <c r="I70" s="24" t="s">
        <v>242</v>
      </c>
      <c r="J70" s="11" t="s">
        <v>701</v>
      </c>
      <c r="K70" s="11">
        <v>1</v>
      </c>
      <c r="L70" s="11" t="s">
        <v>800</v>
      </c>
      <c r="M70" s="11" t="s">
        <v>30</v>
      </c>
      <c r="N70" s="48" t="s">
        <v>200</v>
      </c>
      <c r="O70" s="11" t="s">
        <v>45</v>
      </c>
      <c r="P70" s="11" t="s">
        <v>802</v>
      </c>
    </row>
    <row r="71" spans="1:16" s="17" customFormat="1">
      <c r="A71" s="11">
        <f t="shared" si="0"/>
        <v>66</v>
      </c>
      <c r="B71" s="47" t="s">
        <v>158</v>
      </c>
      <c r="C71" s="11" t="s">
        <v>255</v>
      </c>
      <c r="D71" s="11" t="s">
        <v>30</v>
      </c>
      <c r="E71" s="92" t="s">
        <v>489</v>
      </c>
      <c r="F71" s="11" t="s">
        <v>14</v>
      </c>
      <c r="G71" s="43" t="s">
        <v>165</v>
      </c>
      <c r="H71" s="11" t="s">
        <v>39</v>
      </c>
      <c r="I71" s="24" t="s">
        <v>243</v>
      </c>
      <c r="J71" s="11" t="s">
        <v>701</v>
      </c>
      <c r="K71" s="11">
        <v>1</v>
      </c>
      <c r="L71" s="11" t="s">
        <v>800</v>
      </c>
      <c r="M71" s="11" t="s">
        <v>30</v>
      </c>
      <c r="N71" s="48" t="s">
        <v>201</v>
      </c>
      <c r="O71" s="11" t="s">
        <v>45</v>
      </c>
      <c r="P71" s="11" t="s">
        <v>802</v>
      </c>
    </row>
    <row r="72" spans="1:16" s="17" customFormat="1">
      <c r="A72" s="11">
        <f t="shared" si="0"/>
        <v>67</v>
      </c>
      <c r="B72" s="47" t="s">
        <v>270</v>
      </c>
      <c r="C72" s="11" t="s">
        <v>256</v>
      </c>
      <c r="D72" s="11" t="s">
        <v>30</v>
      </c>
      <c r="E72" s="92" t="s">
        <v>490</v>
      </c>
      <c r="F72" s="11" t="s">
        <v>14</v>
      </c>
      <c r="G72" s="43" t="s">
        <v>170</v>
      </c>
      <c r="H72" s="11" t="s">
        <v>39</v>
      </c>
      <c r="I72" s="24" t="s">
        <v>244</v>
      </c>
      <c r="J72" s="11" t="s">
        <v>701</v>
      </c>
      <c r="K72" s="11">
        <v>1</v>
      </c>
      <c r="L72" s="11" t="s">
        <v>800</v>
      </c>
      <c r="M72" s="11" t="s">
        <v>30</v>
      </c>
      <c r="N72" s="48" t="s">
        <v>202</v>
      </c>
      <c r="O72" s="11" t="s">
        <v>45</v>
      </c>
      <c r="P72" s="11" t="s">
        <v>802</v>
      </c>
    </row>
    <row r="73" spans="1:16" s="17" customFormat="1">
      <c r="A73" s="11">
        <f t="shared" si="0"/>
        <v>68</v>
      </c>
      <c r="B73" s="47" t="s">
        <v>271</v>
      </c>
      <c r="C73" s="11" t="s">
        <v>262</v>
      </c>
      <c r="D73" s="11" t="s">
        <v>30</v>
      </c>
      <c r="E73" s="92" t="s">
        <v>491</v>
      </c>
      <c r="F73" s="11" t="s">
        <v>14</v>
      </c>
      <c r="G73" s="43" t="s">
        <v>163</v>
      </c>
      <c r="H73" s="11" t="s">
        <v>39</v>
      </c>
      <c r="I73" s="54" t="s">
        <v>265</v>
      </c>
      <c r="J73" s="11" t="s">
        <v>700</v>
      </c>
      <c r="K73" s="11">
        <v>1</v>
      </c>
      <c r="L73" s="11" t="s">
        <v>800</v>
      </c>
      <c r="M73" s="11" t="s">
        <v>30</v>
      </c>
      <c r="N73" s="48" t="s">
        <v>203</v>
      </c>
      <c r="O73" s="11" t="s">
        <v>45</v>
      </c>
      <c r="P73" s="11" t="s">
        <v>802</v>
      </c>
    </row>
    <row r="74" spans="1:16" s="17" customFormat="1">
      <c r="A74" s="11">
        <f t="shared" si="0"/>
        <v>69</v>
      </c>
      <c r="B74" s="47" t="s">
        <v>272</v>
      </c>
      <c r="C74" s="11" t="s">
        <v>257</v>
      </c>
      <c r="D74" s="11" t="s">
        <v>30</v>
      </c>
      <c r="E74" s="92" t="s">
        <v>492</v>
      </c>
      <c r="F74" s="11" t="s">
        <v>14</v>
      </c>
      <c r="G74" s="43" t="s">
        <v>171</v>
      </c>
      <c r="H74" s="11" t="s">
        <v>39</v>
      </c>
      <c r="I74" s="24" t="s">
        <v>245</v>
      </c>
      <c r="J74" s="11" t="s">
        <v>703</v>
      </c>
      <c r="K74" s="11">
        <v>1</v>
      </c>
      <c r="L74" s="11" t="s">
        <v>800</v>
      </c>
      <c r="M74" s="11" t="s">
        <v>30</v>
      </c>
      <c r="N74" s="48" t="s">
        <v>204</v>
      </c>
      <c r="O74" s="11" t="s">
        <v>45</v>
      </c>
      <c r="P74" s="11" t="s">
        <v>802</v>
      </c>
    </row>
    <row r="75" spans="1:16" s="17" customFormat="1">
      <c r="A75" s="11">
        <f t="shared" si="0"/>
        <v>70</v>
      </c>
      <c r="B75" s="47" t="s">
        <v>558</v>
      </c>
      <c r="C75" s="11" t="s">
        <v>258</v>
      </c>
      <c r="D75" s="11" t="s">
        <v>30</v>
      </c>
      <c r="E75" s="92" t="s">
        <v>493</v>
      </c>
      <c r="F75" s="11" t="s">
        <v>14</v>
      </c>
      <c r="G75" s="43" t="s">
        <v>172</v>
      </c>
      <c r="H75" s="11" t="s">
        <v>39</v>
      </c>
      <c r="I75" s="24" t="s">
        <v>246</v>
      </c>
      <c r="J75" s="11" t="s">
        <v>703</v>
      </c>
      <c r="K75" s="11">
        <v>1</v>
      </c>
      <c r="L75" s="11" t="s">
        <v>800</v>
      </c>
      <c r="M75" s="11" t="s">
        <v>30</v>
      </c>
      <c r="N75" s="48" t="s">
        <v>205</v>
      </c>
      <c r="O75" s="11" t="s">
        <v>45</v>
      </c>
      <c r="P75" s="11" t="s">
        <v>802</v>
      </c>
    </row>
    <row r="76" spans="1:16" s="17" customFormat="1">
      <c r="A76" s="11">
        <f t="shared" si="0"/>
        <v>71</v>
      </c>
      <c r="B76" s="47" t="s">
        <v>559</v>
      </c>
      <c r="C76" s="11" t="s">
        <v>259</v>
      </c>
      <c r="D76" s="11" t="s">
        <v>30</v>
      </c>
      <c r="E76" s="92" t="s">
        <v>494</v>
      </c>
      <c r="F76" s="11" t="s">
        <v>14</v>
      </c>
      <c r="G76" s="43" t="s">
        <v>190</v>
      </c>
      <c r="H76" s="11" t="s">
        <v>39</v>
      </c>
      <c r="I76" s="24" t="s">
        <v>247</v>
      </c>
      <c r="J76" s="11" t="s">
        <v>703</v>
      </c>
      <c r="K76" s="11">
        <v>1</v>
      </c>
      <c r="L76" s="11" t="s">
        <v>800</v>
      </c>
      <c r="M76" s="11" t="s">
        <v>30</v>
      </c>
      <c r="N76" s="48" t="s">
        <v>206</v>
      </c>
      <c r="O76" s="11" t="s">
        <v>45</v>
      </c>
      <c r="P76" s="11" t="s">
        <v>802</v>
      </c>
    </row>
    <row r="77" spans="1:16" s="17" customFormat="1">
      <c r="A77" s="11">
        <f t="shared" si="0"/>
        <v>72</v>
      </c>
      <c r="B77" s="47" t="s">
        <v>754</v>
      </c>
      <c r="C77" s="11" t="s">
        <v>260</v>
      </c>
      <c r="D77" s="11" t="s">
        <v>30</v>
      </c>
      <c r="E77" s="92" t="s">
        <v>495</v>
      </c>
      <c r="F77" s="11" t="s">
        <v>14</v>
      </c>
      <c r="G77" s="43" t="s">
        <v>191</v>
      </c>
      <c r="H77" s="11" t="s">
        <v>39</v>
      </c>
      <c r="I77" s="24" t="s">
        <v>248</v>
      </c>
      <c r="J77" s="11" t="s">
        <v>703</v>
      </c>
      <c r="K77" s="11">
        <v>1</v>
      </c>
      <c r="L77" s="11" t="s">
        <v>800</v>
      </c>
      <c r="M77" s="11" t="s">
        <v>30</v>
      </c>
      <c r="N77" s="48" t="s">
        <v>207</v>
      </c>
      <c r="O77" s="11" t="s">
        <v>45</v>
      </c>
      <c r="P77" s="11" t="s">
        <v>802</v>
      </c>
    </row>
    <row r="78" spans="1:16" s="17" customFormat="1">
      <c r="A78" s="11">
        <f t="shared" si="0"/>
        <v>73</v>
      </c>
      <c r="B78" s="47" t="s">
        <v>755</v>
      </c>
      <c r="C78" s="11" t="s">
        <v>263</v>
      </c>
      <c r="D78" s="11" t="s">
        <v>30</v>
      </c>
      <c r="E78" s="92" t="s">
        <v>496</v>
      </c>
      <c r="F78" s="11" t="s">
        <v>14</v>
      </c>
      <c r="G78" s="43" t="s">
        <v>208</v>
      </c>
      <c r="H78" s="11" t="s">
        <v>39</v>
      </c>
      <c r="I78" s="24" t="s">
        <v>264</v>
      </c>
      <c r="J78" s="11" t="s">
        <v>703</v>
      </c>
      <c r="K78" s="11">
        <v>1</v>
      </c>
      <c r="L78" s="11" t="s">
        <v>800</v>
      </c>
      <c r="M78" s="11" t="s">
        <v>30</v>
      </c>
      <c r="N78" s="48" t="s">
        <v>215</v>
      </c>
      <c r="O78" s="11" t="s">
        <v>45</v>
      </c>
      <c r="P78" s="11" t="s">
        <v>802</v>
      </c>
    </row>
    <row r="79" spans="1:16" s="17" customFormat="1">
      <c r="A79" s="11">
        <f t="shared" si="0"/>
        <v>74</v>
      </c>
      <c r="B79" s="47" t="s">
        <v>791</v>
      </c>
      <c r="C79" s="52" t="s">
        <v>778</v>
      </c>
      <c r="D79" s="11" t="s">
        <v>30</v>
      </c>
      <c r="E79" s="91" t="s">
        <v>497</v>
      </c>
      <c r="F79" s="11" t="s">
        <v>14</v>
      </c>
      <c r="G79" s="13" t="s">
        <v>533</v>
      </c>
      <c r="H79" s="52" t="s">
        <v>585</v>
      </c>
      <c r="I79" s="55" t="s">
        <v>780</v>
      </c>
      <c r="J79" s="11" t="s">
        <v>30</v>
      </c>
      <c r="K79" s="11">
        <v>1</v>
      </c>
      <c r="L79" s="11" t="s">
        <v>800</v>
      </c>
      <c r="M79" s="11" t="s">
        <v>30</v>
      </c>
      <c r="N79" s="71" t="s">
        <v>461</v>
      </c>
      <c r="O79" s="11" t="s">
        <v>269</v>
      </c>
      <c r="P79" s="11" t="s">
        <v>802</v>
      </c>
    </row>
    <row r="80" spans="1:16" s="17" customFormat="1">
      <c r="A80" s="11">
        <f t="shared" si="0"/>
        <v>75</v>
      </c>
      <c r="B80" s="47"/>
      <c r="C80" s="52" t="s">
        <v>779</v>
      </c>
      <c r="D80" s="11" t="s">
        <v>30</v>
      </c>
      <c r="E80" s="91" t="s">
        <v>497</v>
      </c>
      <c r="F80" s="11" t="s">
        <v>14</v>
      </c>
      <c r="G80" s="13" t="s">
        <v>533</v>
      </c>
      <c r="H80" s="52" t="s">
        <v>586</v>
      </c>
      <c r="I80" s="55" t="s">
        <v>781</v>
      </c>
      <c r="J80" s="11" t="s">
        <v>30</v>
      </c>
      <c r="K80" s="11"/>
      <c r="L80" s="11" t="s">
        <v>800</v>
      </c>
      <c r="M80" s="11" t="s">
        <v>30</v>
      </c>
      <c r="N80" s="48"/>
      <c r="O80" s="11" t="s">
        <v>269</v>
      </c>
      <c r="P80" s="11" t="s">
        <v>802</v>
      </c>
    </row>
    <row r="81" spans="1:16" s="25" customFormat="1">
      <c r="A81" s="11">
        <v>63</v>
      </c>
      <c r="B81" s="47" t="s">
        <v>561</v>
      </c>
      <c r="C81" s="96" t="s">
        <v>564</v>
      </c>
      <c r="D81" s="11" t="s">
        <v>30</v>
      </c>
      <c r="E81" s="91" t="s">
        <v>34</v>
      </c>
      <c r="F81" s="11" t="s">
        <v>30</v>
      </c>
      <c r="G81" s="53" t="s">
        <v>565</v>
      </c>
      <c r="H81" s="11" t="s">
        <v>566</v>
      </c>
      <c r="I81" s="11" t="s">
        <v>762</v>
      </c>
      <c r="J81" s="50" t="s">
        <v>127</v>
      </c>
      <c r="K81" s="50">
        <v>1</v>
      </c>
      <c r="L81" s="11" t="s">
        <v>800</v>
      </c>
      <c r="M81" s="11" t="s">
        <v>30</v>
      </c>
      <c r="N81" s="48" t="s">
        <v>567</v>
      </c>
      <c r="O81" s="52" t="s">
        <v>562</v>
      </c>
      <c r="P81" s="11" t="s">
        <v>802</v>
      </c>
    </row>
    <row r="82" spans="1:16">
      <c r="A82" s="45">
        <f t="shared" ref="A82:A84" si="2">ROW(A82)-5</f>
        <v>77</v>
      </c>
      <c r="B82" s="47" t="s">
        <v>756</v>
      </c>
      <c r="C82" s="96" t="s">
        <v>569</v>
      </c>
      <c r="D82" s="99" t="s">
        <v>14</v>
      </c>
      <c r="E82" s="45" t="s">
        <v>34</v>
      </c>
      <c r="F82" s="45" t="s">
        <v>14</v>
      </c>
      <c r="G82" s="53" t="s">
        <v>570</v>
      </c>
      <c r="H82" s="11" t="s">
        <v>20</v>
      </c>
      <c r="I82" s="11" t="s">
        <v>763</v>
      </c>
      <c r="J82" s="99" t="s">
        <v>14</v>
      </c>
      <c r="K82" s="50">
        <v>3</v>
      </c>
      <c r="L82" s="11" t="s">
        <v>800</v>
      </c>
      <c r="M82" s="11" t="s">
        <v>30</v>
      </c>
      <c r="N82" s="48" t="s">
        <v>573</v>
      </c>
      <c r="O82" s="101" t="s">
        <v>129</v>
      </c>
      <c r="P82" s="11" t="s">
        <v>802</v>
      </c>
    </row>
    <row r="83" spans="1:16">
      <c r="A83" s="45">
        <f t="shared" si="2"/>
        <v>78</v>
      </c>
      <c r="B83" s="47" t="s">
        <v>759</v>
      </c>
      <c r="C83" s="96" t="s">
        <v>760</v>
      </c>
      <c r="D83" s="99" t="s">
        <v>14</v>
      </c>
      <c r="E83" s="45" t="s">
        <v>34</v>
      </c>
      <c r="F83" s="45" t="s">
        <v>14</v>
      </c>
      <c r="G83" s="53" t="s">
        <v>572</v>
      </c>
      <c r="H83" s="11" t="s">
        <v>20</v>
      </c>
      <c r="I83" s="11" t="s">
        <v>764</v>
      </c>
      <c r="J83" s="99" t="s">
        <v>14</v>
      </c>
      <c r="K83" s="50">
        <v>4</v>
      </c>
      <c r="L83" s="11" t="s">
        <v>800</v>
      </c>
      <c r="M83" s="11" t="s">
        <v>30</v>
      </c>
      <c r="N83" s="48" t="s">
        <v>804</v>
      </c>
      <c r="O83" s="101" t="s">
        <v>129</v>
      </c>
      <c r="P83" s="11" t="s">
        <v>802</v>
      </c>
    </row>
    <row r="84" spans="1:16">
      <c r="A84" s="11">
        <f t="shared" si="2"/>
        <v>79</v>
      </c>
      <c r="B84" s="47" t="s">
        <v>792</v>
      </c>
      <c r="C84" s="96" t="s">
        <v>761</v>
      </c>
      <c r="D84" s="11" t="s">
        <v>30</v>
      </c>
      <c r="E84" s="50" t="s">
        <v>34</v>
      </c>
      <c r="F84" s="11" t="s">
        <v>30</v>
      </c>
      <c r="G84" s="53" t="s">
        <v>230</v>
      </c>
      <c r="H84" s="11" t="s">
        <v>154</v>
      </c>
      <c r="I84" s="11" t="s">
        <v>765</v>
      </c>
      <c r="J84" s="50" t="s">
        <v>127</v>
      </c>
      <c r="K84" s="50">
        <v>1</v>
      </c>
      <c r="L84" s="11" t="s">
        <v>800</v>
      </c>
      <c r="M84" s="11" t="s">
        <v>30</v>
      </c>
      <c r="N84" s="48"/>
      <c r="O84" s="52" t="s">
        <v>129</v>
      </c>
      <c r="P84" s="11" t="s">
        <v>803</v>
      </c>
    </row>
    <row r="85" spans="1:16">
      <c r="B85" s="3"/>
      <c r="C85" s="2"/>
      <c r="H85" s="5"/>
      <c r="I85" s="2"/>
    </row>
    <row r="86" spans="1:16">
      <c r="A86" s="17"/>
      <c r="B86" s="1" t="s">
        <v>15</v>
      </c>
      <c r="C86" s="10" t="s">
        <v>16</v>
      </c>
      <c r="D86" s="18"/>
      <c r="E86" s="17"/>
      <c r="F86" s="17"/>
      <c r="G86" s="4"/>
      <c r="H86" s="17"/>
      <c r="I86" s="17"/>
      <c r="J86" s="17"/>
      <c r="O86" s="17"/>
      <c r="P86" s="17"/>
    </row>
    <row r="87" spans="1:16">
      <c r="A87" s="17"/>
      <c r="B87" s="17"/>
      <c r="C87" s="15" t="s">
        <v>5</v>
      </c>
      <c r="D87" s="17"/>
      <c r="E87" s="17"/>
      <c r="F87" s="17"/>
      <c r="G87" s="16"/>
      <c r="H87" s="17"/>
      <c r="I87" s="17"/>
      <c r="J87" s="17"/>
      <c r="O87" s="17"/>
      <c r="P87" s="17"/>
    </row>
    <row r="88" spans="1:16">
      <c r="A88" s="17"/>
      <c r="B88" s="17"/>
      <c r="C88" s="19" t="s">
        <v>6</v>
      </c>
      <c r="D88" s="17"/>
      <c r="E88" s="17"/>
      <c r="F88" s="17"/>
      <c r="G88" s="16"/>
      <c r="H88" s="17"/>
      <c r="I88" s="17"/>
      <c r="J88" s="17"/>
      <c r="O88" s="17"/>
      <c r="P88" s="17"/>
    </row>
    <row r="89" spans="1:16">
      <c r="C89" s="20" t="s">
        <v>52</v>
      </c>
      <c r="G89" s="18"/>
    </row>
    <row r="90" spans="1:16" ht="46.5">
      <c r="C90" s="29" t="s">
        <v>53</v>
      </c>
    </row>
    <row r="91" spans="1:16">
      <c r="K91" s="7"/>
      <c r="L91" s="7"/>
      <c r="M91" s="7"/>
    </row>
    <row r="92" spans="1:16">
      <c r="G92" s="22"/>
    </row>
  </sheetData>
  <autoFilter ref="A5:P5" xr:uid="{364CD9EF-4F54-43F6-9DD1-71248D3D3831}"/>
  <mergeCells count="4">
    <mergeCell ref="A3:B3"/>
    <mergeCell ref="A4:B4"/>
    <mergeCell ref="A1:P1"/>
    <mergeCell ref="A2:P2"/>
  </mergeCells>
  <phoneticPr fontId="18" type="noConversion"/>
  <conditionalFormatting sqref="A1:A2 N3:N5 O3:O50 A7:K10 N7:N27 L7:M84 F11:K19 H20:K21 N31:N32 N34:N35 N37:N42 A40:K40 J43:K53 A54:K55 N60:N78 H84:J84 A85:O1048576">
    <cfRule type="containsText" dxfId="503" priority="289" operator="containsText" text="TBD">
      <formula>NOT(ISERROR(SEARCH("TBD",A1)))</formula>
    </cfRule>
  </conditionalFormatting>
  <conditionalFormatting sqref="A21:B26">
    <cfRule type="containsText" dxfId="502" priority="279" operator="containsText" text="TBD">
      <formula>NOT(ISERROR(SEARCH("TBD",A21)))</formula>
    </cfRule>
  </conditionalFormatting>
  <conditionalFormatting sqref="A28:B28">
    <cfRule type="containsText" dxfId="501" priority="235" operator="containsText" text="TBD">
      <formula>NOT(ISERROR(SEARCH("TBD",A28)))</formula>
    </cfRule>
  </conditionalFormatting>
  <conditionalFormatting sqref="A43:B45">
    <cfRule type="containsText" dxfId="500" priority="129" operator="containsText" text="TBD">
      <formula>NOT(ISERROR(SEARCH("TBD",A43)))</formula>
    </cfRule>
  </conditionalFormatting>
  <conditionalFormatting sqref="A56:B59 D56:D59 F56:K78">
    <cfRule type="containsText" dxfId="499" priority="44" operator="containsText" text="TBD">
      <formula>NOT(ISERROR(SEARCH("TBD",A56)))</formula>
    </cfRule>
  </conditionalFormatting>
  <conditionalFormatting sqref="A50:C53">
    <cfRule type="containsText" dxfId="498" priority="36" operator="containsText" text="TBD">
      <formula>NOT(ISERROR(SEARCH("TBD",A50)))</formula>
    </cfRule>
  </conditionalFormatting>
  <conditionalFormatting sqref="A11:D20">
    <cfRule type="containsText" dxfId="497" priority="287" operator="containsText" text="TBD">
      <formula>NOT(ISERROR(SEARCH("TBD",A11)))</formula>
    </cfRule>
  </conditionalFormatting>
  <conditionalFormatting sqref="A60:D61 B62:B79">
    <cfRule type="containsText" dxfId="496" priority="273" operator="containsText" text="TBD">
      <formula>NOT(ISERROR(SEARCH("TBD",A60)))</formula>
    </cfRule>
  </conditionalFormatting>
  <conditionalFormatting sqref="A41:F42">
    <cfRule type="containsText" dxfId="495" priority="266" operator="containsText" text="TBD">
      <formula>NOT(ISERROR(SEARCH("TBD",A41)))</formula>
    </cfRule>
  </conditionalFormatting>
  <conditionalFormatting sqref="A27:G27">
    <cfRule type="containsText" dxfId="494" priority="264" operator="containsText" text="TBD">
      <formula>NOT(ISERROR(SEARCH("TBD",A27)))</formula>
    </cfRule>
  </conditionalFormatting>
  <conditionalFormatting sqref="A29:G30">
    <cfRule type="containsText" dxfId="493" priority="224" operator="containsText" text="TBD">
      <formula>NOT(ISERROR(SEARCH("TBD",A29)))</formula>
    </cfRule>
  </conditionalFormatting>
  <conditionalFormatting sqref="A82:G84">
    <cfRule type="containsText" dxfId="492" priority="53" operator="containsText" text="TBD">
      <formula>NOT(ISERROR(SEARCH("TBD",A82)))</formula>
    </cfRule>
  </conditionalFormatting>
  <conditionalFormatting sqref="A46:I49">
    <cfRule type="containsText" dxfId="491" priority="115" operator="containsText" text="TBD">
      <formula>NOT(ISERROR(SEARCH("TBD",A46)))</formula>
    </cfRule>
  </conditionalFormatting>
  <conditionalFormatting sqref="A81:K81">
    <cfRule type="containsText" dxfId="490" priority="146" operator="containsText" text="TBD">
      <formula>NOT(ISERROR(SEARCH("TBD",A81)))</formula>
    </cfRule>
  </conditionalFormatting>
  <conditionalFormatting sqref="A3:M4">
    <cfRule type="containsText" dxfId="489" priority="111" operator="containsText" text="TBD">
      <formula>NOT(ISERROR(SEARCH("TBD",A3)))</formula>
    </cfRule>
  </conditionalFormatting>
  <conditionalFormatting sqref="A5:O6">
    <cfRule type="containsText" dxfId="488" priority="108" operator="containsText" text="TBD">
      <formula>NOT(ISERROR(SEARCH("TBD",A5)))</formula>
    </cfRule>
  </conditionalFormatting>
  <conditionalFormatting sqref="C27:C31">
    <cfRule type="containsText" dxfId="487" priority="225" operator="containsText" text="TBD">
      <formula>NOT(ISERROR(SEARCH("TBD",C27)))</formula>
    </cfRule>
  </conditionalFormatting>
  <conditionalFormatting sqref="C33:C40">
    <cfRule type="containsText" dxfId="486" priority="165" operator="containsText" text="TBD">
      <formula>NOT(ISERROR(SEARCH("TBD",C33)))</formula>
    </cfRule>
  </conditionalFormatting>
  <conditionalFormatting sqref="C42:C45">
    <cfRule type="containsText" dxfId="485" priority="117" operator="containsText" text="TBD">
      <formula>NOT(ISERROR(SEARCH("TBD",C42)))</formula>
    </cfRule>
  </conditionalFormatting>
  <conditionalFormatting sqref="C55:C60">
    <cfRule type="containsText" dxfId="484" priority="45" operator="containsText" text="TBD">
      <formula>NOT(ISERROR(SEARCH("TBD",C55)))</formula>
    </cfRule>
  </conditionalFormatting>
  <conditionalFormatting sqref="C86:C89">
    <cfRule type="containsText" dxfId="483" priority="294" operator="containsText" text="TBD">
      <formula>NOT(ISERROR(SEARCH("TBD",C86)))</formula>
    </cfRule>
  </conditionalFormatting>
  <conditionalFormatting sqref="C21:D24">
    <cfRule type="containsText" dxfId="482" priority="238" operator="containsText" text="TBD">
      <formula>NOT(ISERROR(SEARCH("TBD",C21)))</formula>
    </cfRule>
  </conditionalFormatting>
  <conditionalFormatting sqref="C61:D78">
    <cfRule type="containsText" dxfId="481" priority="62" operator="containsText" text="TBD">
      <formula>NOT(ISERROR(SEARCH("TBD",C61)))</formula>
    </cfRule>
  </conditionalFormatting>
  <conditionalFormatting sqref="C25:G26">
    <cfRule type="containsText" dxfId="480" priority="284" operator="containsText" text="TBD">
      <formula>NOT(ISERROR(SEARCH("TBD",C25)))</formula>
    </cfRule>
  </conditionalFormatting>
  <conditionalFormatting sqref="C79:K80">
    <cfRule type="containsText" dxfId="479" priority="46" operator="containsText" text="TBD">
      <formula>NOT(ISERROR(SEARCH("TBD",C79)))</formula>
    </cfRule>
  </conditionalFormatting>
  <conditionalFormatting sqref="D31:F31 C32:F32">
    <cfRule type="containsText" dxfId="478" priority="283" operator="containsText" text="TBD">
      <formula>NOT(ISERROR(SEARCH("TBD",C31)))</formula>
    </cfRule>
  </conditionalFormatting>
  <conditionalFormatting sqref="D33:F34">
    <cfRule type="containsText" dxfId="477" priority="177" operator="containsText" text="TBD">
      <formula>NOT(ISERROR(SEARCH("TBD",D33)))</formula>
    </cfRule>
  </conditionalFormatting>
  <conditionalFormatting sqref="D43:F45">
    <cfRule type="containsText" dxfId="476" priority="130" operator="containsText" text="TBD">
      <formula>NOT(ISERROR(SEARCH("TBD",D43)))</formula>
    </cfRule>
  </conditionalFormatting>
  <conditionalFormatting sqref="D52:F52">
    <cfRule type="containsText" dxfId="475" priority="75" operator="containsText" text="TBD">
      <formula>NOT(ISERROR(SEARCH("TBD",D52)))</formula>
    </cfRule>
  </conditionalFormatting>
  <conditionalFormatting sqref="D28:G28">
    <cfRule type="containsText" dxfId="474" priority="228" operator="containsText" text="TBD">
      <formula>NOT(ISERROR(SEARCH("TBD",D28)))</formula>
    </cfRule>
  </conditionalFormatting>
  <conditionalFormatting sqref="D35:G39">
    <cfRule type="containsText" dxfId="473" priority="162" operator="containsText" text="TBD">
      <formula>NOT(ISERROR(SEARCH("TBD",D35)))</formula>
    </cfRule>
  </conditionalFormatting>
  <conditionalFormatting sqref="D51:G51">
    <cfRule type="containsText" dxfId="472" priority="73" operator="containsText" text="TBD">
      <formula>NOT(ISERROR(SEARCH("TBD",D51)))</formula>
    </cfRule>
  </conditionalFormatting>
  <conditionalFormatting sqref="D53:H53">
    <cfRule type="containsText" dxfId="471" priority="41" operator="containsText" text="TBD">
      <formula>NOT(ISERROR(SEARCH("TBD",D53)))</formula>
    </cfRule>
  </conditionalFormatting>
  <conditionalFormatting sqref="E11:E23">
    <cfRule type="containsText" dxfId="470" priority="131" operator="containsText" text="TBD">
      <formula>NOT(ISERROR(SEARCH("TBD",E11)))</formula>
    </cfRule>
  </conditionalFormatting>
  <conditionalFormatting sqref="E33">
    <cfRule type="containsText" dxfId="469" priority="175" operator="containsText" text="TBD">
      <formula>NOT(ISERROR(SEARCH("TBD",E33)))</formula>
    </cfRule>
  </conditionalFormatting>
  <conditionalFormatting sqref="E50:E53">
    <cfRule type="containsText" dxfId="468" priority="39" operator="containsText" text="TBD">
      <formula>NOT(ISERROR(SEARCH("TBD",E50)))</formula>
    </cfRule>
  </conditionalFormatting>
  <conditionalFormatting sqref="E55:E78">
    <cfRule type="containsText" dxfId="467" priority="42" operator="containsText" text="TBD">
      <formula>NOT(ISERROR(SEARCH("TBD",E55)))</formula>
    </cfRule>
  </conditionalFormatting>
  <conditionalFormatting sqref="F20:F21">
    <cfRule type="containsText" dxfId="466" priority="293" operator="containsText" text="TBD">
      <formula>NOT(ISERROR(SEARCH("TBD",F20)))</formula>
    </cfRule>
  </conditionalFormatting>
  <conditionalFormatting sqref="F22:K24">
    <cfRule type="containsText" dxfId="465" priority="237" operator="containsText" text="TBD">
      <formula>NOT(ISERROR(SEARCH("TBD",F22)))</formula>
    </cfRule>
  </conditionalFormatting>
  <conditionalFormatting sqref="G31:G34">
    <cfRule type="containsText" dxfId="464" priority="170" operator="containsText" text="TBD">
      <formula>NOT(ISERROR(SEARCH("TBD",G31)))</formula>
    </cfRule>
  </conditionalFormatting>
  <conditionalFormatting sqref="G41:G45">
    <cfRule type="containsText" dxfId="463" priority="127" operator="containsText" text="TBD">
      <formula>NOT(ISERROR(SEARCH("TBD",G41)))</formula>
    </cfRule>
  </conditionalFormatting>
  <conditionalFormatting sqref="G50:G53">
    <cfRule type="containsText" dxfId="462" priority="38" operator="containsText" text="TBD">
      <formula>NOT(ISERROR(SEARCH("TBD",G50)))</formula>
    </cfRule>
  </conditionalFormatting>
  <conditionalFormatting sqref="H25:H39 A31:B39">
    <cfRule type="containsText" dxfId="461" priority="169" operator="containsText" text="TBD">
      <formula>NOT(ISERROR(SEARCH("TBD",A25)))</formula>
    </cfRule>
  </conditionalFormatting>
  <conditionalFormatting sqref="H50:H52">
    <cfRule type="containsText" dxfId="460" priority="70" operator="containsText" text="TBD">
      <formula>NOT(ISERROR(SEARCH("TBD",H50)))</formula>
    </cfRule>
  </conditionalFormatting>
  <conditionalFormatting sqref="H43:I45">
    <cfRule type="containsText" dxfId="459" priority="120" operator="containsText" text="TBD">
      <formula>NOT(ISERROR(SEARCH("TBD",H43)))</formula>
    </cfRule>
  </conditionalFormatting>
  <conditionalFormatting sqref="H81:I84">
    <cfRule type="containsText" dxfId="458" priority="138" operator="containsText" text="TBD">
      <formula>NOT(ISERROR(SEARCH("TBD",H81)))</formula>
    </cfRule>
  </conditionalFormatting>
  <conditionalFormatting sqref="H41:K42">
    <cfRule type="containsText" dxfId="457" priority="270" operator="containsText" text="TBD">
      <formula>NOT(ISERROR(SEARCH("TBD",H41)))</formula>
    </cfRule>
  </conditionalFormatting>
  <conditionalFormatting sqref="I33">
    <cfRule type="containsText" dxfId="456" priority="171" operator="containsText" text="TBD">
      <formula>NOT(ISERROR(SEARCH("TBD",I33)))</formula>
    </cfRule>
  </conditionalFormatting>
  <conditionalFormatting sqref="I50:I53">
    <cfRule type="containsText" dxfId="455" priority="37" operator="containsText" text="TBD">
      <formula>NOT(ISERROR(SEARCH("TBD",I50)))</formula>
    </cfRule>
  </conditionalFormatting>
  <conditionalFormatting sqref="I25:K32">
    <cfRule type="containsText" dxfId="454" priority="226" operator="containsText" text="TBD">
      <formula>NOT(ISERROR(SEARCH("TBD",I25)))</formula>
    </cfRule>
  </conditionalFormatting>
  <conditionalFormatting sqref="I36:K39">
    <cfRule type="containsText" dxfId="453" priority="163" operator="containsText" text="TBD">
      <formula>NOT(ISERROR(SEARCH("TBD",I36)))</formula>
    </cfRule>
  </conditionalFormatting>
  <conditionalFormatting sqref="J82:J83">
    <cfRule type="containsText" dxfId="452" priority="141" operator="containsText" text="TBD">
      <formula>NOT(ISERROR(SEARCH("TBD",J82)))</formula>
    </cfRule>
  </conditionalFormatting>
  <conditionalFormatting sqref="J33:K35">
    <cfRule type="containsText" dxfId="451" priority="161" operator="containsText" text="TBD">
      <formula>NOT(ISERROR(SEARCH("TBD",J33)))</formula>
    </cfRule>
  </conditionalFormatting>
  <conditionalFormatting sqref="K82:K84">
    <cfRule type="containsText" dxfId="450" priority="52" operator="containsText" text="TBD">
      <formula>NOT(ISERROR(SEARCH("TBD",K82)))</formula>
    </cfRule>
  </conditionalFormatting>
  <conditionalFormatting sqref="N80:N84">
    <cfRule type="containsText" dxfId="449" priority="2" operator="containsText" text="TBD">
      <formula>NOT(ISERROR(SEARCH("TBD",N80)))</formula>
    </cfRule>
  </conditionalFormatting>
  <conditionalFormatting sqref="N28:O30">
    <cfRule type="containsText" dxfId="448" priority="222" operator="containsText" text="TBD">
      <formula>NOT(ISERROR(SEARCH("TBD",N28)))</formula>
    </cfRule>
  </conditionalFormatting>
  <conditionalFormatting sqref="N33:O33">
    <cfRule type="containsText" dxfId="447" priority="172" operator="containsText" text="TBD">
      <formula>NOT(ISERROR(SEARCH("TBD",N33)))</formula>
    </cfRule>
  </conditionalFormatting>
  <conditionalFormatting sqref="N36:O36">
    <cfRule type="containsText" dxfId="446" priority="164" operator="containsText" text="TBD">
      <formula>NOT(ISERROR(SEARCH("TBD",N36)))</formula>
    </cfRule>
  </conditionalFormatting>
  <conditionalFormatting sqref="N43:O59">
    <cfRule type="containsText" dxfId="445" priority="91" operator="containsText" text="TBD">
      <formula>NOT(ISERROR(SEARCH("TBD",N43)))</formula>
    </cfRule>
  </conditionalFormatting>
  <conditionalFormatting sqref="N79:O79">
    <cfRule type="containsText" dxfId="444" priority="252" operator="containsText" text="TBD">
      <formula>NOT(ISERROR(SEARCH("TBD",N79)))</formula>
    </cfRule>
  </conditionalFormatting>
  <conditionalFormatting sqref="O60:O84">
    <cfRule type="containsText" dxfId="443" priority="139" operator="containsText" text="TBD">
      <formula>NOT(ISERROR(SEARCH("TBD",O60)))</formula>
    </cfRule>
  </conditionalFormatting>
  <conditionalFormatting sqref="O83">
    <cfRule type="containsText" dxfId="442" priority="137" operator="containsText" text="Group A">
      <formula>NOT(ISERROR(SEARCH("Group A",O83)))</formula>
    </cfRule>
    <cfRule type="containsText" dxfId="441" priority="136" operator="containsText" text="Group A">
      <formula>NOT(ISERROR(SEARCH("Group A",O83)))</formula>
    </cfRule>
    <cfRule type="containsText" dxfId="440" priority="135" operator="containsText" text="Group B">
      <formula>NOT(ISERROR(SEARCH("Group B",O83)))</formula>
    </cfRule>
    <cfRule type="containsText" dxfId="439" priority="134" operator="containsText" text="Group A">
      <formula>NOT(ISERROR(SEARCH("Group A",O83)))</formula>
    </cfRule>
  </conditionalFormatting>
  <conditionalFormatting sqref="P3:P53 P56:P1048576">
    <cfRule type="containsText" dxfId="438" priority="12" operator="containsText" text="TBD">
      <formula>NOT(ISERROR(SEARCH("TBD",P3)))</formula>
    </cfRule>
  </conditionalFormatting>
  <conditionalFormatting sqref="P7:P14">
    <cfRule type="containsText" dxfId="437" priority="5" operator="containsText" text="TBD">
      <formula>NOT(ISERROR(SEARCH("TBD",P7)))</formula>
    </cfRule>
  </conditionalFormatting>
  <conditionalFormatting sqref="P24">
    <cfRule type="containsText" dxfId="436" priority="4" operator="containsText" text="TBD">
      <formula>NOT(ISERROR(SEARCH("TBD",P24)))</formula>
    </cfRule>
  </conditionalFormatting>
  <conditionalFormatting sqref="P81">
    <cfRule type="containsText" dxfId="435" priority="8" operator="containsText" text="Group A">
      <formula>NOT(ISERROR(SEARCH("Group A",P81)))</formula>
    </cfRule>
    <cfRule type="containsText" dxfId="434" priority="10" operator="containsText" text="Group A">
      <formula>NOT(ISERROR(SEARCH("Group A",P81)))</formula>
    </cfRule>
    <cfRule type="containsText" dxfId="433" priority="9" operator="containsText" text="Group B">
      <formula>NOT(ISERROR(SEARCH("Group B",P81)))</formula>
    </cfRule>
    <cfRule type="containsText" dxfId="432" priority="11" operator="containsText" text="Group A">
      <formula>NOT(ISERROR(SEARCH("Group A",P81)))</formula>
    </cfRule>
  </conditionalFormatting>
  <conditionalFormatting sqref="P84">
    <cfRule type="containsText" dxfId="431" priority="3" operator="containsText" text="TBD">
      <formula>NOT(ISERROR(SEARCH("TBD",P84)))</formula>
    </cfRule>
  </conditionalFormatting>
  <conditionalFormatting sqref="Q1:XFD58 D50:F50">
    <cfRule type="containsText" dxfId="430" priority="99" operator="containsText" text="TBD">
      <formula>NOT(ISERROR(SEARCH("TBD",D1)))</formula>
    </cfRule>
  </conditionalFormatting>
  <conditionalFormatting sqref="Q60:XFD1048576 A61:A79 A80:B80">
    <cfRule type="containsText" dxfId="429" priority="278" operator="containsText" text="TBD">
      <formula>NOT(ISERROR(SEARCH("TBD",A60)))</formula>
    </cfRule>
  </conditionalFormatting>
  <conditionalFormatting sqref="P54:P55">
    <cfRule type="containsText" dxfId="1" priority="1" operator="containsText" text="TBD">
      <formula>NOT(ISERROR(SEARCH("TBD",P54)))</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99B1A-AB98-4772-B402-B8BE871E85E6}">
  <sheetPr>
    <tabColor theme="8" tint="0.59999389629810485"/>
  </sheetPr>
  <dimension ref="A1:AU92"/>
  <sheetViews>
    <sheetView tabSelected="1" zoomScale="55" zoomScaleNormal="55" workbookViewId="0">
      <pane ySplit="5" topLeftCell="A9" activePane="bottomLeft" state="frozen"/>
      <selection activeCell="I40" sqref="I40"/>
      <selection pane="bottomLeft" activeCell="I40" sqref="I4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6328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36.90625" style="6" customWidth="1"/>
    <col min="15" max="16" width="17.269531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1A72D6400-600-G</v>
      </c>
      <c r="D3" s="26" t="s">
        <v>1</v>
      </c>
      <c r="E3" s="27" t="s">
        <v>14</v>
      </c>
      <c r="F3" s="26"/>
      <c r="G3" s="26"/>
      <c r="H3" s="26"/>
      <c r="I3" s="26"/>
      <c r="J3" s="26"/>
      <c r="K3" s="26"/>
      <c r="L3" s="26"/>
      <c r="M3" s="26"/>
      <c r="N3" s="44"/>
      <c r="O3" s="26"/>
      <c r="P3" s="26"/>
    </row>
    <row r="4" spans="1:16" s="8" customFormat="1">
      <c r="A4" s="179" t="s">
        <v>8</v>
      </c>
      <c r="B4" s="179"/>
      <c r="C4" s="89" t="str">
        <f>E6</f>
        <v>TBD</v>
      </c>
      <c r="D4" s="41" t="s">
        <v>9</v>
      </c>
      <c r="E4" s="42" t="s">
        <v>14</v>
      </c>
      <c r="F4" s="41" t="s">
        <v>10</v>
      </c>
      <c r="G4" s="13" t="str">
        <f>G6</f>
        <v>Maxwell Mercury_L10 Compute Tray Assy_Sun-Ref,WD</v>
      </c>
      <c r="H4" s="41"/>
      <c r="I4" s="41"/>
      <c r="J4" s="41"/>
      <c r="K4" s="41"/>
      <c r="L4" s="41"/>
      <c r="M4" s="41"/>
      <c r="N4" s="44"/>
      <c r="O4" s="41"/>
      <c r="P4" s="41"/>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ROW(A6)-5</f>
        <v>1</v>
      </c>
      <c r="B6" s="49" t="s">
        <v>36</v>
      </c>
      <c r="C6" s="52" t="s">
        <v>684</v>
      </c>
      <c r="D6" s="11" t="s">
        <v>17</v>
      </c>
      <c r="E6" s="91" t="s">
        <v>34</v>
      </c>
      <c r="F6" s="11" t="s">
        <v>14</v>
      </c>
      <c r="G6" s="13" t="s">
        <v>693</v>
      </c>
      <c r="H6" s="11" t="s">
        <v>20</v>
      </c>
      <c r="I6" s="52" t="str">
        <f>C6</f>
        <v>1A72D6400-600-G</v>
      </c>
      <c r="J6" s="11" t="s">
        <v>14</v>
      </c>
      <c r="K6" s="11">
        <v>1</v>
      </c>
      <c r="L6" s="11" t="s">
        <v>800</v>
      </c>
      <c r="M6" s="11" t="s">
        <v>30</v>
      </c>
      <c r="N6" s="45"/>
      <c r="O6" s="11" t="s">
        <v>14</v>
      </c>
      <c r="P6" s="11" t="s">
        <v>802</v>
      </c>
    </row>
    <row r="7" spans="1:16" ht="62">
      <c r="A7" s="11">
        <f>ROW(A7)-5</f>
        <v>2</v>
      </c>
      <c r="B7" s="49" t="s">
        <v>29</v>
      </c>
      <c r="C7" s="55" t="s">
        <v>218</v>
      </c>
      <c r="D7" s="11" t="s">
        <v>17</v>
      </c>
      <c r="E7" s="11" t="s">
        <v>34</v>
      </c>
      <c r="F7" s="11" t="s">
        <v>14</v>
      </c>
      <c r="G7" s="13" t="s">
        <v>189</v>
      </c>
      <c r="H7" s="11" t="s">
        <v>40</v>
      </c>
      <c r="I7" s="24" t="s">
        <v>216</v>
      </c>
      <c r="J7" s="11" t="s">
        <v>14</v>
      </c>
      <c r="K7" s="11">
        <v>1</v>
      </c>
      <c r="L7" s="11" t="s">
        <v>800</v>
      </c>
      <c r="M7" s="11" t="s">
        <v>30</v>
      </c>
      <c r="N7" s="83" t="s">
        <v>460</v>
      </c>
      <c r="O7" s="11" t="s">
        <v>42</v>
      </c>
      <c r="P7" s="11" t="s">
        <v>803</v>
      </c>
    </row>
    <row r="8" spans="1:16" ht="62">
      <c r="A8" s="11">
        <f>ROW(A8)-5</f>
        <v>3</v>
      </c>
      <c r="B8" s="49" t="s">
        <v>37</v>
      </c>
      <c r="C8" s="55" t="s">
        <v>343</v>
      </c>
      <c r="D8" s="11" t="s">
        <v>17</v>
      </c>
      <c r="E8" s="11" t="s">
        <v>34</v>
      </c>
      <c r="F8" s="11" t="s">
        <v>14</v>
      </c>
      <c r="G8" s="13" t="s">
        <v>232</v>
      </c>
      <c r="H8" s="11" t="s">
        <v>40</v>
      </c>
      <c r="I8" s="55" t="s">
        <v>344</v>
      </c>
      <c r="J8" s="11" t="s">
        <v>14</v>
      </c>
      <c r="K8" s="11">
        <v>2</v>
      </c>
      <c r="L8" s="11" t="s">
        <v>800</v>
      </c>
      <c r="M8" s="11" t="s">
        <v>30</v>
      </c>
      <c r="N8" s="83" t="s">
        <v>685</v>
      </c>
      <c r="O8" s="11" t="s">
        <v>42</v>
      </c>
      <c r="P8" s="11" t="s">
        <v>803</v>
      </c>
    </row>
    <row r="9" spans="1:16" ht="31">
      <c r="A9" s="11">
        <f t="shared" ref="A9:A80" si="0">ROW(A9)-5</f>
        <v>4</v>
      </c>
      <c r="B9" s="49" t="s">
        <v>117</v>
      </c>
      <c r="C9" s="11" t="s">
        <v>313</v>
      </c>
      <c r="D9" s="56" t="s">
        <v>30</v>
      </c>
      <c r="E9" s="11" t="s">
        <v>34</v>
      </c>
      <c r="F9" s="11" t="s">
        <v>14</v>
      </c>
      <c r="G9" s="13" t="s">
        <v>58</v>
      </c>
      <c r="H9" s="11" t="s">
        <v>40</v>
      </c>
      <c r="I9" s="24" t="s">
        <v>309</v>
      </c>
      <c r="J9" s="56" t="s">
        <v>30</v>
      </c>
      <c r="K9" s="11">
        <v>2</v>
      </c>
      <c r="L9" s="11" t="s">
        <v>800</v>
      </c>
      <c r="M9" s="11" t="s">
        <v>30</v>
      </c>
      <c r="N9" s="83" t="s">
        <v>505</v>
      </c>
      <c r="O9" s="11" t="s">
        <v>41</v>
      </c>
      <c r="P9" s="11" t="s">
        <v>803</v>
      </c>
    </row>
    <row r="10" spans="1:16" ht="46.5">
      <c r="A10" s="11">
        <f t="shared" si="0"/>
        <v>5</v>
      </c>
      <c r="B10" s="49" t="s">
        <v>118</v>
      </c>
      <c r="C10" s="24" t="s">
        <v>219</v>
      </c>
      <c r="D10" s="56" t="s">
        <v>30</v>
      </c>
      <c r="E10" s="11" t="s">
        <v>34</v>
      </c>
      <c r="F10" s="11" t="s">
        <v>14</v>
      </c>
      <c r="G10" s="13" t="s">
        <v>59</v>
      </c>
      <c r="H10" s="11" t="s">
        <v>40</v>
      </c>
      <c r="I10" s="24" t="s">
        <v>217</v>
      </c>
      <c r="J10" s="56" t="s">
        <v>30</v>
      </c>
      <c r="K10" s="11">
        <v>1</v>
      </c>
      <c r="L10" s="11" t="s">
        <v>800</v>
      </c>
      <c r="M10" s="11" t="s">
        <v>30</v>
      </c>
      <c r="N10" s="83" t="s">
        <v>329</v>
      </c>
      <c r="O10" s="11" t="s">
        <v>41</v>
      </c>
      <c r="P10" s="11"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224</v>
      </c>
      <c r="D14" s="56" t="s">
        <v>30</v>
      </c>
      <c r="E14" s="91" t="s">
        <v>471</v>
      </c>
      <c r="F14" s="11" t="s">
        <v>14</v>
      </c>
      <c r="G14" s="13" t="s">
        <v>188</v>
      </c>
      <c r="H14" s="11" t="s">
        <v>142</v>
      </c>
      <c r="I14" s="11" t="s">
        <v>144</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ROW(A19)-5</f>
        <v>14</v>
      </c>
      <c r="B19" s="58" t="s">
        <v>174</v>
      </c>
      <c r="C19" s="60" t="s">
        <v>151</v>
      </c>
      <c r="D19" s="61" t="s">
        <v>14</v>
      </c>
      <c r="E19" s="91" t="s">
        <v>526</v>
      </c>
      <c r="F19" s="11" t="s">
        <v>14</v>
      </c>
      <c r="G19" s="95" t="s">
        <v>532</v>
      </c>
      <c r="H19" s="62" t="s">
        <v>51</v>
      </c>
      <c r="I19" s="60" t="s">
        <v>151</v>
      </c>
      <c r="J19" s="11" t="s">
        <v>30</v>
      </c>
      <c r="K19" s="63">
        <v>1</v>
      </c>
      <c r="L19" s="11" t="s">
        <v>800</v>
      </c>
      <c r="M19" s="11" t="s">
        <v>30</v>
      </c>
      <c r="N19" s="64" t="s">
        <v>341</v>
      </c>
      <c r="O19" s="63" t="s">
        <v>159</v>
      </c>
      <c r="P19" s="11" t="s">
        <v>802</v>
      </c>
    </row>
    <row r="20" spans="1:16">
      <c r="A20" s="11">
        <f t="shared" si="0"/>
        <v>15</v>
      </c>
      <c r="B20" s="58" t="s">
        <v>131</v>
      </c>
      <c r="C20" s="55" t="s">
        <v>345</v>
      </c>
      <c r="D20" s="11" t="s">
        <v>14</v>
      </c>
      <c r="E20" s="91" t="s">
        <v>516</v>
      </c>
      <c r="F20" s="11" t="s">
        <v>14</v>
      </c>
      <c r="G20" s="72" t="s">
        <v>346</v>
      </c>
      <c r="H20" s="11" t="s">
        <v>51</v>
      </c>
      <c r="I20" s="55" t="s">
        <v>345</v>
      </c>
      <c r="J20" s="11" t="s">
        <v>14</v>
      </c>
      <c r="K20" s="11">
        <v>1</v>
      </c>
      <c r="L20" s="11" t="s">
        <v>800</v>
      </c>
      <c r="M20" s="11" t="s">
        <v>30</v>
      </c>
      <c r="N20" s="45" t="s">
        <v>303</v>
      </c>
      <c r="O20" s="11" t="s">
        <v>41</v>
      </c>
      <c r="P20" s="11" t="s">
        <v>802</v>
      </c>
    </row>
    <row r="21" spans="1:16">
      <c r="A21" s="11">
        <f t="shared" si="0"/>
        <v>16</v>
      </c>
      <c r="B21" s="58" t="s">
        <v>381</v>
      </c>
      <c r="C21" s="55" t="s">
        <v>347</v>
      </c>
      <c r="D21" s="11" t="s">
        <v>14</v>
      </c>
      <c r="E21" s="91" t="s">
        <v>473</v>
      </c>
      <c r="F21" s="11" t="s">
        <v>14</v>
      </c>
      <c r="G21" s="72" t="s">
        <v>348</v>
      </c>
      <c r="H21" s="11" t="s">
        <v>51</v>
      </c>
      <c r="I21" s="55" t="s">
        <v>347</v>
      </c>
      <c r="J21" s="11" t="s">
        <v>14</v>
      </c>
      <c r="K21" s="11">
        <v>1</v>
      </c>
      <c r="L21" s="11" t="s">
        <v>800</v>
      </c>
      <c r="M21" s="11" t="s">
        <v>30</v>
      </c>
      <c r="N21" s="45" t="s">
        <v>303</v>
      </c>
      <c r="O21" s="11" t="s">
        <v>41</v>
      </c>
      <c r="P21" s="11" t="s">
        <v>802</v>
      </c>
    </row>
    <row r="22" spans="1:16">
      <c r="A22" s="11">
        <f t="shared" si="0"/>
        <v>17</v>
      </c>
      <c r="B22" s="58" t="s">
        <v>382</v>
      </c>
      <c r="C22" s="52"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551</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1">
        <f t="shared" si="0"/>
        <v>19</v>
      </c>
      <c r="B24" s="58" t="s">
        <v>552</v>
      </c>
      <c r="C24" s="24" t="s">
        <v>278</v>
      </c>
      <c r="D24" s="11" t="s">
        <v>30</v>
      </c>
      <c r="E24" s="116" t="s">
        <v>593</v>
      </c>
      <c r="F24" s="11" t="s">
        <v>30</v>
      </c>
      <c r="G24" s="43" t="s">
        <v>276</v>
      </c>
      <c r="H24" s="11" t="s">
        <v>274</v>
      </c>
      <c r="I24" s="11" t="s">
        <v>275</v>
      </c>
      <c r="J24" s="11" t="s">
        <v>14</v>
      </c>
      <c r="K24" s="11">
        <v>2</v>
      </c>
      <c r="L24" s="11" t="s">
        <v>800</v>
      </c>
      <c r="M24" s="11" t="s">
        <v>30</v>
      </c>
      <c r="N24" s="45" t="s">
        <v>277</v>
      </c>
      <c r="O24" s="11" t="s">
        <v>273</v>
      </c>
      <c r="P24" s="11" t="s">
        <v>803</v>
      </c>
    </row>
    <row r="25" spans="1:16">
      <c r="A25" s="11">
        <f t="shared" si="0"/>
        <v>20</v>
      </c>
      <c r="B25" s="58" t="s">
        <v>553</v>
      </c>
      <c r="C25" s="24" t="s">
        <v>339</v>
      </c>
      <c r="D25" s="11" t="s">
        <v>14</v>
      </c>
      <c r="E25" s="11" t="s">
        <v>34</v>
      </c>
      <c r="F25" s="11" t="s">
        <v>14</v>
      </c>
      <c r="G25" s="43" t="s">
        <v>305</v>
      </c>
      <c r="H25" s="52" t="s">
        <v>418</v>
      </c>
      <c r="I25" s="24" t="s">
        <v>339</v>
      </c>
      <c r="J25" s="11" t="s">
        <v>14</v>
      </c>
      <c r="K25" s="11">
        <v>1</v>
      </c>
      <c r="L25" s="11" t="s">
        <v>800</v>
      </c>
      <c r="M25" s="11" t="s">
        <v>30</v>
      </c>
      <c r="N25" s="45" t="s">
        <v>306</v>
      </c>
      <c r="O25" s="11" t="s">
        <v>44</v>
      </c>
      <c r="P25" s="11" t="s">
        <v>802</v>
      </c>
    </row>
    <row r="26" spans="1:16">
      <c r="A26" s="11">
        <f>ROW(A26)-5</f>
        <v>21</v>
      </c>
      <c r="B26" s="58" t="s">
        <v>554</v>
      </c>
      <c r="C26" s="11" t="s">
        <v>286</v>
      </c>
      <c r="D26" s="11" t="s">
        <v>14</v>
      </c>
      <c r="E26" s="11" t="s">
        <v>34</v>
      </c>
      <c r="F26" s="11" t="s">
        <v>14</v>
      </c>
      <c r="G26" s="43" t="s">
        <v>285</v>
      </c>
      <c r="H26" s="52" t="s">
        <v>418</v>
      </c>
      <c r="I26" s="11" t="s">
        <v>286</v>
      </c>
      <c r="J26" s="11" t="s">
        <v>14</v>
      </c>
      <c r="K26" s="11">
        <v>3</v>
      </c>
      <c r="L26" s="11" t="s">
        <v>800</v>
      </c>
      <c r="M26" s="11" t="s">
        <v>30</v>
      </c>
      <c r="N26" s="45" t="s">
        <v>284</v>
      </c>
      <c r="O26" s="11" t="s">
        <v>44</v>
      </c>
      <c r="P26" s="11" t="s">
        <v>802</v>
      </c>
    </row>
    <row r="27" spans="1:16">
      <c r="A27" s="11">
        <f t="shared" ref="A27:A30" si="1">ROW(A27)-5</f>
        <v>22</v>
      </c>
      <c r="B27" s="58"/>
      <c r="C27" s="55" t="s">
        <v>408</v>
      </c>
      <c r="D27" s="11" t="s">
        <v>14</v>
      </c>
      <c r="E27" s="11" t="s">
        <v>34</v>
      </c>
      <c r="F27" s="11" t="s">
        <v>14</v>
      </c>
      <c r="G27" s="43" t="s">
        <v>405</v>
      </c>
      <c r="H27" s="52" t="s">
        <v>406</v>
      </c>
      <c r="I27" s="55" t="s">
        <v>407</v>
      </c>
      <c r="J27" s="11" t="s">
        <v>14</v>
      </c>
      <c r="K27" s="11"/>
      <c r="L27" s="11" t="s">
        <v>800</v>
      </c>
      <c r="M27" s="11" t="s">
        <v>30</v>
      </c>
      <c r="N27" s="45" t="s">
        <v>296</v>
      </c>
      <c r="O27" s="11" t="s">
        <v>44</v>
      </c>
      <c r="P27" s="11" t="s">
        <v>802</v>
      </c>
    </row>
    <row r="28" spans="1:16">
      <c r="A28" s="11">
        <f>ROW(A28)-5</f>
        <v>23</v>
      </c>
      <c r="B28" s="58" t="s">
        <v>409</v>
      </c>
      <c r="C28" s="55" t="s">
        <v>506</v>
      </c>
      <c r="D28" s="11" t="s">
        <v>14</v>
      </c>
      <c r="E28" s="11" t="s">
        <v>34</v>
      </c>
      <c r="F28" s="11" t="s">
        <v>14</v>
      </c>
      <c r="G28" s="43" t="s">
        <v>507</v>
      </c>
      <c r="H28" s="52" t="s">
        <v>418</v>
      </c>
      <c r="I28" s="55" t="s">
        <v>506</v>
      </c>
      <c r="J28" s="11" t="s">
        <v>14</v>
      </c>
      <c r="K28" s="11">
        <v>4</v>
      </c>
      <c r="L28" s="11" t="s">
        <v>800</v>
      </c>
      <c r="M28" s="11" t="s">
        <v>30</v>
      </c>
      <c r="N28" s="45" t="s">
        <v>515</v>
      </c>
      <c r="O28" s="11" t="s">
        <v>44</v>
      </c>
      <c r="P28" s="11" t="s">
        <v>802</v>
      </c>
    </row>
    <row r="29" spans="1:16">
      <c r="A29" s="11">
        <f t="shared" si="1"/>
        <v>24</v>
      </c>
      <c r="B29" s="58"/>
      <c r="C29" s="55" t="s">
        <v>508</v>
      </c>
      <c r="D29" s="11" t="s">
        <v>14</v>
      </c>
      <c r="E29" s="1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1"/>
        <v>25</v>
      </c>
      <c r="B30" s="58"/>
      <c r="C30" s="55" t="s">
        <v>509</v>
      </c>
      <c r="D30" s="11" t="s">
        <v>14</v>
      </c>
      <c r="E30" s="1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1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11" t="s">
        <v>34</v>
      </c>
      <c r="F32" s="11" t="s">
        <v>14</v>
      </c>
      <c r="G32" s="43" t="s">
        <v>316</v>
      </c>
      <c r="H32" s="52" t="s">
        <v>418</v>
      </c>
      <c r="I32" s="24" t="s">
        <v>290</v>
      </c>
      <c r="J32" s="11" t="s">
        <v>14</v>
      </c>
      <c r="K32" s="11">
        <v>8</v>
      </c>
      <c r="L32" s="11" t="s">
        <v>800</v>
      </c>
      <c r="M32" s="11" t="s">
        <v>30</v>
      </c>
      <c r="N32" s="45" t="s">
        <v>289</v>
      </c>
      <c r="O32" s="11" t="s">
        <v>44</v>
      </c>
      <c r="P32" s="11" t="s">
        <v>802</v>
      </c>
    </row>
    <row r="33" spans="1:16">
      <c r="A33" s="11">
        <f>ROW(A33)-5</f>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413</v>
      </c>
      <c r="C34" s="24" t="s">
        <v>333</v>
      </c>
      <c r="D34" s="11" t="s">
        <v>14</v>
      </c>
      <c r="E34" s="11" t="s">
        <v>34</v>
      </c>
      <c r="F34" s="11" t="s">
        <v>14</v>
      </c>
      <c r="G34" s="43" t="s">
        <v>314</v>
      </c>
      <c r="H34" s="52" t="s">
        <v>418</v>
      </c>
      <c r="I34" s="67" t="s">
        <v>333</v>
      </c>
      <c r="J34" s="11" t="s">
        <v>14</v>
      </c>
      <c r="K34" s="11">
        <v>1</v>
      </c>
      <c r="L34" s="11" t="s">
        <v>800</v>
      </c>
      <c r="M34" s="11" t="s">
        <v>30</v>
      </c>
      <c r="N34" s="45" t="s">
        <v>291</v>
      </c>
      <c r="O34" s="11" t="s">
        <v>44</v>
      </c>
      <c r="P34" s="11" t="s">
        <v>802</v>
      </c>
    </row>
    <row r="35" spans="1:16">
      <c r="A35" s="11">
        <f t="shared" si="0"/>
        <v>30</v>
      </c>
      <c r="B35" s="58" t="s">
        <v>47</v>
      </c>
      <c r="C35" s="24" t="s">
        <v>335</v>
      </c>
      <c r="D35" s="11" t="s">
        <v>14</v>
      </c>
      <c r="E35" s="11" t="s">
        <v>34</v>
      </c>
      <c r="F35" s="11" t="s">
        <v>14</v>
      </c>
      <c r="G35" s="43" t="s">
        <v>334</v>
      </c>
      <c r="H35" s="52" t="s">
        <v>418</v>
      </c>
      <c r="I35" s="67" t="s">
        <v>335</v>
      </c>
      <c r="J35" s="11" t="s">
        <v>14</v>
      </c>
      <c r="K35" s="52">
        <v>2</v>
      </c>
      <c r="L35" s="11" t="s">
        <v>800</v>
      </c>
      <c r="M35" s="11" t="s">
        <v>30</v>
      </c>
      <c r="N35" s="45" t="s">
        <v>336</v>
      </c>
      <c r="O35" s="11" t="s">
        <v>44</v>
      </c>
      <c r="P35" s="11" t="s">
        <v>802</v>
      </c>
    </row>
    <row r="36" spans="1:16">
      <c r="A36" s="11">
        <f>ROW(A36)-5</f>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1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1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24" t="s">
        <v>300</v>
      </c>
      <c r="D39" s="11" t="s">
        <v>14</v>
      </c>
      <c r="E39" s="11" t="s">
        <v>34</v>
      </c>
      <c r="F39" s="11" t="s">
        <v>14</v>
      </c>
      <c r="G39" s="43" t="s">
        <v>299</v>
      </c>
      <c r="H39" s="52" t="s">
        <v>418</v>
      </c>
      <c r="I39" s="24" t="s">
        <v>300</v>
      </c>
      <c r="J39" s="11" t="s">
        <v>14</v>
      </c>
      <c r="K39" s="11">
        <v>64</v>
      </c>
      <c r="L39" s="11" t="s">
        <v>800</v>
      </c>
      <c r="M39" s="11" t="s">
        <v>30</v>
      </c>
      <c r="N39" s="45" t="s">
        <v>296</v>
      </c>
      <c r="O39" s="11" t="s">
        <v>44</v>
      </c>
      <c r="P39" s="11" t="s">
        <v>802</v>
      </c>
    </row>
    <row r="40" spans="1:16">
      <c r="A40" s="11">
        <f t="shared" si="0"/>
        <v>35</v>
      </c>
      <c r="B40" s="58"/>
      <c r="C40" s="55" t="s">
        <v>400</v>
      </c>
      <c r="D40" s="11" t="s">
        <v>14</v>
      </c>
      <c r="E40" s="11" t="s">
        <v>34</v>
      </c>
      <c r="F40" s="11" t="s">
        <v>14</v>
      </c>
      <c r="G40" s="204" t="s">
        <v>415</v>
      </c>
      <c r="H40" s="52" t="s">
        <v>401</v>
      </c>
      <c r="I40" s="55" t="s">
        <v>402</v>
      </c>
      <c r="J40" s="11" t="s">
        <v>14</v>
      </c>
      <c r="K40" s="11"/>
      <c r="L40" s="11" t="s">
        <v>800</v>
      </c>
      <c r="M40" s="11" t="s">
        <v>30</v>
      </c>
      <c r="N40" s="45" t="s">
        <v>296</v>
      </c>
      <c r="O40" s="11" t="s">
        <v>44</v>
      </c>
      <c r="P40" s="11" t="s">
        <v>802</v>
      </c>
    </row>
    <row r="41" spans="1:16">
      <c r="A41" s="11">
        <f t="shared" si="0"/>
        <v>36</v>
      </c>
      <c r="B41" s="58" t="s">
        <v>56</v>
      </c>
      <c r="C41" s="24" t="s">
        <v>301</v>
      </c>
      <c r="D41" s="11" t="s">
        <v>14</v>
      </c>
      <c r="E41" s="11" t="s">
        <v>34</v>
      </c>
      <c r="F41" s="11" t="s">
        <v>14</v>
      </c>
      <c r="G41" s="13" t="s">
        <v>298</v>
      </c>
      <c r="H41" s="52" t="s">
        <v>418</v>
      </c>
      <c r="I41" s="24" t="s">
        <v>301</v>
      </c>
      <c r="J41" s="11" t="s">
        <v>14</v>
      </c>
      <c r="K41" s="11">
        <v>64</v>
      </c>
      <c r="L41" s="11" t="s">
        <v>800</v>
      </c>
      <c r="M41" s="11" t="s">
        <v>30</v>
      </c>
      <c r="N41" s="45" t="s">
        <v>297</v>
      </c>
      <c r="O41" s="11" t="s">
        <v>44</v>
      </c>
      <c r="P41" s="11" t="s">
        <v>802</v>
      </c>
    </row>
    <row r="42" spans="1:16">
      <c r="A42" s="11">
        <f t="shared" si="0"/>
        <v>37</v>
      </c>
      <c r="B42" s="58"/>
      <c r="C42" s="55" t="s">
        <v>404</v>
      </c>
      <c r="D42" s="11" t="s">
        <v>14</v>
      </c>
      <c r="E42" s="1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11" t="s">
        <v>34</v>
      </c>
      <c r="F43" s="11" t="s">
        <v>14</v>
      </c>
      <c r="G43" s="43"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11" t="s">
        <v>34</v>
      </c>
      <c r="F44" s="11" t="s">
        <v>14</v>
      </c>
      <c r="G44" s="43"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11" t="s">
        <v>34</v>
      </c>
      <c r="F45" s="11" t="s">
        <v>14</v>
      </c>
      <c r="G45" s="43"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11" t="s">
        <v>34</v>
      </c>
      <c r="F46" s="11" t="s">
        <v>14</v>
      </c>
      <c r="G46" s="43"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11" t="s">
        <v>34</v>
      </c>
      <c r="F47" s="11" t="s">
        <v>14</v>
      </c>
      <c r="G47" s="43"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11" t="s">
        <v>34</v>
      </c>
      <c r="F48" s="11" t="s">
        <v>14</v>
      </c>
      <c r="G48" s="43" t="s">
        <v>536</v>
      </c>
      <c r="H48" s="52" t="s">
        <v>538</v>
      </c>
      <c r="I48" s="52" t="s">
        <v>632</v>
      </c>
      <c r="J48" s="11" t="s">
        <v>14</v>
      </c>
      <c r="K48" s="11"/>
      <c r="L48" s="11" t="s">
        <v>800</v>
      </c>
      <c r="M48" s="11" t="s">
        <v>30</v>
      </c>
      <c r="N48" s="45" t="s">
        <v>524</v>
      </c>
      <c r="O48" s="11" t="s">
        <v>44</v>
      </c>
      <c r="P48" s="11" t="s">
        <v>802</v>
      </c>
    </row>
    <row r="49" spans="1:47">
      <c r="A49" s="11">
        <f t="shared" si="0"/>
        <v>44</v>
      </c>
      <c r="B49" s="58" t="s">
        <v>710</v>
      </c>
      <c r="C49" s="55" t="s">
        <v>550</v>
      </c>
      <c r="D49" s="11" t="s">
        <v>14</v>
      </c>
      <c r="E49" s="91" t="s">
        <v>34</v>
      </c>
      <c r="F49" s="11" t="s">
        <v>14</v>
      </c>
      <c r="G49" s="66" t="s">
        <v>549</v>
      </c>
      <c r="H49" s="52" t="s">
        <v>51</v>
      </c>
      <c r="I49" s="52" t="s">
        <v>639</v>
      </c>
      <c r="J49" s="11" t="s">
        <v>14</v>
      </c>
      <c r="K49" s="11">
        <v>1</v>
      </c>
      <c r="L49" s="11" t="s">
        <v>800</v>
      </c>
      <c r="M49" s="11" t="s">
        <v>30</v>
      </c>
      <c r="N49" s="45" t="s">
        <v>638</v>
      </c>
      <c r="O49" s="11" t="s">
        <v>44</v>
      </c>
      <c r="P49" s="11" t="s">
        <v>802</v>
      </c>
    </row>
    <row r="50" spans="1:47">
      <c r="A50" s="11">
        <f t="shared" si="0"/>
        <v>45</v>
      </c>
      <c r="B50" s="58"/>
      <c r="C50" s="55" t="s">
        <v>706</v>
      </c>
      <c r="D50" s="11" t="s">
        <v>14</v>
      </c>
      <c r="E50" s="91" t="s">
        <v>34</v>
      </c>
      <c r="F50" s="11" t="s">
        <v>14</v>
      </c>
      <c r="G50" s="66" t="s">
        <v>549</v>
      </c>
      <c r="H50" s="52" t="s">
        <v>705</v>
      </c>
      <c r="I50" s="52" t="s">
        <v>704</v>
      </c>
      <c r="J50" s="11" t="s">
        <v>14</v>
      </c>
      <c r="K50" s="11"/>
      <c r="L50" s="11" t="s">
        <v>800</v>
      </c>
      <c r="M50" s="11" t="s">
        <v>30</v>
      </c>
      <c r="N50" s="45" t="s">
        <v>638</v>
      </c>
      <c r="O50" s="11" t="s">
        <v>44</v>
      </c>
      <c r="P50" s="11" t="s">
        <v>802</v>
      </c>
    </row>
    <row r="51" spans="1:47">
      <c r="A51" s="11">
        <f t="shared" si="0"/>
        <v>46</v>
      </c>
      <c r="B51" s="58" t="s">
        <v>746</v>
      </c>
      <c r="C51" s="55" t="s">
        <v>747</v>
      </c>
      <c r="D51" s="11" t="s">
        <v>14</v>
      </c>
      <c r="E51" s="91" t="s">
        <v>34</v>
      </c>
      <c r="F51" s="11" t="s">
        <v>14</v>
      </c>
      <c r="G51" s="66" t="s">
        <v>744</v>
      </c>
      <c r="H51" s="55" t="s">
        <v>743</v>
      </c>
      <c r="I51" s="55" t="s">
        <v>747</v>
      </c>
      <c r="J51" s="11" t="s">
        <v>14</v>
      </c>
      <c r="K51" s="11">
        <v>1</v>
      </c>
      <c r="L51" s="11" t="s">
        <v>800</v>
      </c>
      <c r="M51" s="11" t="s">
        <v>30</v>
      </c>
      <c r="N51" s="45"/>
      <c r="O51" s="11" t="s">
        <v>44</v>
      </c>
      <c r="P51" s="11" t="s">
        <v>802</v>
      </c>
    </row>
    <row r="52" spans="1:47" s="212" customFormat="1">
      <c r="A52" s="200">
        <f t="shared" si="0"/>
        <v>47</v>
      </c>
      <c r="B52" s="201" t="s">
        <v>757</v>
      </c>
      <c r="C52" s="208" t="s">
        <v>751</v>
      </c>
      <c r="D52" s="200" t="s">
        <v>14</v>
      </c>
      <c r="E52" s="203" t="s">
        <v>34</v>
      </c>
      <c r="F52" s="200" t="s">
        <v>14</v>
      </c>
      <c r="G52" s="209" t="s">
        <v>748</v>
      </c>
      <c r="H52" s="210" t="s">
        <v>749</v>
      </c>
      <c r="I52" s="208" t="s">
        <v>750</v>
      </c>
      <c r="J52" s="200" t="s">
        <v>14</v>
      </c>
      <c r="K52" s="200">
        <v>4</v>
      </c>
      <c r="L52" s="200" t="s">
        <v>800</v>
      </c>
      <c r="M52" s="200" t="s">
        <v>30</v>
      </c>
      <c r="N52" s="211"/>
      <c r="O52" s="200" t="s">
        <v>44</v>
      </c>
      <c r="P52" s="200" t="s">
        <v>802</v>
      </c>
    </row>
    <row r="53" spans="1:47" s="212" customFormat="1">
      <c r="A53" s="200">
        <f t="shared" si="0"/>
        <v>48</v>
      </c>
      <c r="B53" s="201" t="s">
        <v>555</v>
      </c>
      <c r="C53" s="200" t="s">
        <v>789</v>
      </c>
      <c r="D53" s="200" t="s">
        <v>14</v>
      </c>
      <c r="E53" s="203" t="s">
        <v>34</v>
      </c>
      <c r="F53" s="200" t="s">
        <v>14</v>
      </c>
      <c r="G53" s="209" t="s">
        <v>786</v>
      </c>
      <c r="H53" s="210" t="s">
        <v>787</v>
      </c>
      <c r="I53" s="208" t="s">
        <v>785</v>
      </c>
      <c r="J53" s="200" t="s">
        <v>14</v>
      </c>
      <c r="K53" s="200">
        <v>1</v>
      </c>
      <c r="L53" s="200" t="s">
        <v>800</v>
      </c>
      <c r="M53" s="200" t="s">
        <v>30</v>
      </c>
      <c r="N53" s="211"/>
      <c r="O53" s="200" t="s">
        <v>44</v>
      </c>
      <c r="P53" s="200" t="s">
        <v>802</v>
      </c>
    </row>
    <row r="54" spans="1:47" s="206" customFormat="1">
      <c r="A54" s="200">
        <f t="shared" si="0"/>
        <v>49</v>
      </c>
      <c r="B54" s="201" t="s">
        <v>556</v>
      </c>
      <c r="C54" s="200" t="s">
        <v>211</v>
      </c>
      <c r="D54" s="200" t="s">
        <v>30</v>
      </c>
      <c r="E54" s="200" t="s">
        <v>527</v>
      </c>
      <c r="F54" s="200" t="s">
        <v>14</v>
      </c>
      <c r="G54" s="204" t="s">
        <v>209</v>
      </c>
      <c r="H54" s="200" t="s">
        <v>210</v>
      </c>
      <c r="I54" s="202" t="s">
        <v>213</v>
      </c>
      <c r="J54" s="200" t="s">
        <v>30</v>
      </c>
      <c r="K54" s="200">
        <v>8</v>
      </c>
      <c r="L54" s="200" t="s">
        <v>800</v>
      </c>
      <c r="M54" s="200" t="s">
        <v>30</v>
      </c>
      <c r="N54" s="205"/>
      <c r="O54" s="200" t="s">
        <v>50</v>
      </c>
      <c r="P54" s="200" t="s">
        <v>803</v>
      </c>
    </row>
    <row r="55" spans="1:47" s="206" customFormat="1">
      <c r="A55" s="200">
        <f t="shared" si="0"/>
        <v>50</v>
      </c>
      <c r="B55" s="201"/>
      <c r="C55" s="200" t="s">
        <v>212</v>
      </c>
      <c r="D55" s="200" t="s">
        <v>30</v>
      </c>
      <c r="E55" s="200" t="s">
        <v>527</v>
      </c>
      <c r="F55" s="200" t="s">
        <v>14</v>
      </c>
      <c r="G55" s="207" t="s">
        <v>209</v>
      </c>
      <c r="H55" s="200" t="s">
        <v>57</v>
      </c>
      <c r="I55" s="202" t="s">
        <v>214</v>
      </c>
      <c r="J55" s="200" t="s">
        <v>30</v>
      </c>
      <c r="K55" s="200"/>
      <c r="L55" s="200" t="s">
        <v>800</v>
      </c>
      <c r="M55" s="200" t="s">
        <v>30</v>
      </c>
      <c r="N55" s="205"/>
      <c r="O55" s="200" t="s">
        <v>50</v>
      </c>
      <c r="P55" s="200" t="s">
        <v>803</v>
      </c>
    </row>
    <row r="56" spans="1:47" s="39" customFormat="1" ht="14.5">
      <c r="A56" s="24">
        <f t="shared" si="0"/>
        <v>51</v>
      </c>
      <c r="B56" s="47" t="s">
        <v>557</v>
      </c>
      <c r="C56" s="24" t="s">
        <v>456</v>
      </c>
      <c r="D56" s="93" t="s">
        <v>30</v>
      </c>
      <c r="E56" s="11" t="s">
        <v>528</v>
      </c>
      <c r="F56" s="24" t="s">
        <v>14</v>
      </c>
      <c r="G56" s="13" t="s">
        <v>424</v>
      </c>
      <c r="H56" s="55" t="s">
        <v>464</v>
      </c>
      <c r="I56" s="55" t="s">
        <v>456</v>
      </c>
      <c r="J56" s="24" t="s">
        <v>30</v>
      </c>
      <c r="K56" s="24">
        <v>1</v>
      </c>
      <c r="L56" s="11" t="s">
        <v>800</v>
      </c>
      <c r="M56" s="11" t="s">
        <v>30</v>
      </c>
      <c r="N56" s="94"/>
      <c r="O56" s="24" t="s">
        <v>50</v>
      </c>
      <c r="P56" s="11" t="s">
        <v>802</v>
      </c>
    </row>
    <row r="57" spans="1:47" s="39" customFormat="1" ht="14.5">
      <c r="A57" s="24">
        <f t="shared" si="0"/>
        <v>52</v>
      </c>
      <c r="B57" s="47"/>
      <c r="C57" s="24" t="s">
        <v>462</v>
      </c>
      <c r="D57" s="93" t="s">
        <v>30</v>
      </c>
      <c r="E57" s="11" t="s">
        <v>528</v>
      </c>
      <c r="F57" s="24" t="s">
        <v>14</v>
      </c>
      <c r="G57" s="13" t="s">
        <v>425</v>
      </c>
      <c r="H57" s="55" t="s">
        <v>464</v>
      </c>
      <c r="I57" s="55" t="s">
        <v>462</v>
      </c>
      <c r="J57" s="24" t="s">
        <v>30</v>
      </c>
      <c r="K57" s="24"/>
      <c r="L57" s="11" t="s">
        <v>800</v>
      </c>
      <c r="M57" s="11" t="s">
        <v>30</v>
      </c>
      <c r="N57" s="94"/>
      <c r="O57" s="24" t="s">
        <v>50</v>
      </c>
      <c r="P57" s="11" t="s">
        <v>802</v>
      </c>
    </row>
    <row r="58" spans="1:47" s="39" customFormat="1" ht="14.5">
      <c r="A58" s="24">
        <f t="shared" si="0"/>
        <v>53</v>
      </c>
      <c r="B58" s="47"/>
      <c r="C58" s="24" t="s">
        <v>463</v>
      </c>
      <c r="D58" s="93" t="s">
        <v>30</v>
      </c>
      <c r="E58" s="11" t="s">
        <v>528</v>
      </c>
      <c r="F58" s="24" t="s">
        <v>14</v>
      </c>
      <c r="G58" s="13" t="s">
        <v>465</v>
      </c>
      <c r="H58" s="55" t="s">
        <v>464</v>
      </c>
      <c r="I58" s="55" t="s">
        <v>463</v>
      </c>
      <c r="J58" s="24" t="s">
        <v>30</v>
      </c>
      <c r="K58" s="24"/>
      <c r="L58" s="11" t="s">
        <v>800</v>
      </c>
      <c r="M58" s="11" t="s">
        <v>30</v>
      </c>
      <c r="N58" s="94"/>
      <c r="O58" s="24" t="s">
        <v>50</v>
      </c>
      <c r="P58" s="11" t="s">
        <v>802</v>
      </c>
    </row>
    <row r="59" spans="1:47" s="45" customFormat="1">
      <c r="A59" s="24">
        <f t="shared" si="0"/>
        <v>54</v>
      </c>
      <c r="B59" s="47"/>
      <c r="C59" s="24" t="s">
        <v>775</v>
      </c>
      <c r="D59" s="93" t="s">
        <v>30</v>
      </c>
      <c r="E59" s="91" t="s">
        <v>528</v>
      </c>
      <c r="F59" s="24" t="s">
        <v>14</v>
      </c>
      <c r="G59" s="13" t="s">
        <v>726</v>
      </c>
      <c r="H59" s="55" t="s">
        <v>464</v>
      </c>
      <c r="I59" s="55" t="str">
        <f>C59</f>
        <v>TEMP-S000229174</v>
      </c>
      <c r="J59" s="24" t="s">
        <v>30</v>
      </c>
      <c r="K59" s="24"/>
      <c r="L59" s="11" t="s">
        <v>800</v>
      </c>
      <c r="M59" s="11" t="s">
        <v>30</v>
      </c>
      <c r="N59" s="94"/>
      <c r="O59" s="24" t="s">
        <v>50</v>
      </c>
      <c r="P59" s="11" t="s">
        <v>802</v>
      </c>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row>
    <row r="60" spans="1:47" s="25" customFormat="1" ht="14.5">
      <c r="A60" s="11">
        <f>ROW(A60)-5</f>
        <v>55</v>
      </c>
      <c r="B60" s="47" t="s">
        <v>752</v>
      </c>
      <c r="C60" s="11" t="s">
        <v>383</v>
      </c>
      <c r="D60" s="11" t="s">
        <v>30</v>
      </c>
      <c r="E60" s="90" t="s">
        <v>34</v>
      </c>
      <c r="F60" s="11" t="s">
        <v>30</v>
      </c>
      <c r="G60" s="53" t="s">
        <v>312</v>
      </c>
      <c r="H60" s="11" t="s">
        <v>51</v>
      </c>
      <c r="I60" s="11" t="s">
        <v>383</v>
      </c>
      <c r="J60" s="50" t="s">
        <v>127</v>
      </c>
      <c r="K60" s="50">
        <v>1</v>
      </c>
      <c r="L60" s="11" t="s">
        <v>800</v>
      </c>
      <c r="M60" s="11" t="s">
        <v>30</v>
      </c>
      <c r="N60" s="69"/>
      <c r="O60" s="52" t="s">
        <v>50</v>
      </c>
      <c r="P60" s="11" t="s">
        <v>802</v>
      </c>
    </row>
    <row r="61" spans="1:47" s="17" customFormat="1">
      <c r="A61" s="11">
        <f t="shared" si="0"/>
        <v>56</v>
      </c>
      <c r="B61" s="47" t="s">
        <v>753</v>
      </c>
      <c r="C61" s="11" t="s">
        <v>249</v>
      </c>
      <c r="D61" s="11" t="s">
        <v>30</v>
      </c>
      <c r="E61" s="92" t="s">
        <v>479</v>
      </c>
      <c r="F61" s="11" t="s">
        <v>14</v>
      </c>
      <c r="G61" s="13" t="s">
        <v>267</v>
      </c>
      <c r="H61" s="11" t="s">
        <v>39</v>
      </c>
      <c r="I61" s="24" t="s">
        <v>233</v>
      </c>
      <c r="J61" s="11" t="s">
        <v>700</v>
      </c>
      <c r="K61" s="11">
        <v>1</v>
      </c>
      <c r="L61" s="11" t="s">
        <v>800</v>
      </c>
      <c r="M61" s="11" t="s">
        <v>30</v>
      </c>
      <c r="N61" s="70" t="s">
        <v>268</v>
      </c>
      <c r="O61" s="11" t="s">
        <v>45</v>
      </c>
      <c r="P61" s="11" t="s">
        <v>802</v>
      </c>
    </row>
    <row r="62" spans="1:47" s="17" customFormat="1">
      <c r="A62" s="11">
        <f t="shared" si="0"/>
        <v>57</v>
      </c>
      <c r="B62" s="47" t="s">
        <v>226</v>
      </c>
      <c r="C62" s="55" t="s">
        <v>796</v>
      </c>
      <c r="D62" s="11" t="s">
        <v>30</v>
      </c>
      <c r="E62" s="92" t="s">
        <v>480</v>
      </c>
      <c r="F62" s="11" t="s">
        <v>14</v>
      </c>
      <c r="G62" s="13" t="s">
        <v>797</v>
      </c>
      <c r="H62" s="11" t="s">
        <v>39</v>
      </c>
      <c r="I62" s="24" t="s">
        <v>234</v>
      </c>
      <c r="J62" s="52" t="s">
        <v>773</v>
      </c>
      <c r="K62" s="11">
        <v>1</v>
      </c>
      <c r="L62" s="11" t="s">
        <v>800</v>
      </c>
      <c r="M62" s="11" t="s">
        <v>30</v>
      </c>
      <c r="N62" s="48" t="s">
        <v>192</v>
      </c>
      <c r="O62" s="11" t="s">
        <v>45</v>
      </c>
      <c r="P62" s="11" t="s">
        <v>802</v>
      </c>
    </row>
    <row r="63" spans="1:47" s="17" customFormat="1">
      <c r="A63" s="11">
        <f t="shared" si="0"/>
        <v>58</v>
      </c>
      <c r="B63" s="47" t="s">
        <v>155</v>
      </c>
      <c r="C63" s="52" t="s">
        <v>782</v>
      </c>
      <c r="D63" s="11" t="s">
        <v>30</v>
      </c>
      <c r="E63" s="92" t="s">
        <v>30</v>
      </c>
      <c r="F63" s="11" t="s">
        <v>14</v>
      </c>
      <c r="G63" s="13" t="s">
        <v>328</v>
      </c>
      <c r="H63" s="11" t="s">
        <v>39</v>
      </c>
      <c r="I63" s="55" t="s">
        <v>783</v>
      </c>
      <c r="J63" s="11" t="s">
        <v>703</v>
      </c>
      <c r="K63" s="11">
        <v>1</v>
      </c>
      <c r="L63" s="11" t="s">
        <v>800</v>
      </c>
      <c r="M63" s="11" t="s">
        <v>30</v>
      </c>
      <c r="N63" s="48" t="s">
        <v>320</v>
      </c>
      <c r="O63" s="11" t="s">
        <v>45</v>
      </c>
      <c r="P63" s="11" t="s">
        <v>802</v>
      </c>
    </row>
    <row r="64" spans="1:47" s="17" customFormat="1">
      <c r="A64" s="11">
        <f t="shared" si="0"/>
        <v>59</v>
      </c>
      <c r="B64" s="47" t="s">
        <v>121</v>
      </c>
      <c r="C64" s="55" t="s">
        <v>770</v>
      </c>
      <c r="D64" s="11" t="s">
        <v>30</v>
      </c>
      <c r="E64" s="92" t="s">
        <v>482</v>
      </c>
      <c r="F64" s="11" t="s">
        <v>14</v>
      </c>
      <c r="G64" s="13" t="s">
        <v>771</v>
      </c>
      <c r="H64" s="11" t="s">
        <v>39</v>
      </c>
      <c r="I64" s="24" t="s">
        <v>236</v>
      </c>
      <c r="J64" s="52" t="s">
        <v>702</v>
      </c>
      <c r="K64" s="11">
        <v>1</v>
      </c>
      <c r="L64" s="11" t="s">
        <v>800</v>
      </c>
      <c r="M64" s="11" t="s">
        <v>30</v>
      </c>
      <c r="N64" s="48" t="s">
        <v>194</v>
      </c>
      <c r="O64" s="11" t="s">
        <v>45</v>
      </c>
      <c r="P64" s="11" t="s">
        <v>802</v>
      </c>
    </row>
    <row r="65" spans="1:16" s="17" customFormat="1">
      <c r="A65" s="11">
        <f t="shared" si="0"/>
        <v>60</v>
      </c>
      <c r="B65" s="47" t="s">
        <v>122</v>
      </c>
      <c r="C65" s="11" t="s">
        <v>637</v>
      </c>
      <c r="D65" s="11" t="s">
        <v>30</v>
      </c>
      <c r="E65" s="92" t="s">
        <v>30</v>
      </c>
      <c r="F65" s="11" t="s">
        <v>14</v>
      </c>
      <c r="G65" s="13" t="s">
        <v>327</v>
      </c>
      <c r="H65" s="11" t="s">
        <v>39</v>
      </c>
      <c r="I65" s="24" t="s">
        <v>459</v>
      </c>
      <c r="J65" s="11" t="s">
        <v>703</v>
      </c>
      <c r="K65" s="11">
        <v>1</v>
      </c>
      <c r="L65" s="11" t="s">
        <v>800</v>
      </c>
      <c r="M65" s="11" t="s">
        <v>30</v>
      </c>
      <c r="N65" s="48" t="s">
        <v>321</v>
      </c>
      <c r="O65" s="11" t="s">
        <v>45</v>
      </c>
      <c r="P65" s="11" t="s">
        <v>802</v>
      </c>
    </row>
    <row r="66" spans="1:16" s="17" customFormat="1">
      <c r="A66" s="11">
        <f t="shared" si="0"/>
        <v>61</v>
      </c>
      <c r="B66" s="47" t="s">
        <v>123</v>
      </c>
      <c r="C66" s="11" t="s">
        <v>251</v>
      </c>
      <c r="D66" s="11" t="s">
        <v>30</v>
      </c>
      <c r="E66" s="92" t="s">
        <v>484</v>
      </c>
      <c r="F66" s="11" t="s">
        <v>14</v>
      </c>
      <c r="G66" s="43" t="s">
        <v>166</v>
      </c>
      <c r="H66" s="11" t="s">
        <v>39</v>
      </c>
      <c r="I66" s="24" t="s">
        <v>238</v>
      </c>
      <c r="J66" s="11" t="s">
        <v>701</v>
      </c>
      <c r="K66" s="11">
        <v>1</v>
      </c>
      <c r="L66" s="11" t="s">
        <v>800</v>
      </c>
      <c r="M66" s="11" t="s">
        <v>30</v>
      </c>
      <c r="N66" s="48" t="s">
        <v>196</v>
      </c>
      <c r="O66" s="11" t="s">
        <v>45</v>
      </c>
      <c r="P66" s="11" t="s">
        <v>802</v>
      </c>
    </row>
    <row r="67" spans="1:16" s="17" customFormat="1">
      <c r="A67" s="11">
        <f t="shared" si="0"/>
        <v>62</v>
      </c>
      <c r="B67" s="47" t="s">
        <v>124</v>
      </c>
      <c r="C67" s="11" t="s">
        <v>252</v>
      </c>
      <c r="D67" s="11" t="s">
        <v>30</v>
      </c>
      <c r="E67" s="92" t="s">
        <v>485</v>
      </c>
      <c r="F67" s="11" t="s">
        <v>14</v>
      </c>
      <c r="G67" s="43" t="s">
        <v>167</v>
      </c>
      <c r="H67" s="11" t="s">
        <v>39</v>
      </c>
      <c r="I67" s="24" t="s">
        <v>239</v>
      </c>
      <c r="J67" s="11" t="s">
        <v>701</v>
      </c>
      <c r="K67" s="11">
        <v>1</v>
      </c>
      <c r="L67" s="11" t="s">
        <v>800</v>
      </c>
      <c r="M67" s="11" t="s">
        <v>30</v>
      </c>
      <c r="N67" s="48" t="s">
        <v>197</v>
      </c>
      <c r="O67" s="11" t="s">
        <v>45</v>
      </c>
      <c r="P67" s="11" t="s">
        <v>802</v>
      </c>
    </row>
    <row r="68" spans="1:16" s="17" customFormat="1">
      <c r="A68" s="11">
        <f t="shared" si="0"/>
        <v>63</v>
      </c>
      <c r="B68" s="47" t="s">
        <v>156</v>
      </c>
      <c r="C68" s="11" t="s">
        <v>253</v>
      </c>
      <c r="D68" s="11" t="s">
        <v>30</v>
      </c>
      <c r="E68" s="92" t="s">
        <v>486</v>
      </c>
      <c r="F68" s="11" t="s">
        <v>14</v>
      </c>
      <c r="G68" s="43" t="s">
        <v>168</v>
      </c>
      <c r="H68" s="11" t="s">
        <v>39</v>
      </c>
      <c r="I68" s="24" t="s">
        <v>240</v>
      </c>
      <c r="J68" s="11" t="s">
        <v>701</v>
      </c>
      <c r="K68" s="11">
        <v>1</v>
      </c>
      <c r="L68" s="11" t="s">
        <v>800</v>
      </c>
      <c r="M68" s="11" t="s">
        <v>30</v>
      </c>
      <c r="N68" s="48" t="s">
        <v>198</v>
      </c>
      <c r="O68" s="11" t="s">
        <v>45</v>
      </c>
      <c r="P68" s="11" t="s">
        <v>802</v>
      </c>
    </row>
    <row r="69" spans="1:16" s="17" customFormat="1">
      <c r="A69" s="11">
        <f t="shared" si="0"/>
        <v>64</v>
      </c>
      <c r="B69" s="47" t="s">
        <v>157</v>
      </c>
      <c r="C69" s="11" t="s">
        <v>254</v>
      </c>
      <c r="D69" s="11" t="s">
        <v>30</v>
      </c>
      <c r="E69" s="92" t="s">
        <v>487</v>
      </c>
      <c r="F69" s="11" t="s">
        <v>14</v>
      </c>
      <c r="G69" s="43" t="s">
        <v>164</v>
      </c>
      <c r="H69" s="11" t="s">
        <v>39</v>
      </c>
      <c r="I69" s="24" t="s">
        <v>241</v>
      </c>
      <c r="J69" s="11" t="s">
        <v>701</v>
      </c>
      <c r="K69" s="11">
        <v>1</v>
      </c>
      <c r="L69" s="11" t="s">
        <v>800</v>
      </c>
      <c r="M69" s="11" t="s">
        <v>30</v>
      </c>
      <c r="N69" s="48" t="s">
        <v>199</v>
      </c>
      <c r="O69" s="11" t="s">
        <v>45</v>
      </c>
      <c r="P69" s="11" t="s">
        <v>802</v>
      </c>
    </row>
    <row r="70" spans="1:16" s="17" customFormat="1">
      <c r="A70" s="11">
        <f t="shared" si="0"/>
        <v>65</v>
      </c>
      <c r="B70" s="47" t="s">
        <v>176</v>
      </c>
      <c r="C70" s="11" t="s">
        <v>323</v>
      </c>
      <c r="D70" s="11" t="s">
        <v>30</v>
      </c>
      <c r="E70" s="92" t="s">
        <v>488</v>
      </c>
      <c r="F70" s="11" t="s">
        <v>14</v>
      </c>
      <c r="G70" s="43" t="s">
        <v>169</v>
      </c>
      <c r="H70" s="11" t="s">
        <v>39</v>
      </c>
      <c r="I70" s="24" t="s">
        <v>242</v>
      </c>
      <c r="J70" s="11" t="s">
        <v>701</v>
      </c>
      <c r="K70" s="11">
        <v>1</v>
      </c>
      <c r="L70" s="11" t="s">
        <v>800</v>
      </c>
      <c r="M70" s="11" t="s">
        <v>30</v>
      </c>
      <c r="N70" s="48" t="s">
        <v>200</v>
      </c>
      <c r="O70" s="11" t="s">
        <v>45</v>
      </c>
      <c r="P70" s="11" t="s">
        <v>802</v>
      </c>
    </row>
    <row r="71" spans="1:16" s="17" customFormat="1">
      <c r="A71" s="11">
        <f t="shared" si="0"/>
        <v>66</v>
      </c>
      <c r="B71" s="47" t="s">
        <v>158</v>
      </c>
      <c r="C71" s="11" t="s">
        <v>255</v>
      </c>
      <c r="D71" s="11" t="s">
        <v>30</v>
      </c>
      <c r="E71" s="92" t="s">
        <v>489</v>
      </c>
      <c r="F71" s="11" t="s">
        <v>14</v>
      </c>
      <c r="G71" s="43" t="s">
        <v>165</v>
      </c>
      <c r="H71" s="11" t="s">
        <v>39</v>
      </c>
      <c r="I71" s="24" t="s">
        <v>243</v>
      </c>
      <c r="J71" s="11" t="s">
        <v>701</v>
      </c>
      <c r="K71" s="11">
        <v>1</v>
      </c>
      <c r="L71" s="11" t="s">
        <v>800</v>
      </c>
      <c r="M71" s="11" t="s">
        <v>30</v>
      </c>
      <c r="N71" s="48" t="s">
        <v>201</v>
      </c>
      <c r="O71" s="11" t="s">
        <v>45</v>
      </c>
      <c r="P71" s="11" t="s">
        <v>802</v>
      </c>
    </row>
    <row r="72" spans="1:16" s="17" customFormat="1">
      <c r="A72" s="11">
        <f t="shared" si="0"/>
        <v>67</v>
      </c>
      <c r="B72" s="47" t="s">
        <v>270</v>
      </c>
      <c r="C72" s="11" t="s">
        <v>256</v>
      </c>
      <c r="D72" s="11" t="s">
        <v>30</v>
      </c>
      <c r="E72" s="92" t="s">
        <v>490</v>
      </c>
      <c r="F72" s="11" t="s">
        <v>14</v>
      </c>
      <c r="G72" s="43" t="s">
        <v>170</v>
      </c>
      <c r="H72" s="11" t="s">
        <v>39</v>
      </c>
      <c r="I72" s="24" t="s">
        <v>244</v>
      </c>
      <c r="J72" s="11" t="s">
        <v>701</v>
      </c>
      <c r="K72" s="11">
        <v>1</v>
      </c>
      <c r="L72" s="11" t="s">
        <v>800</v>
      </c>
      <c r="M72" s="11" t="s">
        <v>30</v>
      </c>
      <c r="N72" s="48" t="s">
        <v>202</v>
      </c>
      <c r="O72" s="11" t="s">
        <v>45</v>
      </c>
      <c r="P72" s="11" t="s">
        <v>802</v>
      </c>
    </row>
    <row r="73" spans="1:16" s="17" customFormat="1">
      <c r="A73" s="11">
        <f t="shared" si="0"/>
        <v>68</v>
      </c>
      <c r="B73" s="47" t="s">
        <v>271</v>
      </c>
      <c r="C73" s="11" t="s">
        <v>262</v>
      </c>
      <c r="D73" s="11" t="s">
        <v>30</v>
      </c>
      <c r="E73" s="92" t="s">
        <v>491</v>
      </c>
      <c r="F73" s="11" t="s">
        <v>14</v>
      </c>
      <c r="G73" s="43" t="s">
        <v>163</v>
      </c>
      <c r="H73" s="11" t="s">
        <v>39</v>
      </c>
      <c r="I73" s="54" t="s">
        <v>265</v>
      </c>
      <c r="J73" s="11" t="s">
        <v>700</v>
      </c>
      <c r="K73" s="11">
        <v>1</v>
      </c>
      <c r="L73" s="11" t="s">
        <v>800</v>
      </c>
      <c r="M73" s="11" t="s">
        <v>30</v>
      </c>
      <c r="N73" s="48" t="s">
        <v>203</v>
      </c>
      <c r="O73" s="11" t="s">
        <v>45</v>
      </c>
      <c r="P73" s="11" t="s">
        <v>802</v>
      </c>
    </row>
    <row r="74" spans="1:16" s="17" customFormat="1">
      <c r="A74" s="11">
        <f t="shared" si="0"/>
        <v>69</v>
      </c>
      <c r="B74" s="47" t="s">
        <v>272</v>
      </c>
      <c r="C74" s="11" t="s">
        <v>257</v>
      </c>
      <c r="D74" s="11" t="s">
        <v>30</v>
      </c>
      <c r="E74" s="92" t="s">
        <v>492</v>
      </c>
      <c r="F74" s="11" t="s">
        <v>14</v>
      </c>
      <c r="G74" s="43" t="s">
        <v>171</v>
      </c>
      <c r="H74" s="11" t="s">
        <v>39</v>
      </c>
      <c r="I74" s="24" t="s">
        <v>245</v>
      </c>
      <c r="J74" s="11" t="s">
        <v>703</v>
      </c>
      <c r="K74" s="11">
        <v>1</v>
      </c>
      <c r="L74" s="11" t="s">
        <v>800</v>
      </c>
      <c r="M74" s="11" t="s">
        <v>30</v>
      </c>
      <c r="N74" s="48" t="s">
        <v>204</v>
      </c>
      <c r="O74" s="11" t="s">
        <v>45</v>
      </c>
      <c r="P74" s="11" t="s">
        <v>802</v>
      </c>
    </row>
    <row r="75" spans="1:16" s="17" customFormat="1">
      <c r="A75" s="11">
        <f t="shared" si="0"/>
        <v>70</v>
      </c>
      <c r="B75" s="47" t="s">
        <v>558</v>
      </c>
      <c r="C75" s="11" t="s">
        <v>258</v>
      </c>
      <c r="D75" s="11" t="s">
        <v>30</v>
      </c>
      <c r="E75" s="92" t="s">
        <v>493</v>
      </c>
      <c r="F75" s="11" t="s">
        <v>14</v>
      </c>
      <c r="G75" s="43" t="s">
        <v>172</v>
      </c>
      <c r="H75" s="11" t="s">
        <v>39</v>
      </c>
      <c r="I75" s="24" t="s">
        <v>246</v>
      </c>
      <c r="J75" s="11" t="s">
        <v>703</v>
      </c>
      <c r="K75" s="11">
        <v>1</v>
      </c>
      <c r="L75" s="11" t="s">
        <v>800</v>
      </c>
      <c r="M75" s="11" t="s">
        <v>30</v>
      </c>
      <c r="N75" s="48" t="s">
        <v>205</v>
      </c>
      <c r="O75" s="11" t="s">
        <v>45</v>
      </c>
      <c r="P75" s="11" t="s">
        <v>802</v>
      </c>
    </row>
    <row r="76" spans="1:16" s="17" customFormat="1">
      <c r="A76" s="11">
        <f t="shared" si="0"/>
        <v>71</v>
      </c>
      <c r="B76" s="47" t="s">
        <v>559</v>
      </c>
      <c r="C76" s="11" t="s">
        <v>259</v>
      </c>
      <c r="D76" s="11" t="s">
        <v>30</v>
      </c>
      <c r="E76" s="92" t="s">
        <v>494</v>
      </c>
      <c r="F76" s="11" t="s">
        <v>14</v>
      </c>
      <c r="G76" s="43" t="s">
        <v>190</v>
      </c>
      <c r="H76" s="11" t="s">
        <v>39</v>
      </c>
      <c r="I76" s="24" t="s">
        <v>247</v>
      </c>
      <c r="J76" s="11" t="s">
        <v>703</v>
      </c>
      <c r="K76" s="11">
        <v>1</v>
      </c>
      <c r="L76" s="11" t="s">
        <v>800</v>
      </c>
      <c r="M76" s="11" t="s">
        <v>30</v>
      </c>
      <c r="N76" s="48" t="s">
        <v>206</v>
      </c>
      <c r="O76" s="11" t="s">
        <v>45</v>
      </c>
      <c r="P76" s="11" t="s">
        <v>802</v>
      </c>
    </row>
    <row r="77" spans="1:16" s="17" customFormat="1">
      <c r="A77" s="11">
        <f t="shared" si="0"/>
        <v>72</v>
      </c>
      <c r="B77" s="47" t="s">
        <v>754</v>
      </c>
      <c r="C77" s="11" t="s">
        <v>260</v>
      </c>
      <c r="D77" s="11" t="s">
        <v>30</v>
      </c>
      <c r="E77" s="92" t="s">
        <v>495</v>
      </c>
      <c r="F77" s="11" t="s">
        <v>14</v>
      </c>
      <c r="G77" s="43" t="s">
        <v>191</v>
      </c>
      <c r="H77" s="11" t="s">
        <v>39</v>
      </c>
      <c r="I77" s="24" t="s">
        <v>248</v>
      </c>
      <c r="J77" s="11" t="s">
        <v>703</v>
      </c>
      <c r="K77" s="11">
        <v>1</v>
      </c>
      <c r="L77" s="11" t="s">
        <v>800</v>
      </c>
      <c r="M77" s="11" t="s">
        <v>30</v>
      </c>
      <c r="N77" s="48" t="s">
        <v>207</v>
      </c>
      <c r="O77" s="11" t="s">
        <v>45</v>
      </c>
      <c r="P77" s="11" t="s">
        <v>802</v>
      </c>
    </row>
    <row r="78" spans="1:16" s="17" customFormat="1">
      <c r="A78" s="11">
        <f t="shared" si="0"/>
        <v>73</v>
      </c>
      <c r="B78" s="47" t="s">
        <v>755</v>
      </c>
      <c r="C78" s="11" t="s">
        <v>263</v>
      </c>
      <c r="D78" s="11" t="s">
        <v>30</v>
      </c>
      <c r="E78" s="92" t="s">
        <v>496</v>
      </c>
      <c r="F78" s="11" t="s">
        <v>14</v>
      </c>
      <c r="G78" s="43" t="s">
        <v>208</v>
      </c>
      <c r="H78" s="11" t="s">
        <v>39</v>
      </c>
      <c r="I78" s="24" t="s">
        <v>264</v>
      </c>
      <c r="J78" s="11" t="s">
        <v>703</v>
      </c>
      <c r="K78" s="11">
        <v>1</v>
      </c>
      <c r="L78" s="11" t="s">
        <v>800</v>
      </c>
      <c r="M78" s="11" t="s">
        <v>30</v>
      </c>
      <c r="N78" s="48" t="s">
        <v>215</v>
      </c>
      <c r="O78" s="11" t="s">
        <v>45</v>
      </c>
      <c r="P78" s="11" t="s">
        <v>802</v>
      </c>
    </row>
    <row r="79" spans="1:16" s="17" customFormat="1">
      <c r="A79" s="11">
        <f t="shared" si="0"/>
        <v>74</v>
      </c>
      <c r="B79" s="47" t="s">
        <v>791</v>
      </c>
      <c r="C79" s="52" t="s">
        <v>778</v>
      </c>
      <c r="D79" s="11" t="s">
        <v>30</v>
      </c>
      <c r="E79" s="91" t="s">
        <v>497</v>
      </c>
      <c r="F79" s="11" t="s">
        <v>14</v>
      </c>
      <c r="G79" s="13" t="s">
        <v>533</v>
      </c>
      <c r="H79" s="52" t="s">
        <v>585</v>
      </c>
      <c r="I79" s="55" t="s">
        <v>780</v>
      </c>
      <c r="J79" s="11" t="s">
        <v>30</v>
      </c>
      <c r="K79" s="11">
        <v>1</v>
      </c>
      <c r="L79" s="11" t="s">
        <v>800</v>
      </c>
      <c r="M79" s="11" t="s">
        <v>30</v>
      </c>
      <c r="N79" s="71" t="s">
        <v>461</v>
      </c>
      <c r="O79" s="11" t="s">
        <v>269</v>
      </c>
      <c r="P79" s="11" t="s">
        <v>802</v>
      </c>
    </row>
    <row r="80" spans="1:16" s="17" customFormat="1">
      <c r="A80" s="11">
        <f t="shared" si="0"/>
        <v>75</v>
      </c>
      <c r="B80" s="47"/>
      <c r="C80" s="52" t="s">
        <v>779</v>
      </c>
      <c r="D80" s="11" t="s">
        <v>30</v>
      </c>
      <c r="E80" s="91" t="s">
        <v>497</v>
      </c>
      <c r="F80" s="11" t="s">
        <v>14</v>
      </c>
      <c r="G80" s="13" t="s">
        <v>533</v>
      </c>
      <c r="H80" s="52" t="s">
        <v>586</v>
      </c>
      <c r="I80" s="55" t="s">
        <v>781</v>
      </c>
      <c r="J80" s="11" t="s">
        <v>30</v>
      </c>
      <c r="K80" s="11"/>
      <c r="L80" s="11" t="s">
        <v>800</v>
      </c>
      <c r="M80" s="11" t="s">
        <v>30</v>
      </c>
      <c r="N80" s="48"/>
      <c r="O80" s="11" t="s">
        <v>269</v>
      </c>
      <c r="P80" s="11" t="s">
        <v>802</v>
      </c>
    </row>
    <row r="81" spans="1:16" s="25" customFormat="1">
      <c r="A81" s="11">
        <v>63</v>
      </c>
      <c r="B81" s="47" t="s">
        <v>561</v>
      </c>
      <c r="C81" s="96" t="s">
        <v>564</v>
      </c>
      <c r="D81" s="11" t="s">
        <v>30</v>
      </c>
      <c r="E81" s="91" t="s">
        <v>34</v>
      </c>
      <c r="F81" s="11" t="s">
        <v>30</v>
      </c>
      <c r="G81" s="53" t="s">
        <v>565</v>
      </c>
      <c r="H81" s="11" t="s">
        <v>566</v>
      </c>
      <c r="I81" s="11" t="s">
        <v>762</v>
      </c>
      <c r="J81" s="50" t="s">
        <v>127</v>
      </c>
      <c r="K81" s="50">
        <v>1</v>
      </c>
      <c r="L81" s="11" t="s">
        <v>800</v>
      </c>
      <c r="M81" s="11" t="s">
        <v>30</v>
      </c>
      <c r="N81" s="48" t="s">
        <v>567</v>
      </c>
      <c r="O81" s="52" t="s">
        <v>562</v>
      </c>
      <c r="P81" s="11" t="s">
        <v>802</v>
      </c>
    </row>
    <row r="82" spans="1:16">
      <c r="A82" s="45">
        <f t="shared" ref="A82:A84" si="2">ROW(A82)-5</f>
        <v>77</v>
      </c>
      <c r="B82" s="47" t="s">
        <v>756</v>
      </c>
      <c r="C82" s="96" t="s">
        <v>569</v>
      </c>
      <c r="D82" s="99" t="s">
        <v>14</v>
      </c>
      <c r="E82" s="45" t="s">
        <v>34</v>
      </c>
      <c r="F82" s="45" t="s">
        <v>14</v>
      </c>
      <c r="G82" s="53" t="s">
        <v>570</v>
      </c>
      <c r="H82" s="11" t="s">
        <v>20</v>
      </c>
      <c r="I82" s="11" t="s">
        <v>763</v>
      </c>
      <c r="J82" s="99" t="s">
        <v>14</v>
      </c>
      <c r="K82" s="50">
        <v>3</v>
      </c>
      <c r="L82" s="11" t="s">
        <v>800</v>
      </c>
      <c r="M82" s="11" t="s">
        <v>30</v>
      </c>
      <c r="N82" s="48" t="s">
        <v>573</v>
      </c>
      <c r="O82" s="101" t="s">
        <v>129</v>
      </c>
      <c r="P82" s="11" t="s">
        <v>802</v>
      </c>
    </row>
    <row r="83" spans="1:16">
      <c r="A83" s="45">
        <f t="shared" si="2"/>
        <v>78</v>
      </c>
      <c r="B83" s="47" t="s">
        <v>759</v>
      </c>
      <c r="C83" s="96" t="s">
        <v>760</v>
      </c>
      <c r="D83" s="99" t="s">
        <v>14</v>
      </c>
      <c r="E83" s="45" t="s">
        <v>34</v>
      </c>
      <c r="F83" s="45" t="s">
        <v>14</v>
      </c>
      <c r="G83" s="53" t="s">
        <v>572</v>
      </c>
      <c r="H83" s="11" t="s">
        <v>20</v>
      </c>
      <c r="I83" s="11" t="s">
        <v>764</v>
      </c>
      <c r="J83" s="99" t="s">
        <v>14</v>
      </c>
      <c r="K83" s="50">
        <v>4</v>
      </c>
      <c r="L83" s="11" t="s">
        <v>800</v>
      </c>
      <c r="M83" s="11" t="s">
        <v>30</v>
      </c>
      <c r="N83" s="48" t="s">
        <v>804</v>
      </c>
      <c r="O83" s="101" t="s">
        <v>129</v>
      </c>
      <c r="P83" s="11" t="s">
        <v>802</v>
      </c>
    </row>
    <row r="84" spans="1:16">
      <c r="A84" s="11">
        <f t="shared" si="2"/>
        <v>79</v>
      </c>
      <c r="B84" s="47" t="s">
        <v>792</v>
      </c>
      <c r="C84" s="96" t="s">
        <v>761</v>
      </c>
      <c r="D84" s="11" t="s">
        <v>30</v>
      </c>
      <c r="E84" s="50" t="s">
        <v>34</v>
      </c>
      <c r="F84" s="11" t="s">
        <v>30</v>
      </c>
      <c r="G84" s="53" t="s">
        <v>230</v>
      </c>
      <c r="H84" s="11" t="s">
        <v>154</v>
      </c>
      <c r="I84" s="11" t="s">
        <v>765</v>
      </c>
      <c r="J84" s="50" t="s">
        <v>127</v>
      </c>
      <c r="K84" s="50">
        <v>1</v>
      </c>
      <c r="L84" s="11" t="s">
        <v>800</v>
      </c>
      <c r="M84" s="11" t="s">
        <v>30</v>
      </c>
      <c r="N84" s="48"/>
      <c r="O84" s="52" t="s">
        <v>129</v>
      </c>
      <c r="P84" s="11" t="s">
        <v>803</v>
      </c>
    </row>
    <row r="85" spans="1:16">
      <c r="B85" s="3"/>
      <c r="C85" s="2"/>
      <c r="H85" s="5"/>
      <c r="I85" s="2"/>
    </row>
    <row r="86" spans="1:16">
      <c r="A86" s="17"/>
      <c r="B86" s="1" t="s">
        <v>15</v>
      </c>
      <c r="C86" s="10" t="s">
        <v>16</v>
      </c>
      <c r="D86" s="18"/>
      <c r="E86" s="17"/>
      <c r="F86" s="17"/>
      <c r="G86" s="4"/>
      <c r="H86" s="17"/>
      <c r="I86" s="17"/>
      <c r="J86" s="17"/>
      <c r="O86" s="17"/>
      <c r="P86" s="17"/>
    </row>
    <row r="87" spans="1:16">
      <c r="A87" s="17"/>
      <c r="B87" s="17"/>
      <c r="C87" s="15" t="s">
        <v>5</v>
      </c>
      <c r="D87" s="17"/>
      <c r="E87" s="17"/>
      <c r="F87" s="17"/>
      <c r="G87" s="16"/>
      <c r="H87" s="17"/>
      <c r="I87" s="17"/>
      <c r="J87" s="17"/>
      <c r="O87" s="17"/>
      <c r="P87" s="17"/>
    </row>
    <row r="88" spans="1:16">
      <c r="A88" s="17"/>
      <c r="B88" s="17"/>
      <c r="C88" s="19" t="s">
        <v>6</v>
      </c>
      <c r="D88" s="17"/>
      <c r="E88" s="17"/>
      <c r="F88" s="17"/>
      <c r="G88" s="16"/>
      <c r="H88" s="17"/>
      <c r="I88" s="17"/>
      <c r="J88" s="17"/>
      <c r="O88" s="17"/>
      <c r="P88" s="17"/>
    </row>
    <row r="89" spans="1:16">
      <c r="C89" s="20" t="s">
        <v>52</v>
      </c>
      <c r="G89" s="18"/>
    </row>
    <row r="90" spans="1:16" ht="46.5">
      <c r="C90" s="29" t="s">
        <v>53</v>
      </c>
    </row>
    <row r="91" spans="1:16">
      <c r="K91" s="7"/>
      <c r="L91" s="7"/>
      <c r="M91" s="7"/>
    </row>
    <row r="92" spans="1:16">
      <c r="G92" s="22"/>
    </row>
  </sheetData>
  <autoFilter ref="A5:P5" xr:uid="{63B99B1A-AB98-4772-B402-B8BE871E85E6}"/>
  <mergeCells count="4">
    <mergeCell ref="A3:B3"/>
    <mergeCell ref="A4:B4"/>
    <mergeCell ref="A1:P1"/>
    <mergeCell ref="A2:P2"/>
  </mergeCells>
  <phoneticPr fontId="18" type="noConversion"/>
  <conditionalFormatting sqref="A1:A2 N3:N5 O3:O50 A7:K10 N7:N27 L7:M84 F11:K19 H20:K21 N31:N32 N34:N35 N37:N42 A40:K40 J43:K53 A54:K55 N60:N78 H84:J84 A85:O1048576">
    <cfRule type="containsText" dxfId="428" priority="288" operator="containsText" text="TBD">
      <formula>NOT(ISERROR(SEARCH("TBD",A1)))</formula>
    </cfRule>
  </conditionalFormatting>
  <conditionalFormatting sqref="A21:B26">
    <cfRule type="containsText" dxfId="427" priority="278" operator="containsText" text="TBD">
      <formula>NOT(ISERROR(SEARCH("TBD",A21)))</formula>
    </cfRule>
  </conditionalFormatting>
  <conditionalFormatting sqref="A28:B28">
    <cfRule type="containsText" dxfId="426" priority="234" operator="containsText" text="TBD">
      <formula>NOT(ISERROR(SEARCH("TBD",A28)))</formula>
    </cfRule>
  </conditionalFormatting>
  <conditionalFormatting sqref="A43:B45">
    <cfRule type="containsText" dxfId="425" priority="128" operator="containsText" text="TBD">
      <formula>NOT(ISERROR(SEARCH("TBD",A43)))</formula>
    </cfRule>
  </conditionalFormatting>
  <conditionalFormatting sqref="A56:B59 D56:D59 F56:K78">
    <cfRule type="containsText" dxfId="424" priority="43" operator="containsText" text="TBD">
      <formula>NOT(ISERROR(SEARCH("TBD",A56)))</formula>
    </cfRule>
  </conditionalFormatting>
  <conditionalFormatting sqref="A50:C53">
    <cfRule type="containsText" dxfId="423" priority="35" operator="containsText" text="TBD">
      <formula>NOT(ISERROR(SEARCH("TBD",A50)))</formula>
    </cfRule>
  </conditionalFormatting>
  <conditionalFormatting sqref="A11:D20">
    <cfRule type="containsText" dxfId="422" priority="286" operator="containsText" text="TBD">
      <formula>NOT(ISERROR(SEARCH("TBD",A11)))</formula>
    </cfRule>
  </conditionalFormatting>
  <conditionalFormatting sqref="A60:D61 B62:B79">
    <cfRule type="containsText" dxfId="421" priority="272" operator="containsText" text="TBD">
      <formula>NOT(ISERROR(SEARCH("TBD",A60)))</formula>
    </cfRule>
  </conditionalFormatting>
  <conditionalFormatting sqref="A41:F42">
    <cfRule type="containsText" dxfId="420" priority="265" operator="containsText" text="TBD">
      <formula>NOT(ISERROR(SEARCH("TBD",A41)))</formula>
    </cfRule>
  </conditionalFormatting>
  <conditionalFormatting sqref="A27:G27">
    <cfRule type="containsText" dxfId="419" priority="263" operator="containsText" text="TBD">
      <formula>NOT(ISERROR(SEARCH("TBD",A27)))</formula>
    </cfRule>
  </conditionalFormatting>
  <conditionalFormatting sqref="A29:G30">
    <cfRule type="containsText" dxfId="418" priority="223" operator="containsText" text="TBD">
      <formula>NOT(ISERROR(SEARCH("TBD",A29)))</formula>
    </cfRule>
  </conditionalFormatting>
  <conditionalFormatting sqref="A82:G84">
    <cfRule type="containsText" dxfId="417" priority="52" operator="containsText" text="TBD">
      <formula>NOT(ISERROR(SEARCH("TBD",A82)))</formula>
    </cfRule>
  </conditionalFormatting>
  <conditionalFormatting sqref="A46:I49">
    <cfRule type="containsText" dxfId="416" priority="114" operator="containsText" text="TBD">
      <formula>NOT(ISERROR(SEARCH("TBD",A46)))</formula>
    </cfRule>
  </conditionalFormatting>
  <conditionalFormatting sqref="A81:K81">
    <cfRule type="containsText" dxfId="415" priority="145" operator="containsText" text="TBD">
      <formula>NOT(ISERROR(SEARCH("TBD",A81)))</formula>
    </cfRule>
  </conditionalFormatting>
  <conditionalFormatting sqref="A3:M4">
    <cfRule type="containsText" dxfId="414" priority="110" operator="containsText" text="TBD">
      <formula>NOT(ISERROR(SEARCH("TBD",A3)))</formula>
    </cfRule>
  </conditionalFormatting>
  <conditionalFormatting sqref="A5:O6">
    <cfRule type="containsText" dxfId="413" priority="107" operator="containsText" text="TBD">
      <formula>NOT(ISERROR(SEARCH("TBD",A5)))</formula>
    </cfRule>
  </conditionalFormatting>
  <conditionalFormatting sqref="C27:C31">
    <cfRule type="containsText" dxfId="412" priority="224" operator="containsText" text="TBD">
      <formula>NOT(ISERROR(SEARCH("TBD",C27)))</formula>
    </cfRule>
  </conditionalFormatting>
  <conditionalFormatting sqref="C33:C40">
    <cfRule type="containsText" dxfId="411" priority="164" operator="containsText" text="TBD">
      <formula>NOT(ISERROR(SEARCH("TBD",C33)))</formula>
    </cfRule>
  </conditionalFormatting>
  <conditionalFormatting sqref="C42:C45">
    <cfRule type="containsText" dxfId="410" priority="116" operator="containsText" text="TBD">
      <formula>NOT(ISERROR(SEARCH("TBD",C42)))</formula>
    </cfRule>
  </conditionalFormatting>
  <conditionalFormatting sqref="C55:C60">
    <cfRule type="containsText" dxfId="409" priority="44" operator="containsText" text="TBD">
      <formula>NOT(ISERROR(SEARCH("TBD",C55)))</formula>
    </cfRule>
  </conditionalFormatting>
  <conditionalFormatting sqref="C86:C89">
    <cfRule type="containsText" dxfId="408" priority="293" operator="containsText" text="TBD">
      <formula>NOT(ISERROR(SEARCH("TBD",C86)))</formula>
    </cfRule>
  </conditionalFormatting>
  <conditionalFormatting sqref="C21:D24">
    <cfRule type="containsText" dxfId="407" priority="237" operator="containsText" text="TBD">
      <formula>NOT(ISERROR(SEARCH("TBD",C21)))</formula>
    </cfRule>
  </conditionalFormatting>
  <conditionalFormatting sqref="C61:D78">
    <cfRule type="containsText" dxfId="406" priority="61" operator="containsText" text="TBD">
      <formula>NOT(ISERROR(SEARCH("TBD",C61)))</formula>
    </cfRule>
  </conditionalFormatting>
  <conditionalFormatting sqref="C25:G26">
    <cfRule type="containsText" dxfId="405" priority="283" operator="containsText" text="TBD">
      <formula>NOT(ISERROR(SEARCH("TBD",C25)))</formula>
    </cfRule>
  </conditionalFormatting>
  <conditionalFormatting sqref="C79:K80">
    <cfRule type="containsText" dxfId="404" priority="45" operator="containsText" text="TBD">
      <formula>NOT(ISERROR(SEARCH("TBD",C79)))</formula>
    </cfRule>
  </conditionalFormatting>
  <conditionalFormatting sqref="D31:F31 C32:F32">
    <cfRule type="containsText" dxfId="403" priority="282" operator="containsText" text="TBD">
      <formula>NOT(ISERROR(SEARCH("TBD",C31)))</formula>
    </cfRule>
  </conditionalFormatting>
  <conditionalFormatting sqref="D33:F34">
    <cfRule type="containsText" dxfId="402" priority="176" operator="containsText" text="TBD">
      <formula>NOT(ISERROR(SEARCH("TBD",D33)))</formula>
    </cfRule>
  </conditionalFormatting>
  <conditionalFormatting sqref="D43:F45">
    <cfRule type="containsText" dxfId="401" priority="129" operator="containsText" text="TBD">
      <formula>NOT(ISERROR(SEARCH("TBD",D43)))</formula>
    </cfRule>
  </conditionalFormatting>
  <conditionalFormatting sqref="D52:F52">
    <cfRule type="containsText" dxfId="400" priority="74" operator="containsText" text="TBD">
      <formula>NOT(ISERROR(SEARCH("TBD",D52)))</formula>
    </cfRule>
  </conditionalFormatting>
  <conditionalFormatting sqref="D28:G28">
    <cfRule type="containsText" dxfId="399" priority="227" operator="containsText" text="TBD">
      <formula>NOT(ISERROR(SEARCH("TBD",D28)))</formula>
    </cfRule>
  </conditionalFormatting>
  <conditionalFormatting sqref="D35:G39">
    <cfRule type="containsText" dxfId="398" priority="161" operator="containsText" text="TBD">
      <formula>NOT(ISERROR(SEARCH("TBD",D35)))</formula>
    </cfRule>
  </conditionalFormatting>
  <conditionalFormatting sqref="D51:G51">
    <cfRule type="containsText" dxfId="397" priority="72" operator="containsText" text="TBD">
      <formula>NOT(ISERROR(SEARCH("TBD",D51)))</formula>
    </cfRule>
  </conditionalFormatting>
  <conditionalFormatting sqref="D53:H53">
    <cfRule type="containsText" dxfId="396" priority="40" operator="containsText" text="TBD">
      <formula>NOT(ISERROR(SEARCH("TBD",D53)))</formula>
    </cfRule>
  </conditionalFormatting>
  <conditionalFormatting sqref="E11:E23">
    <cfRule type="containsText" dxfId="395" priority="130" operator="containsText" text="TBD">
      <formula>NOT(ISERROR(SEARCH("TBD",E11)))</formula>
    </cfRule>
  </conditionalFormatting>
  <conditionalFormatting sqref="E33">
    <cfRule type="containsText" dxfId="394" priority="174" operator="containsText" text="TBD">
      <formula>NOT(ISERROR(SEARCH("TBD",E33)))</formula>
    </cfRule>
  </conditionalFormatting>
  <conditionalFormatting sqref="E50:E53">
    <cfRule type="containsText" dxfId="393" priority="38" operator="containsText" text="TBD">
      <formula>NOT(ISERROR(SEARCH("TBD",E50)))</formula>
    </cfRule>
  </conditionalFormatting>
  <conditionalFormatting sqref="E55:E78">
    <cfRule type="containsText" dxfId="392" priority="41" operator="containsText" text="TBD">
      <formula>NOT(ISERROR(SEARCH("TBD",E55)))</formula>
    </cfRule>
  </conditionalFormatting>
  <conditionalFormatting sqref="F20:F21">
    <cfRule type="containsText" dxfId="391" priority="292" operator="containsText" text="TBD">
      <formula>NOT(ISERROR(SEARCH("TBD",F20)))</formula>
    </cfRule>
  </conditionalFormatting>
  <conditionalFormatting sqref="F22:K24">
    <cfRule type="containsText" dxfId="390" priority="236" operator="containsText" text="TBD">
      <formula>NOT(ISERROR(SEARCH("TBD",F22)))</formula>
    </cfRule>
  </conditionalFormatting>
  <conditionalFormatting sqref="G31:G34">
    <cfRule type="containsText" dxfId="389" priority="169" operator="containsText" text="TBD">
      <formula>NOT(ISERROR(SEARCH("TBD",G31)))</formula>
    </cfRule>
  </conditionalFormatting>
  <conditionalFormatting sqref="G41:G45">
    <cfRule type="containsText" dxfId="388" priority="126" operator="containsText" text="TBD">
      <formula>NOT(ISERROR(SEARCH("TBD",G41)))</formula>
    </cfRule>
  </conditionalFormatting>
  <conditionalFormatting sqref="G50:G53">
    <cfRule type="containsText" dxfId="387" priority="37" operator="containsText" text="TBD">
      <formula>NOT(ISERROR(SEARCH("TBD",G50)))</formula>
    </cfRule>
  </conditionalFormatting>
  <conditionalFormatting sqref="H25:H39 A31:B39">
    <cfRule type="containsText" dxfId="386" priority="168" operator="containsText" text="TBD">
      <formula>NOT(ISERROR(SEARCH("TBD",A25)))</formula>
    </cfRule>
  </conditionalFormatting>
  <conditionalFormatting sqref="H50:H52">
    <cfRule type="containsText" dxfId="385" priority="69" operator="containsText" text="TBD">
      <formula>NOT(ISERROR(SEARCH("TBD",H50)))</formula>
    </cfRule>
  </conditionalFormatting>
  <conditionalFormatting sqref="H43:I45">
    <cfRule type="containsText" dxfId="384" priority="119" operator="containsText" text="TBD">
      <formula>NOT(ISERROR(SEARCH("TBD",H43)))</formula>
    </cfRule>
  </conditionalFormatting>
  <conditionalFormatting sqref="H81:I84">
    <cfRule type="containsText" dxfId="383" priority="137" operator="containsText" text="TBD">
      <formula>NOT(ISERROR(SEARCH("TBD",H81)))</formula>
    </cfRule>
  </conditionalFormatting>
  <conditionalFormatting sqref="H41:K42">
    <cfRule type="containsText" dxfId="382" priority="269" operator="containsText" text="TBD">
      <formula>NOT(ISERROR(SEARCH("TBD",H41)))</formula>
    </cfRule>
  </conditionalFormatting>
  <conditionalFormatting sqref="I33">
    <cfRule type="containsText" dxfId="381" priority="170" operator="containsText" text="TBD">
      <formula>NOT(ISERROR(SEARCH("TBD",I33)))</formula>
    </cfRule>
  </conditionalFormatting>
  <conditionalFormatting sqref="I50:I53">
    <cfRule type="containsText" dxfId="380" priority="36" operator="containsText" text="TBD">
      <formula>NOT(ISERROR(SEARCH("TBD",I50)))</formula>
    </cfRule>
  </conditionalFormatting>
  <conditionalFormatting sqref="I25:K32">
    <cfRule type="containsText" dxfId="379" priority="225" operator="containsText" text="TBD">
      <formula>NOT(ISERROR(SEARCH("TBD",I25)))</formula>
    </cfRule>
  </conditionalFormatting>
  <conditionalFormatting sqref="I36:K39">
    <cfRule type="containsText" dxfId="378" priority="162" operator="containsText" text="TBD">
      <formula>NOT(ISERROR(SEARCH("TBD",I36)))</formula>
    </cfRule>
  </conditionalFormatting>
  <conditionalFormatting sqref="J82:J83">
    <cfRule type="containsText" dxfId="377" priority="140" operator="containsText" text="TBD">
      <formula>NOT(ISERROR(SEARCH("TBD",J82)))</formula>
    </cfRule>
  </conditionalFormatting>
  <conditionalFormatting sqref="J33:K35">
    <cfRule type="containsText" dxfId="376" priority="160" operator="containsText" text="TBD">
      <formula>NOT(ISERROR(SEARCH("TBD",J33)))</formula>
    </cfRule>
  </conditionalFormatting>
  <conditionalFormatting sqref="K82:K84">
    <cfRule type="containsText" dxfId="375" priority="51" operator="containsText" text="TBD">
      <formula>NOT(ISERROR(SEARCH("TBD",K82)))</formula>
    </cfRule>
  </conditionalFormatting>
  <conditionalFormatting sqref="N80:N84">
    <cfRule type="containsText" dxfId="374" priority="1" operator="containsText" text="TBD">
      <formula>NOT(ISERROR(SEARCH("TBD",N80)))</formula>
    </cfRule>
  </conditionalFormatting>
  <conditionalFormatting sqref="N28:O30">
    <cfRule type="containsText" dxfId="373" priority="221" operator="containsText" text="TBD">
      <formula>NOT(ISERROR(SEARCH("TBD",N28)))</formula>
    </cfRule>
  </conditionalFormatting>
  <conditionalFormatting sqref="N33:O33">
    <cfRule type="containsText" dxfId="372" priority="171" operator="containsText" text="TBD">
      <formula>NOT(ISERROR(SEARCH("TBD",N33)))</formula>
    </cfRule>
  </conditionalFormatting>
  <conditionalFormatting sqref="N36:O36">
    <cfRule type="containsText" dxfId="371" priority="163" operator="containsText" text="TBD">
      <formula>NOT(ISERROR(SEARCH("TBD",N36)))</formula>
    </cfRule>
  </conditionalFormatting>
  <conditionalFormatting sqref="N43:O59">
    <cfRule type="containsText" dxfId="370" priority="90" operator="containsText" text="TBD">
      <formula>NOT(ISERROR(SEARCH("TBD",N43)))</formula>
    </cfRule>
  </conditionalFormatting>
  <conditionalFormatting sqref="N79:O79">
    <cfRule type="containsText" dxfId="369" priority="251" operator="containsText" text="TBD">
      <formula>NOT(ISERROR(SEARCH("TBD",N79)))</formula>
    </cfRule>
  </conditionalFormatting>
  <conditionalFormatting sqref="O60:O84">
    <cfRule type="containsText" dxfId="368" priority="138" operator="containsText" text="TBD">
      <formula>NOT(ISERROR(SEARCH("TBD",O60)))</formula>
    </cfRule>
  </conditionalFormatting>
  <conditionalFormatting sqref="O83">
    <cfRule type="containsText" dxfId="367" priority="136" operator="containsText" text="Group A">
      <formula>NOT(ISERROR(SEARCH("Group A",O83)))</formula>
    </cfRule>
    <cfRule type="containsText" dxfId="366" priority="135" operator="containsText" text="Group A">
      <formula>NOT(ISERROR(SEARCH("Group A",O83)))</formula>
    </cfRule>
    <cfRule type="containsText" dxfId="365" priority="134" operator="containsText" text="Group B">
      <formula>NOT(ISERROR(SEARCH("Group B",O83)))</formula>
    </cfRule>
    <cfRule type="containsText" dxfId="364" priority="133" operator="containsText" text="Group A">
      <formula>NOT(ISERROR(SEARCH("Group A",O83)))</formula>
    </cfRule>
  </conditionalFormatting>
  <conditionalFormatting sqref="P3:P1048576">
    <cfRule type="containsText" dxfId="363" priority="11" operator="containsText" text="TBD">
      <formula>NOT(ISERROR(SEARCH("TBD",P3)))</formula>
    </cfRule>
  </conditionalFormatting>
  <conditionalFormatting sqref="P7:P14">
    <cfRule type="containsText" dxfId="362" priority="4" operator="containsText" text="TBD">
      <formula>NOT(ISERROR(SEARCH("TBD",P7)))</formula>
    </cfRule>
  </conditionalFormatting>
  <conditionalFormatting sqref="P24">
    <cfRule type="containsText" dxfId="361" priority="3" operator="containsText" text="TBD">
      <formula>NOT(ISERROR(SEARCH("TBD",P24)))</formula>
    </cfRule>
  </conditionalFormatting>
  <conditionalFormatting sqref="P81">
    <cfRule type="containsText" dxfId="360" priority="7" operator="containsText" text="Group A">
      <formula>NOT(ISERROR(SEARCH("Group A",P81)))</formula>
    </cfRule>
    <cfRule type="containsText" dxfId="359" priority="9" operator="containsText" text="Group A">
      <formula>NOT(ISERROR(SEARCH("Group A",P81)))</formula>
    </cfRule>
    <cfRule type="containsText" dxfId="358" priority="8" operator="containsText" text="Group B">
      <formula>NOT(ISERROR(SEARCH("Group B",P81)))</formula>
    </cfRule>
    <cfRule type="containsText" dxfId="357" priority="10" operator="containsText" text="Group A">
      <formula>NOT(ISERROR(SEARCH("Group A",P81)))</formula>
    </cfRule>
  </conditionalFormatting>
  <conditionalFormatting sqref="P84">
    <cfRule type="containsText" dxfId="356" priority="2" operator="containsText" text="TBD">
      <formula>NOT(ISERROR(SEARCH("TBD",P84)))</formula>
    </cfRule>
  </conditionalFormatting>
  <conditionalFormatting sqref="Q1:XFD58 D50:F50">
    <cfRule type="containsText" dxfId="355" priority="98" operator="containsText" text="TBD">
      <formula>NOT(ISERROR(SEARCH("TBD",D1)))</formula>
    </cfRule>
  </conditionalFormatting>
  <conditionalFormatting sqref="Q60:XFD1048576 A61:A79 A80:B80">
    <cfRule type="containsText" dxfId="354" priority="277" operator="containsText" text="TBD">
      <formula>NOT(ISERROR(SEARCH("TBD",A60)))</formula>
    </cfRule>
  </conditionalFormatting>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DF0F3-F6B5-411B-8688-A7AE0AB863D4}">
  <sheetPr>
    <tabColor theme="8" tint="-0.249977111117893"/>
  </sheetPr>
  <dimension ref="A1:AU92"/>
  <sheetViews>
    <sheetView tabSelected="1" zoomScale="55" zoomScaleNormal="55" workbookViewId="0">
      <pane ySplit="5" topLeftCell="A8" activePane="bottomLeft" state="frozen"/>
      <selection activeCell="I40" sqref="I40"/>
      <selection pane="bottomLeft" activeCell="I40" sqref="I4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6328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36.90625" style="6" customWidth="1"/>
    <col min="15" max="16" width="17.269531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1A72CF400-600-GNA</v>
      </c>
      <c r="D3" s="26" t="s">
        <v>1</v>
      </c>
      <c r="E3" s="27" t="s">
        <v>14</v>
      </c>
      <c r="F3" s="26"/>
      <c r="G3" s="26"/>
      <c r="H3" s="26"/>
      <c r="I3" s="26"/>
      <c r="J3" s="26"/>
      <c r="K3" s="26"/>
      <c r="L3" s="26"/>
      <c r="M3" s="26"/>
      <c r="N3" s="44"/>
      <c r="O3" s="26"/>
      <c r="P3" s="26"/>
    </row>
    <row r="4" spans="1:16" s="8" customFormat="1">
      <c r="A4" s="179" t="s">
        <v>8</v>
      </c>
      <c r="B4" s="179"/>
      <c r="C4" s="89" t="str">
        <f>E6</f>
        <v>TBD</v>
      </c>
      <c r="D4" s="41" t="s">
        <v>9</v>
      </c>
      <c r="E4" s="42" t="s">
        <v>14</v>
      </c>
      <c r="F4" s="41" t="s">
        <v>10</v>
      </c>
      <c r="G4" s="13" t="str">
        <f>G6</f>
        <v>Maxwell Mercury_L10 Compute Tray Assy_Sun-Ref, Samsung, without NVIDIA Group A</v>
      </c>
      <c r="H4" s="41"/>
      <c r="I4" s="41"/>
      <c r="J4" s="41"/>
      <c r="K4" s="41"/>
      <c r="L4" s="41"/>
      <c r="M4" s="41"/>
      <c r="N4" s="44"/>
      <c r="O4" s="41"/>
      <c r="P4" s="41"/>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ROW(A6)-5</f>
        <v>1</v>
      </c>
      <c r="B6" s="49" t="s">
        <v>36</v>
      </c>
      <c r="C6" s="52" t="s">
        <v>668</v>
      </c>
      <c r="D6" s="11" t="s">
        <v>17</v>
      </c>
      <c r="E6" s="91" t="s">
        <v>34</v>
      </c>
      <c r="F6" s="11" t="s">
        <v>14</v>
      </c>
      <c r="G6" s="13" t="s">
        <v>689</v>
      </c>
      <c r="H6" s="11" t="s">
        <v>20</v>
      </c>
      <c r="I6" s="52" t="str">
        <f>C6</f>
        <v>1A72CF400-600-GNA</v>
      </c>
      <c r="J6" s="11" t="s">
        <v>14</v>
      </c>
      <c r="K6" s="11">
        <v>1</v>
      </c>
      <c r="L6" s="11" t="s">
        <v>800</v>
      </c>
      <c r="M6" s="11" t="s">
        <v>30</v>
      </c>
      <c r="N6" s="45"/>
      <c r="O6" s="11" t="s">
        <v>14</v>
      </c>
      <c r="P6" s="11" t="s">
        <v>802</v>
      </c>
    </row>
    <row r="7" spans="1:16" ht="62">
      <c r="A7" s="123">
        <f>ROW(A7)-5</f>
        <v>2</v>
      </c>
      <c r="B7" s="124" t="s">
        <v>29</v>
      </c>
      <c r="C7" s="125" t="s">
        <v>218</v>
      </c>
      <c r="D7" s="123" t="s">
        <v>17</v>
      </c>
      <c r="E7" s="123" t="s">
        <v>34</v>
      </c>
      <c r="F7" s="123" t="s">
        <v>14</v>
      </c>
      <c r="G7" s="127" t="s">
        <v>189</v>
      </c>
      <c r="H7" s="123" t="s">
        <v>40</v>
      </c>
      <c r="I7" s="128" t="s">
        <v>216</v>
      </c>
      <c r="J7" s="123" t="s">
        <v>14</v>
      </c>
      <c r="K7" s="123">
        <v>1</v>
      </c>
      <c r="L7" s="128" t="s">
        <v>800</v>
      </c>
      <c r="M7" s="128" t="s">
        <v>30</v>
      </c>
      <c r="N7" s="129" t="s">
        <v>460</v>
      </c>
      <c r="O7" s="123" t="s">
        <v>42</v>
      </c>
      <c r="P7" s="128" t="s">
        <v>803</v>
      </c>
    </row>
    <row r="8" spans="1:16" ht="62">
      <c r="A8" s="123">
        <f>ROW(A8)-5</f>
        <v>3</v>
      </c>
      <c r="B8" s="124" t="s">
        <v>37</v>
      </c>
      <c r="C8" s="125" t="s">
        <v>343</v>
      </c>
      <c r="D8" s="123" t="s">
        <v>17</v>
      </c>
      <c r="E8" s="123" t="s">
        <v>34</v>
      </c>
      <c r="F8" s="123" t="s">
        <v>14</v>
      </c>
      <c r="G8" s="127" t="s">
        <v>232</v>
      </c>
      <c r="H8" s="123" t="s">
        <v>40</v>
      </c>
      <c r="I8" s="125" t="s">
        <v>344</v>
      </c>
      <c r="J8" s="123" t="s">
        <v>14</v>
      </c>
      <c r="K8" s="123">
        <v>2</v>
      </c>
      <c r="L8" s="128" t="s">
        <v>800</v>
      </c>
      <c r="M8" s="128" t="s">
        <v>30</v>
      </c>
      <c r="N8" s="129" t="s">
        <v>685</v>
      </c>
      <c r="O8" s="123" t="s">
        <v>42</v>
      </c>
      <c r="P8" s="128" t="s">
        <v>803</v>
      </c>
    </row>
    <row r="9" spans="1:16" ht="31">
      <c r="A9" s="123">
        <f t="shared" ref="A9:A80" si="0">ROW(A9)-5</f>
        <v>4</v>
      </c>
      <c r="B9" s="124" t="s">
        <v>117</v>
      </c>
      <c r="C9" s="123" t="s">
        <v>313</v>
      </c>
      <c r="D9" s="130" t="s">
        <v>30</v>
      </c>
      <c r="E9" s="123" t="s">
        <v>34</v>
      </c>
      <c r="F9" s="123" t="s">
        <v>14</v>
      </c>
      <c r="G9" s="127" t="s">
        <v>58</v>
      </c>
      <c r="H9" s="123" t="s">
        <v>40</v>
      </c>
      <c r="I9" s="128" t="s">
        <v>309</v>
      </c>
      <c r="J9" s="130" t="s">
        <v>30</v>
      </c>
      <c r="K9" s="123">
        <v>2</v>
      </c>
      <c r="L9" s="128" t="s">
        <v>800</v>
      </c>
      <c r="M9" s="128" t="s">
        <v>30</v>
      </c>
      <c r="N9" s="129" t="s">
        <v>505</v>
      </c>
      <c r="O9" s="123" t="s">
        <v>41</v>
      </c>
      <c r="P9" s="128" t="s">
        <v>803</v>
      </c>
    </row>
    <row r="10" spans="1:16" ht="46.5">
      <c r="A10" s="123">
        <f t="shared" si="0"/>
        <v>5</v>
      </c>
      <c r="B10" s="124" t="s">
        <v>118</v>
      </c>
      <c r="C10" s="128" t="s">
        <v>219</v>
      </c>
      <c r="D10" s="130" t="s">
        <v>30</v>
      </c>
      <c r="E10" s="123" t="s">
        <v>34</v>
      </c>
      <c r="F10" s="123" t="s">
        <v>14</v>
      </c>
      <c r="G10" s="127" t="s">
        <v>59</v>
      </c>
      <c r="H10" s="123" t="s">
        <v>40</v>
      </c>
      <c r="I10" s="128" t="s">
        <v>217</v>
      </c>
      <c r="J10" s="130" t="s">
        <v>30</v>
      </c>
      <c r="K10" s="123">
        <v>1</v>
      </c>
      <c r="L10" s="128" t="s">
        <v>800</v>
      </c>
      <c r="M10" s="128" t="s">
        <v>30</v>
      </c>
      <c r="N10" s="129" t="s">
        <v>329</v>
      </c>
      <c r="O10" s="123" t="s">
        <v>41</v>
      </c>
      <c r="P10" s="128"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223</v>
      </c>
      <c r="D14" s="56" t="s">
        <v>30</v>
      </c>
      <c r="E14" s="91" t="s">
        <v>470</v>
      </c>
      <c r="F14" s="11" t="s">
        <v>14</v>
      </c>
      <c r="G14" s="13" t="s">
        <v>188</v>
      </c>
      <c r="H14" s="11" t="s">
        <v>136</v>
      </c>
      <c r="I14" s="11" t="s">
        <v>143</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ROW(A19)-5</f>
        <v>14</v>
      </c>
      <c r="B19" s="58" t="s">
        <v>174</v>
      </c>
      <c r="C19" s="60" t="s">
        <v>151</v>
      </c>
      <c r="D19" s="61" t="s">
        <v>14</v>
      </c>
      <c r="E19" s="91" t="s">
        <v>526</v>
      </c>
      <c r="F19" s="11" t="s">
        <v>14</v>
      </c>
      <c r="G19" s="95" t="s">
        <v>532</v>
      </c>
      <c r="H19" s="62" t="s">
        <v>51</v>
      </c>
      <c r="I19" s="60" t="s">
        <v>151</v>
      </c>
      <c r="J19" s="11" t="s">
        <v>30</v>
      </c>
      <c r="K19" s="63">
        <v>1</v>
      </c>
      <c r="L19" s="11" t="s">
        <v>800</v>
      </c>
      <c r="M19" s="11" t="s">
        <v>30</v>
      </c>
      <c r="N19" s="64" t="s">
        <v>341</v>
      </c>
      <c r="O19" s="63" t="s">
        <v>159</v>
      </c>
      <c r="P19" s="11" t="s">
        <v>802</v>
      </c>
    </row>
    <row r="20" spans="1:16">
      <c r="A20" s="11">
        <f t="shared" si="0"/>
        <v>15</v>
      </c>
      <c r="B20" s="58" t="s">
        <v>131</v>
      </c>
      <c r="C20" s="55" t="s">
        <v>345</v>
      </c>
      <c r="D20" s="11" t="s">
        <v>14</v>
      </c>
      <c r="E20" s="91" t="s">
        <v>516</v>
      </c>
      <c r="F20" s="11" t="s">
        <v>14</v>
      </c>
      <c r="G20" s="72" t="s">
        <v>346</v>
      </c>
      <c r="H20" s="11" t="s">
        <v>51</v>
      </c>
      <c r="I20" s="55" t="s">
        <v>345</v>
      </c>
      <c r="J20" s="11" t="s">
        <v>14</v>
      </c>
      <c r="K20" s="11">
        <v>1</v>
      </c>
      <c r="L20" s="11" t="s">
        <v>800</v>
      </c>
      <c r="M20" s="11" t="s">
        <v>30</v>
      </c>
      <c r="N20" s="45" t="s">
        <v>303</v>
      </c>
      <c r="O20" s="11" t="s">
        <v>41</v>
      </c>
      <c r="P20" s="11" t="s">
        <v>802</v>
      </c>
    </row>
    <row r="21" spans="1:16">
      <c r="A21" s="11">
        <f t="shared" si="0"/>
        <v>16</v>
      </c>
      <c r="B21" s="58" t="s">
        <v>381</v>
      </c>
      <c r="C21" s="55" t="s">
        <v>347</v>
      </c>
      <c r="D21" s="11" t="s">
        <v>14</v>
      </c>
      <c r="E21" s="91" t="s">
        <v>473</v>
      </c>
      <c r="F21" s="11" t="s">
        <v>14</v>
      </c>
      <c r="G21" s="72" t="s">
        <v>348</v>
      </c>
      <c r="H21" s="11" t="s">
        <v>51</v>
      </c>
      <c r="I21" s="55" t="s">
        <v>347</v>
      </c>
      <c r="J21" s="11" t="s">
        <v>14</v>
      </c>
      <c r="K21" s="11">
        <v>1</v>
      </c>
      <c r="L21" s="11" t="s">
        <v>800</v>
      </c>
      <c r="M21" s="11" t="s">
        <v>30</v>
      </c>
      <c r="N21" s="45" t="s">
        <v>303</v>
      </c>
      <c r="O21" s="11" t="s">
        <v>41</v>
      </c>
      <c r="P21" s="11" t="s">
        <v>802</v>
      </c>
    </row>
    <row r="22" spans="1:16">
      <c r="A22" s="11">
        <f t="shared" si="0"/>
        <v>17</v>
      </c>
      <c r="B22" s="58" t="s">
        <v>382</v>
      </c>
      <c r="C22" s="52"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551</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23">
        <f t="shared" si="0"/>
        <v>19</v>
      </c>
      <c r="B24" s="131" t="s">
        <v>552</v>
      </c>
      <c r="C24" s="128" t="s">
        <v>278</v>
      </c>
      <c r="D24" s="123" t="s">
        <v>30</v>
      </c>
      <c r="E24" s="132" t="s">
        <v>593</v>
      </c>
      <c r="F24" s="123" t="s">
        <v>30</v>
      </c>
      <c r="G24" s="133" t="s">
        <v>276</v>
      </c>
      <c r="H24" s="123" t="s">
        <v>274</v>
      </c>
      <c r="I24" s="123" t="s">
        <v>275</v>
      </c>
      <c r="J24" s="123" t="s">
        <v>14</v>
      </c>
      <c r="K24" s="123">
        <v>2</v>
      </c>
      <c r="L24" s="128" t="s">
        <v>800</v>
      </c>
      <c r="M24" s="128" t="s">
        <v>30</v>
      </c>
      <c r="N24" s="134" t="s">
        <v>277</v>
      </c>
      <c r="O24" s="123" t="s">
        <v>273</v>
      </c>
      <c r="P24" s="128" t="s">
        <v>803</v>
      </c>
    </row>
    <row r="25" spans="1:16">
      <c r="A25" s="11">
        <f t="shared" si="0"/>
        <v>20</v>
      </c>
      <c r="B25" s="58" t="s">
        <v>553</v>
      </c>
      <c r="C25" s="24" t="s">
        <v>339</v>
      </c>
      <c r="D25" s="11" t="s">
        <v>14</v>
      </c>
      <c r="E25" s="11" t="s">
        <v>34</v>
      </c>
      <c r="F25" s="11" t="s">
        <v>14</v>
      </c>
      <c r="G25" s="43" t="s">
        <v>305</v>
      </c>
      <c r="H25" s="52" t="s">
        <v>418</v>
      </c>
      <c r="I25" s="24" t="s">
        <v>339</v>
      </c>
      <c r="J25" s="11" t="s">
        <v>14</v>
      </c>
      <c r="K25" s="11">
        <v>1</v>
      </c>
      <c r="L25" s="11" t="s">
        <v>800</v>
      </c>
      <c r="M25" s="11" t="s">
        <v>30</v>
      </c>
      <c r="N25" s="45" t="s">
        <v>306</v>
      </c>
      <c r="O25" s="11" t="s">
        <v>44</v>
      </c>
      <c r="P25" s="11" t="s">
        <v>802</v>
      </c>
    </row>
    <row r="26" spans="1:16">
      <c r="A26" s="11">
        <f>ROW(A26)-5</f>
        <v>21</v>
      </c>
      <c r="B26" s="58" t="s">
        <v>554</v>
      </c>
      <c r="C26" s="11" t="s">
        <v>286</v>
      </c>
      <c r="D26" s="11" t="s">
        <v>14</v>
      </c>
      <c r="E26" s="11" t="s">
        <v>34</v>
      </c>
      <c r="F26" s="11" t="s">
        <v>14</v>
      </c>
      <c r="G26" s="43" t="s">
        <v>285</v>
      </c>
      <c r="H26" s="52" t="s">
        <v>418</v>
      </c>
      <c r="I26" s="11" t="s">
        <v>286</v>
      </c>
      <c r="J26" s="11" t="s">
        <v>14</v>
      </c>
      <c r="K26" s="11">
        <v>3</v>
      </c>
      <c r="L26" s="11" t="s">
        <v>800</v>
      </c>
      <c r="M26" s="11" t="s">
        <v>30</v>
      </c>
      <c r="N26" s="45" t="s">
        <v>284</v>
      </c>
      <c r="O26" s="11" t="s">
        <v>44</v>
      </c>
      <c r="P26" s="11" t="s">
        <v>802</v>
      </c>
    </row>
    <row r="27" spans="1:16">
      <c r="A27" s="11">
        <f t="shared" ref="A27:A30" si="1">ROW(A27)-5</f>
        <v>22</v>
      </c>
      <c r="B27" s="58"/>
      <c r="C27" s="55" t="s">
        <v>408</v>
      </c>
      <c r="D27" s="11" t="s">
        <v>14</v>
      </c>
      <c r="E27" s="11" t="s">
        <v>34</v>
      </c>
      <c r="F27" s="11" t="s">
        <v>14</v>
      </c>
      <c r="G27" s="43" t="s">
        <v>405</v>
      </c>
      <c r="H27" s="52" t="s">
        <v>406</v>
      </c>
      <c r="I27" s="55" t="s">
        <v>407</v>
      </c>
      <c r="J27" s="11" t="s">
        <v>14</v>
      </c>
      <c r="K27" s="11"/>
      <c r="L27" s="11" t="s">
        <v>800</v>
      </c>
      <c r="M27" s="11" t="s">
        <v>30</v>
      </c>
      <c r="N27" s="45" t="s">
        <v>296</v>
      </c>
      <c r="O27" s="11" t="s">
        <v>44</v>
      </c>
      <c r="P27" s="11" t="s">
        <v>802</v>
      </c>
    </row>
    <row r="28" spans="1:16">
      <c r="A28" s="11">
        <f>ROW(A28)-5</f>
        <v>23</v>
      </c>
      <c r="B28" s="58" t="s">
        <v>409</v>
      </c>
      <c r="C28" s="55" t="s">
        <v>506</v>
      </c>
      <c r="D28" s="11" t="s">
        <v>14</v>
      </c>
      <c r="E28" s="11" t="s">
        <v>34</v>
      </c>
      <c r="F28" s="11" t="s">
        <v>14</v>
      </c>
      <c r="G28" s="43" t="s">
        <v>507</v>
      </c>
      <c r="H28" s="52" t="s">
        <v>418</v>
      </c>
      <c r="I28" s="55" t="s">
        <v>506</v>
      </c>
      <c r="J28" s="11" t="s">
        <v>14</v>
      </c>
      <c r="K28" s="11">
        <v>4</v>
      </c>
      <c r="L28" s="11" t="s">
        <v>800</v>
      </c>
      <c r="M28" s="11" t="s">
        <v>30</v>
      </c>
      <c r="N28" s="45" t="s">
        <v>515</v>
      </c>
      <c r="O28" s="11" t="s">
        <v>44</v>
      </c>
      <c r="P28" s="11" t="s">
        <v>802</v>
      </c>
    </row>
    <row r="29" spans="1:16">
      <c r="A29" s="11">
        <f t="shared" si="1"/>
        <v>24</v>
      </c>
      <c r="B29" s="58"/>
      <c r="C29" s="55" t="s">
        <v>508</v>
      </c>
      <c r="D29" s="11" t="s">
        <v>14</v>
      </c>
      <c r="E29" s="1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1"/>
        <v>25</v>
      </c>
      <c r="B30" s="58"/>
      <c r="C30" s="55" t="s">
        <v>509</v>
      </c>
      <c r="D30" s="11" t="s">
        <v>14</v>
      </c>
      <c r="E30" s="1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1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11" t="s">
        <v>34</v>
      </c>
      <c r="F32" s="11" t="s">
        <v>14</v>
      </c>
      <c r="G32" s="43" t="s">
        <v>316</v>
      </c>
      <c r="H32" s="52" t="s">
        <v>418</v>
      </c>
      <c r="I32" s="24" t="s">
        <v>290</v>
      </c>
      <c r="J32" s="11" t="s">
        <v>14</v>
      </c>
      <c r="K32" s="11">
        <v>8</v>
      </c>
      <c r="L32" s="11" t="s">
        <v>800</v>
      </c>
      <c r="M32" s="11" t="s">
        <v>30</v>
      </c>
      <c r="N32" s="45" t="s">
        <v>289</v>
      </c>
      <c r="O32" s="11" t="s">
        <v>44</v>
      </c>
      <c r="P32" s="11" t="s">
        <v>802</v>
      </c>
    </row>
    <row r="33" spans="1:16">
      <c r="A33" s="11">
        <f>ROW(A33)-5</f>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413</v>
      </c>
      <c r="C34" s="24" t="s">
        <v>333</v>
      </c>
      <c r="D34" s="11" t="s">
        <v>14</v>
      </c>
      <c r="E34" s="11" t="s">
        <v>34</v>
      </c>
      <c r="F34" s="11" t="s">
        <v>14</v>
      </c>
      <c r="G34" s="43" t="s">
        <v>314</v>
      </c>
      <c r="H34" s="52" t="s">
        <v>418</v>
      </c>
      <c r="I34" s="67" t="s">
        <v>333</v>
      </c>
      <c r="J34" s="11" t="s">
        <v>14</v>
      </c>
      <c r="K34" s="11">
        <v>1</v>
      </c>
      <c r="L34" s="11" t="s">
        <v>800</v>
      </c>
      <c r="M34" s="11" t="s">
        <v>30</v>
      </c>
      <c r="N34" s="45" t="s">
        <v>291</v>
      </c>
      <c r="O34" s="11" t="s">
        <v>44</v>
      </c>
      <c r="P34" s="11" t="s">
        <v>802</v>
      </c>
    </row>
    <row r="35" spans="1:16">
      <c r="A35" s="11">
        <f t="shared" si="0"/>
        <v>30</v>
      </c>
      <c r="B35" s="58" t="s">
        <v>47</v>
      </c>
      <c r="C35" s="24" t="s">
        <v>335</v>
      </c>
      <c r="D35" s="11" t="s">
        <v>14</v>
      </c>
      <c r="E35" s="11" t="s">
        <v>34</v>
      </c>
      <c r="F35" s="11" t="s">
        <v>14</v>
      </c>
      <c r="G35" s="43" t="s">
        <v>334</v>
      </c>
      <c r="H35" s="52" t="s">
        <v>418</v>
      </c>
      <c r="I35" s="67" t="s">
        <v>335</v>
      </c>
      <c r="J35" s="11" t="s">
        <v>14</v>
      </c>
      <c r="K35" s="52">
        <v>2</v>
      </c>
      <c r="L35" s="11" t="s">
        <v>800</v>
      </c>
      <c r="M35" s="11" t="s">
        <v>30</v>
      </c>
      <c r="N35" s="45" t="s">
        <v>336</v>
      </c>
      <c r="O35" s="11" t="s">
        <v>44</v>
      </c>
      <c r="P35" s="11" t="s">
        <v>802</v>
      </c>
    </row>
    <row r="36" spans="1:16">
      <c r="A36" s="11">
        <f>ROW(A36)-5</f>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1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1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24" t="s">
        <v>300</v>
      </c>
      <c r="D39" s="11" t="s">
        <v>14</v>
      </c>
      <c r="E39" s="11" t="s">
        <v>34</v>
      </c>
      <c r="F39" s="11" t="s">
        <v>14</v>
      </c>
      <c r="G39" s="43" t="s">
        <v>299</v>
      </c>
      <c r="H39" s="52" t="s">
        <v>418</v>
      </c>
      <c r="I39" s="24" t="s">
        <v>300</v>
      </c>
      <c r="J39" s="11" t="s">
        <v>14</v>
      </c>
      <c r="K39" s="11">
        <v>64</v>
      </c>
      <c r="L39" s="11" t="s">
        <v>800</v>
      </c>
      <c r="M39" s="11" t="s">
        <v>30</v>
      </c>
      <c r="N39" s="45" t="s">
        <v>296</v>
      </c>
      <c r="O39" s="11" t="s">
        <v>44</v>
      </c>
      <c r="P39" s="11" t="s">
        <v>802</v>
      </c>
    </row>
    <row r="40" spans="1:16">
      <c r="A40" s="11">
        <f t="shared" si="0"/>
        <v>35</v>
      </c>
      <c r="B40" s="58"/>
      <c r="C40" s="55" t="s">
        <v>400</v>
      </c>
      <c r="D40" s="11" t="s">
        <v>14</v>
      </c>
      <c r="E40" s="11" t="s">
        <v>34</v>
      </c>
      <c r="F40" s="11" t="s">
        <v>14</v>
      </c>
      <c r="G40" s="204" t="s">
        <v>415</v>
      </c>
      <c r="H40" s="52" t="s">
        <v>401</v>
      </c>
      <c r="I40" s="55" t="s">
        <v>402</v>
      </c>
      <c r="J40" s="11" t="s">
        <v>14</v>
      </c>
      <c r="K40" s="11"/>
      <c r="L40" s="11" t="s">
        <v>800</v>
      </c>
      <c r="M40" s="11" t="s">
        <v>30</v>
      </c>
      <c r="N40" s="45" t="s">
        <v>296</v>
      </c>
      <c r="O40" s="11" t="s">
        <v>44</v>
      </c>
      <c r="P40" s="11" t="s">
        <v>802</v>
      </c>
    </row>
    <row r="41" spans="1:16">
      <c r="A41" s="11">
        <f t="shared" si="0"/>
        <v>36</v>
      </c>
      <c r="B41" s="58" t="s">
        <v>56</v>
      </c>
      <c r="C41" s="24" t="s">
        <v>301</v>
      </c>
      <c r="D41" s="11" t="s">
        <v>14</v>
      </c>
      <c r="E41" s="11" t="s">
        <v>34</v>
      </c>
      <c r="F41" s="11" t="s">
        <v>14</v>
      </c>
      <c r="G41" s="13" t="s">
        <v>298</v>
      </c>
      <c r="H41" s="52" t="s">
        <v>418</v>
      </c>
      <c r="I41" s="24" t="s">
        <v>301</v>
      </c>
      <c r="J41" s="11" t="s">
        <v>14</v>
      </c>
      <c r="K41" s="11">
        <v>64</v>
      </c>
      <c r="L41" s="11" t="s">
        <v>800</v>
      </c>
      <c r="M41" s="11" t="s">
        <v>30</v>
      </c>
      <c r="N41" s="45" t="s">
        <v>297</v>
      </c>
      <c r="O41" s="11" t="s">
        <v>44</v>
      </c>
      <c r="P41" s="11" t="s">
        <v>802</v>
      </c>
    </row>
    <row r="42" spans="1:16">
      <c r="A42" s="11">
        <f t="shared" si="0"/>
        <v>37</v>
      </c>
      <c r="B42" s="58"/>
      <c r="C42" s="55" t="s">
        <v>404</v>
      </c>
      <c r="D42" s="11" t="s">
        <v>14</v>
      </c>
      <c r="E42" s="1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11" t="s">
        <v>34</v>
      </c>
      <c r="F43" s="11" t="s">
        <v>14</v>
      </c>
      <c r="G43" s="43"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11" t="s">
        <v>34</v>
      </c>
      <c r="F44" s="11" t="s">
        <v>14</v>
      </c>
      <c r="G44" s="43"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11" t="s">
        <v>34</v>
      </c>
      <c r="F45" s="11" t="s">
        <v>14</v>
      </c>
      <c r="G45" s="43"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11" t="s">
        <v>34</v>
      </c>
      <c r="F46" s="11" t="s">
        <v>14</v>
      </c>
      <c r="G46" s="43"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11" t="s">
        <v>34</v>
      </c>
      <c r="F47" s="11" t="s">
        <v>14</v>
      </c>
      <c r="G47" s="43"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11" t="s">
        <v>34</v>
      </c>
      <c r="F48" s="11" t="s">
        <v>14</v>
      </c>
      <c r="G48" s="43" t="s">
        <v>536</v>
      </c>
      <c r="H48" s="52" t="s">
        <v>538</v>
      </c>
      <c r="I48" s="52" t="s">
        <v>632</v>
      </c>
      <c r="J48" s="11" t="s">
        <v>14</v>
      </c>
      <c r="K48" s="11"/>
      <c r="L48" s="11" t="s">
        <v>800</v>
      </c>
      <c r="M48" s="11" t="s">
        <v>30</v>
      </c>
      <c r="N48" s="45" t="s">
        <v>524</v>
      </c>
      <c r="O48" s="11" t="s">
        <v>44</v>
      </c>
      <c r="P48" s="11" t="s">
        <v>802</v>
      </c>
    </row>
    <row r="49" spans="1:47">
      <c r="A49" s="11">
        <f t="shared" si="0"/>
        <v>44</v>
      </c>
      <c r="B49" s="58" t="s">
        <v>710</v>
      </c>
      <c r="C49" s="55" t="s">
        <v>550</v>
      </c>
      <c r="D49" s="11" t="s">
        <v>14</v>
      </c>
      <c r="E49" s="91" t="s">
        <v>34</v>
      </c>
      <c r="F49" s="11" t="s">
        <v>14</v>
      </c>
      <c r="G49" s="66" t="s">
        <v>549</v>
      </c>
      <c r="H49" s="52" t="s">
        <v>51</v>
      </c>
      <c r="I49" s="52" t="s">
        <v>639</v>
      </c>
      <c r="J49" s="11" t="s">
        <v>14</v>
      </c>
      <c r="K49" s="11">
        <v>1</v>
      </c>
      <c r="L49" s="11" t="s">
        <v>800</v>
      </c>
      <c r="M49" s="11" t="s">
        <v>30</v>
      </c>
      <c r="N49" s="45" t="s">
        <v>638</v>
      </c>
      <c r="O49" s="11" t="s">
        <v>44</v>
      </c>
      <c r="P49" s="11" t="s">
        <v>802</v>
      </c>
    </row>
    <row r="50" spans="1:47">
      <c r="A50" s="11">
        <f t="shared" si="0"/>
        <v>45</v>
      </c>
      <c r="B50" s="58"/>
      <c r="C50" s="55" t="s">
        <v>706</v>
      </c>
      <c r="D50" s="11" t="s">
        <v>14</v>
      </c>
      <c r="E50" s="91" t="s">
        <v>34</v>
      </c>
      <c r="F50" s="11" t="s">
        <v>14</v>
      </c>
      <c r="G50" s="66" t="s">
        <v>549</v>
      </c>
      <c r="H50" s="52" t="s">
        <v>705</v>
      </c>
      <c r="I50" s="52" t="s">
        <v>704</v>
      </c>
      <c r="J50" s="11" t="s">
        <v>14</v>
      </c>
      <c r="K50" s="11"/>
      <c r="L50" s="11" t="s">
        <v>800</v>
      </c>
      <c r="M50" s="11" t="s">
        <v>30</v>
      </c>
      <c r="N50" s="45" t="s">
        <v>638</v>
      </c>
      <c r="O50" s="11" t="s">
        <v>44</v>
      </c>
      <c r="P50" s="11" t="s">
        <v>802</v>
      </c>
    </row>
    <row r="51" spans="1:47">
      <c r="A51" s="11">
        <f t="shared" si="0"/>
        <v>46</v>
      </c>
      <c r="B51" s="58" t="s">
        <v>746</v>
      </c>
      <c r="C51" s="55" t="s">
        <v>747</v>
      </c>
      <c r="D51" s="11" t="s">
        <v>14</v>
      </c>
      <c r="E51" s="91" t="s">
        <v>34</v>
      </c>
      <c r="F51" s="11" t="s">
        <v>14</v>
      </c>
      <c r="G51" s="66" t="s">
        <v>744</v>
      </c>
      <c r="H51" s="55" t="s">
        <v>743</v>
      </c>
      <c r="I51" s="55" t="s">
        <v>747</v>
      </c>
      <c r="J51" s="11" t="s">
        <v>14</v>
      </c>
      <c r="K51" s="11">
        <v>1</v>
      </c>
      <c r="L51" s="11" t="s">
        <v>800</v>
      </c>
      <c r="M51" s="11" t="s">
        <v>30</v>
      </c>
      <c r="N51" s="45"/>
      <c r="O51" s="11" t="s">
        <v>44</v>
      </c>
      <c r="P51" s="11" t="s">
        <v>802</v>
      </c>
    </row>
    <row r="52" spans="1:47" s="212" customFormat="1">
      <c r="A52" s="200">
        <f t="shared" si="0"/>
        <v>47</v>
      </c>
      <c r="B52" s="201" t="s">
        <v>757</v>
      </c>
      <c r="C52" s="208" t="s">
        <v>751</v>
      </c>
      <c r="D52" s="200" t="s">
        <v>14</v>
      </c>
      <c r="E52" s="203" t="s">
        <v>34</v>
      </c>
      <c r="F52" s="200" t="s">
        <v>14</v>
      </c>
      <c r="G52" s="209" t="s">
        <v>748</v>
      </c>
      <c r="H52" s="210" t="s">
        <v>749</v>
      </c>
      <c r="I52" s="208" t="s">
        <v>750</v>
      </c>
      <c r="J52" s="200" t="s">
        <v>14</v>
      </c>
      <c r="K52" s="200">
        <v>4</v>
      </c>
      <c r="L52" s="200" t="s">
        <v>800</v>
      </c>
      <c r="M52" s="200" t="s">
        <v>30</v>
      </c>
      <c r="N52" s="211"/>
      <c r="O52" s="200" t="s">
        <v>44</v>
      </c>
      <c r="P52" s="200" t="s">
        <v>802</v>
      </c>
    </row>
    <row r="53" spans="1:47" s="212" customFormat="1">
      <c r="A53" s="200">
        <f t="shared" si="0"/>
        <v>48</v>
      </c>
      <c r="B53" s="201" t="s">
        <v>555</v>
      </c>
      <c r="C53" s="200" t="s">
        <v>789</v>
      </c>
      <c r="D53" s="200" t="s">
        <v>14</v>
      </c>
      <c r="E53" s="203" t="s">
        <v>34</v>
      </c>
      <c r="F53" s="200" t="s">
        <v>14</v>
      </c>
      <c r="G53" s="209" t="s">
        <v>786</v>
      </c>
      <c r="H53" s="210" t="s">
        <v>787</v>
      </c>
      <c r="I53" s="208" t="s">
        <v>785</v>
      </c>
      <c r="J53" s="200" t="s">
        <v>14</v>
      </c>
      <c r="K53" s="200">
        <v>1</v>
      </c>
      <c r="L53" s="200" t="s">
        <v>800</v>
      </c>
      <c r="M53" s="200" t="s">
        <v>30</v>
      </c>
      <c r="N53" s="211"/>
      <c r="O53" s="200" t="s">
        <v>44</v>
      </c>
      <c r="P53" s="200" t="s">
        <v>802</v>
      </c>
    </row>
    <row r="54" spans="1:47" s="206" customFormat="1">
      <c r="A54" s="200">
        <f t="shared" si="0"/>
        <v>49</v>
      </c>
      <c r="B54" s="201" t="s">
        <v>556</v>
      </c>
      <c r="C54" s="200" t="s">
        <v>211</v>
      </c>
      <c r="D54" s="200" t="s">
        <v>30</v>
      </c>
      <c r="E54" s="200" t="s">
        <v>527</v>
      </c>
      <c r="F54" s="200" t="s">
        <v>14</v>
      </c>
      <c r="G54" s="204" t="s">
        <v>209</v>
      </c>
      <c r="H54" s="200" t="s">
        <v>210</v>
      </c>
      <c r="I54" s="202" t="s">
        <v>213</v>
      </c>
      <c r="J54" s="200" t="s">
        <v>30</v>
      </c>
      <c r="K54" s="200">
        <v>8</v>
      </c>
      <c r="L54" s="200" t="s">
        <v>800</v>
      </c>
      <c r="M54" s="200" t="s">
        <v>30</v>
      </c>
      <c r="N54" s="205"/>
      <c r="O54" s="200" t="s">
        <v>50</v>
      </c>
      <c r="P54" s="200" t="s">
        <v>803</v>
      </c>
    </row>
    <row r="55" spans="1:47" s="206" customFormat="1">
      <c r="A55" s="200">
        <f t="shared" si="0"/>
        <v>50</v>
      </c>
      <c r="B55" s="201"/>
      <c r="C55" s="200" t="s">
        <v>212</v>
      </c>
      <c r="D55" s="200" t="s">
        <v>30</v>
      </c>
      <c r="E55" s="200" t="s">
        <v>527</v>
      </c>
      <c r="F55" s="200" t="s">
        <v>14</v>
      </c>
      <c r="G55" s="207" t="s">
        <v>209</v>
      </c>
      <c r="H55" s="200" t="s">
        <v>57</v>
      </c>
      <c r="I55" s="202" t="s">
        <v>214</v>
      </c>
      <c r="J55" s="200" t="s">
        <v>30</v>
      </c>
      <c r="K55" s="200"/>
      <c r="L55" s="200" t="s">
        <v>800</v>
      </c>
      <c r="M55" s="200" t="s">
        <v>30</v>
      </c>
      <c r="N55" s="205"/>
      <c r="O55" s="200" t="s">
        <v>50</v>
      </c>
      <c r="P55" s="200" t="s">
        <v>803</v>
      </c>
    </row>
    <row r="56" spans="1:47" s="39" customFormat="1" ht="14.5">
      <c r="A56" s="128">
        <f t="shared" si="0"/>
        <v>51</v>
      </c>
      <c r="B56" s="135" t="s">
        <v>557</v>
      </c>
      <c r="C56" s="128" t="s">
        <v>456</v>
      </c>
      <c r="D56" s="136" t="s">
        <v>30</v>
      </c>
      <c r="E56" s="123" t="s">
        <v>528</v>
      </c>
      <c r="F56" s="128" t="s">
        <v>14</v>
      </c>
      <c r="G56" s="127" t="s">
        <v>424</v>
      </c>
      <c r="H56" s="125" t="s">
        <v>464</v>
      </c>
      <c r="I56" s="125" t="s">
        <v>456</v>
      </c>
      <c r="J56" s="128" t="s">
        <v>30</v>
      </c>
      <c r="K56" s="128">
        <v>1</v>
      </c>
      <c r="L56" s="128" t="s">
        <v>800</v>
      </c>
      <c r="M56" s="128" t="s">
        <v>30</v>
      </c>
      <c r="N56" s="137"/>
      <c r="O56" s="128" t="s">
        <v>50</v>
      </c>
      <c r="P56" s="128" t="s">
        <v>802</v>
      </c>
    </row>
    <row r="57" spans="1:47" s="39" customFormat="1" ht="14.5">
      <c r="A57" s="128">
        <f t="shared" si="0"/>
        <v>52</v>
      </c>
      <c r="B57" s="135"/>
      <c r="C57" s="128" t="s">
        <v>462</v>
      </c>
      <c r="D57" s="136" t="s">
        <v>30</v>
      </c>
      <c r="E57" s="123" t="s">
        <v>528</v>
      </c>
      <c r="F57" s="128" t="s">
        <v>14</v>
      </c>
      <c r="G57" s="127" t="s">
        <v>425</v>
      </c>
      <c r="H57" s="125" t="s">
        <v>464</v>
      </c>
      <c r="I57" s="125" t="s">
        <v>462</v>
      </c>
      <c r="J57" s="128" t="s">
        <v>30</v>
      </c>
      <c r="K57" s="128"/>
      <c r="L57" s="128" t="s">
        <v>800</v>
      </c>
      <c r="M57" s="128" t="s">
        <v>30</v>
      </c>
      <c r="N57" s="137"/>
      <c r="O57" s="128" t="s">
        <v>50</v>
      </c>
      <c r="P57" s="128" t="s">
        <v>802</v>
      </c>
    </row>
    <row r="58" spans="1:47" s="39" customFormat="1" ht="14.5">
      <c r="A58" s="128">
        <f t="shared" si="0"/>
        <v>53</v>
      </c>
      <c r="B58" s="135"/>
      <c r="C58" s="128" t="s">
        <v>463</v>
      </c>
      <c r="D58" s="136" t="s">
        <v>30</v>
      </c>
      <c r="E58" s="123" t="s">
        <v>528</v>
      </c>
      <c r="F58" s="128" t="s">
        <v>14</v>
      </c>
      <c r="G58" s="127" t="s">
        <v>465</v>
      </c>
      <c r="H58" s="125" t="s">
        <v>464</v>
      </c>
      <c r="I58" s="125" t="s">
        <v>463</v>
      </c>
      <c r="J58" s="128" t="s">
        <v>30</v>
      </c>
      <c r="K58" s="128"/>
      <c r="L58" s="128" t="s">
        <v>800</v>
      </c>
      <c r="M58" s="128" t="s">
        <v>30</v>
      </c>
      <c r="N58" s="137"/>
      <c r="O58" s="128" t="s">
        <v>50</v>
      </c>
      <c r="P58" s="128" t="s">
        <v>802</v>
      </c>
    </row>
    <row r="59" spans="1:47" s="45" customFormat="1">
      <c r="A59" s="128">
        <f t="shared" si="0"/>
        <v>54</v>
      </c>
      <c r="B59" s="156"/>
      <c r="C59" s="157" t="s">
        <v>775</v>
      </c>
      <c r="D59" s="158" t="s">
        <v>30</v>
      </c>
      <c r="E59" s="159" t="s">
        <v>528</v>
      </c>
      <c r="F59" s="157" t="s">
        <v>14</v>
      </c>
      <c r="G59" s="160" t="s">
        <v>726</v>
      </c>
      <c r="H59" s="161" t="s">
        <v>464</v>
      </c>
      <c r="I59" s="161" t="str">
        <f>C59</f>
        <v>TEMP-S000229174</v>
      </c>
      <c r="J59" s="157" t="s">
        <v>30</v>
      </c>
      <c r="K59" s="157"/>
      <c r="L59" s="128" t="s">
        <v>800</v>
      </c>
      <c r="M59" s="128" t="s">
        <v>30</v>
      </c>
      <c r="N59" s="162"/>
      <c r="O59" s="157" t="s">
        <v>50</v>
      </c>
      <c r="P59" s="128" t="s">
        <v>802</v>
      </c>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row>
    <row r="60" spans="1:47" s="25" customFormat="1" ht="14.5">
      <c r="A60" s="123">
        <f>ROW(A60)-5</f>
        <v>55</v>
      </c>
      <c r="B60" s="135" t="s">
        <v>752</v>
      </c>
      <c r="C60" s="123" t="s">
        <v>383</v>
      </c>
      <c r="D60" s="123" t="s">
        <v>30</v>
      </c>
      <c r="E60" s="126" t="s">
        <v>34</v>
      </c>
      <c r="F60" s="123" t="s">
        <v>30</v>
      </c>
      <c r="G60" s="144" t="s">
        <v>312</v>
      </c>
      <c r="H60" s="123" t="s">
        <v>51</v>
      </c>
      <c r="I60" s="123" t="s">
        <v>383</v>
      </c>
      <c r="J60" s="145" t="s">
        <v>127</v>
      </c>
      <c r="K60" s="145">
        <v>1</v>
      </c>
      <c r="L60" s="128" t="s">
        <v>800</v>
      </c>
      <c r="M60" s="128" t="s">
        <v>30</v>
      </c>
      <c r="N60" s="147"/>
      <c r="O60" s="146" t="s">
        <v>50</v>
      </c>
      <c r="P60" s="128" t="s">
        <v>802</v>
      </c>
    </row>
    <row r="61" spans="1:47" s="17" customFormat="1">
      <c r="A61" s="11">
        <f t="shared" si="0"/>
        <v>56</v>
      </c>
      <c r="B61" s="47" t="s">
        <v>753</v>
      </c>
      <c r="C61" s="11" t="s">
        <v>249</v>
      </c>
      <c r="D61" s="11" t="s">
        <v>30</v>
      </c>
      <c r="E61" s="92" t="s">
        <v>479</v>
      </c>
      <c r="F61" s="11" t="s">
        <v>14</v>
      </c>
      <c r="G61" s="13" t="s">
        <v>267</v>
      </c>
      <c r="H61" s="11" t="s">
        <v>39</v>
      </c>
      <c r="I61" s="24" t="s">
        <v>233</v>
      </c>
      <c r="J61" s="11" t="s">
        <v>700</v>
      </c>
      <c r="K61" s="11">
        <v>1</v>
      </c>
      <c r="L61" s="11" t="s">
        <v>800</v>
      </c>
      <c r="M61" s="11" t="s">
        <v>30</v>
      </c>
      <c r="N61" s="70" t="s">
        <v>268</v>
      </c>
      <c r="O61" s="11" t="s">
        <v>45</v>
      </c>
      <c r="P61" s="11" t="s">
        <v>802</v>
      </c>
    </row>
    <row r="62" spans="1:47" s="17" customFormat="1">
      <c r="A62" s="11">
        <f t="shared" si="0"/>
        <v>57</v>
      </c>
      <c r="B62" s="47" t="s">
        <v>758</v>
      </c>
      <c r="C62" s="55" t="s">
        <v>796</v>
      </c>
      <c r="D62" s="11" t="s">
        <v>30</v>
      </c>
      <c r="E62" s="92" t="s">
        <v>480</v>
      </c>
      <c r="F62" s="11" t="s">
        <v>14</v>
      </c>
      <c r="G62" s="13" t="s">
        <v>797</v>
      </c>
      <c r="H62" s="11" t="s">
        <v>39</v>
      </c>
      <c r="I62" s="24" t="s">
        <v>234</v>
      </c>
      <c r="J62" s="52" t="s">
        <v>773</v>
      </c>
      <c r="K62" s="11">
        <v>1</v>
      </c>
      <c r="L62" s="11" t="s">
        <v>800</v>
      </c>
      <c r="M62" s="11" t="s">
        <v>30</v>
      </c>
      <c r="N62" s="48" t="s">
        <v>192</v>
      </c>
      <c r="O62" s="11" t="s">
        <v>45</v>
      </c>
      <c r="P62" s="11" t="s">
        <v>802</v>
      </c>
    </row>
    <row r="63" spans="1:47" s="17" customFormat="1">
      <c r="A63" s="11">
        <f t="shared" si="0"/>
        <v>58</v>
      </c>
      <c r="B63" s="47" t="s">
        <v>155</v>
      </c>
      <c r="C63" s="52" t="s">
        <v>782</v>
      </c>
      <c r="D63" s="11" t="s">
        <v>30</v>
      </c>
      <c r="E63" s="92" t="s">
        <v>30</v>
      </c>
      <c r="F63" s="11" t="s">
        <v>14</v>
      </c>
      <c r="G63" s="13" t="s">
        <v>328</v>
      </c>
      <c r="H63" s="11" t="s">
        <v>39</v>
      </c>
      <c r="I63" s="55" t="s">
        <v>783</v>
      </c>
      <c r="J63" s="11" t="s">
        <v>703</v>
      </c>
      <c r="K63" s="11">
        <v>1</v>
      </c>
      <c r="L63" s="11" t="s">
        <v>800</v>
      </c>
      <c r="M63" s="11" t="s">
        <v>30</v>
      </c>
      <c r="N63" s="48" t="s">
        <v>320</v>
      </c>
      <c r="O63" s="11" t="s">
        <v>45</v>
      </c>
      <c r="P63" s="11" t="s">
        <v>802</v>
      </c>
    </row>
    <row r="64" spans="1:47" s="17" customFormat="1">
      <c r="A64" s="11">
        <f t="shared" si="0"/>
        <v>59</v>
      </c>
      <c r="B64" s="47" t="s">
        <v>121</v>
      </c>
      <c r="C64" s="55" t="s">
        <v>770</v>
      </c>
      <c r="D64" s="11" t="s">
        <v>30</v>
      </c>
      <c r="E64" s="92" t="s">
        <v>482</v>
      </c>
      <c r="F64" s="11" t="s">
        <v>14</v>
      </c>
      <c r="G64" s="13" t="s">
        <v>771</v>
      </c>
      <c r="H64" s="11" t="s">
        <v>39</v>
      </c>
      <c r="I64" s="24" t="s">
        <v>236</v>
      </c>
      <c r="J64" s="52" t="s">
        <v>702</v>
      </c>
      <c r="K64" s="11">
        <v>1</v>
      </c>
      <c r="L64" s="11" t="s">
        <v>800</v>
      </c>
      <c r="M64" s="11" t="s">
        <v>30</v>
      </c>
      <c r="N64" s="48" t="s">
        <v>194</v>
      </c>
      <c r="O64" s="11" t="s">
        <v>45</v>
      </c>
      <c r="P64" s="11" t="s">
        <v>802</v>
      </c>
    </row>
    <row r="65" spans="1:16" s="17" customFormat="1">
      <c r="A65" s="11">
        <f t="shared" si="0"/>
        <v>60</v>
      </c>
      <c r="B65" s="47" t="s">
        <v>122</v>
      </c>
      <c r="C65" s="11" t="s">
        <v>637</v>
      </c>
      <c r="D65" s="11" t="s">
        <v>30</v>
      </c>
      <c r="E65" s="92" t="s">
        <v>30</v>
      </c>
      <c r="F65" s="11" t="s">
        <v>14</v>
      </c>
      <c r="G65" s="13" t="s">
        <v>327</v>
      </c>
      <c r="H65" s="11" t="s">
        <v>39</v>
      </c>
      <c r="I65" s="24" t="s">
        <v>459</v>
      </c>
      <c r="J65" s="11" t="s">
        <v>703</v>
      </c>
      <c r="K65" s="11">
        <v>1</v>
      </c>
      <c r="L65" s="11" t="s">
        <v>800</v>
      </c>
      <c r="M65" s="11" t="s">
        <v>30</v>
      </c>
      <c r="N65" s="48" t="s">
        <v>321</v>
      </c>
      <c r="O65" s="11" t="s">
        <v>45</v>
      </c>
      <c r="P65" s="11" t="s">
        <v>802</v>
      </c>
    </row>
    <row r="66" spans="1:16" s="17" customFormat="1">
      <c r="A66" s="11">
        <f t="shared" si="0"/>
        <v>61</v>
      </c>
      <c r="B66" s="47" t="s">
        <v>123</v>
      </c>
      <c r="C66" s="11" t="s">
        <v>251</v>
      </c>
      <c r="D66" s="11" t="s">
        <v>30</v>
      </c>
      <c r="E66" s="92" t="s">
        <v>484</v>
      </c>
      <c r="F66" s="11" t="s">
        <v>14</v>
      </c>
      <c r="G66" s="43" t="s">
        <v>166</v>
      </c>
      <c r="H66" s="11" t="s">
        <v>39</v>
      </c>
      <c r="I66" s="24" t="s">
        <v>238</v>
      </c>
      <c r="J66" s="11" t="s">
        <v>701</v>
      </c>
      <c r="K66" s="11">
        <v>1</v>
      </c>
      <c r="L66" s="11" t="s">
        <v>800</v>
      </c>
      <c r="M66" s="11" t="s">
        <v>30</v>
      </c>
      <c r="N66" s="48" t="s">
        <v>196</v>
      </c>
      <c r="O66" s="11" t="s">
        <v>45</v>
      </c>
      <c r="P66" s="11" t="s">
        <v>802</v>
      </c>
    </row>
    <row r="67" spans="1:16" s="17" customFormat="1">
      <c r="A67" s="11">
        <f t="shared" si="0"/>
        <v>62</v>
      </c>
      <c r="B67" s="47" t="s">
        <v>124</v>
      </c>
      <c r="C67" s="11" t="s">
        <v>252</v>
      </c>
      <c r="D67" s="11" t="s">
        <v>30</v>
      </c>
      <c r="E67" s="92" t="s">
        <v>485</v>
      </c>
      <c r="F67" s="11" t="s">
        <v>14</v>
      </c>
      <c r="G67" s="43" t="s">
        <v>167</v>
      </c>
      <c r="H67" s="11" t="s">
        <v>39</v>
      </c>
      <c r="I67" s="24" t="s">
        <v>239</v>
      </c>
      <c r="J67" s="11" t="s">
        <v>701</v>
      </c>
      <c r="K67" s="11">
        <v>1</v>
      </c>
      <c r="L67" s="11" t="s">
        <v>800</v>
      </c>
      <c r="M67" s="11" t="s">
        <v>30</v>
      </c>
      <c r="N67" s="48" t="s">
        <v>197</v>
      </c>
      <c r="O67" s="11" t="s">
        <v>45</v>
      </c>
      <c r="P67" s="11" t="s">
        <v>802</v>
      </c>
    </row>
    <row r="68" spans="1:16" s="17" customFormat="1">
      <c r="A68" s="11">
        <f t="shared" si="0"/>
        <v>63</v>
      </c>
      <c r="B68" s="47" t="s">
        <v>156</v>
      </c>
      <c r="C68" s="11" t="s">
        <v>253</v>
      </c>
      <c r="D68" s="11" t="s">
        <v>30</v>
      </c>
      <c r="E68" s="92" t="s">
        <v>486</v>
      </c>
      <c r="F68" s="11" t="s">
        <v>14</v>
      </c>
      <c r="G68" s="43" t="s">
        <v>168</v>
      </c>
      <c r="H68" s="11" t="s">
        <v>39</v>
      </c>
      <c r="I68" s="24" t="s">
        <v>240</v>
      </c>
      <c r="J68" s="11" t="s">
        <v>701</v>
      </c>
      <c r="K68" s="11">
        <v>1</v>
      </c>
      <c r="L68" s="11" t="s">
        <v>800</v>
      </c>
      <c r="M68" s="11" t="s">
        <v>30</v>
      </c>
      <c r="N68" s="48" t="s">
        <v>198</v>
      </c>
      <c r="O68" s="11" t="s">
        <v>45</v>
      </c>
      <c r="P68" s="11" t="s">
        <v>802</v>
      </c>
    </row>
    <row r="69" spans="1:16" s="17" customFormat="1">
      <c r="A69" s="11">
        <f t="shared" si="0"/>
        <v>64</v>
      </c>
      <c r="B69" s="47" t="s">
        <v>157</v>
      </c>
      <c r="C69" s="11" t="s">
        <v>254</v>
      </c>
      <c r="D69" s="11" t="s">
        <v>30</v>
      </c>
      <c r="E69" s="92" t="s">
        <v>487</v>
      </c>
      <c r="F69" s="11" t="s">
        <v>14</v>
      </c>
      <c r="G69" s="43" t="s">
        <v>164</v>
      </c>
      <c r="H69" s="11" t="s">
        <v>39</v>
      </c>
      <c r="I69" s="24" t="s">
        <v>241</v>
      </c>
      <c r="J69" s="11" t="s">
        <v>701</v>
      </c>
      <c r="K69" s="11">
        <v>1</v>
      </c>
      <c r="L69" s="11" t="s">
        <v>800</v>
      </c>
      <c r="M69" s="11" t="s">
        <v>30</v>
      </c>
      <c r="N69" s="48" t="s">
        <v>199</v>
      </c>
      <c r="O69" s="11" t="s">
        <v>45</v>
      </c>
      <c r="P69" s="11" t="s">
        <v>802</v>
      </c>
    </row>
    <row r="70" spans="1:16" s="17" customFormat="1">
      <c r="A70" s="11">
        <f t="shared" si="0"/>
        <v>65</v>
      </c>
      <c r="B70" s="47" t="s">
        <v>176</v>
      </c>
      <c r="C70" s="11" t="s">
        <v>323</v>
      </c>
      <c r="D70" s="11" t="s">
        <v>30</v>
      </c>
      <c r="E70" s="92" t="s">
        <v>488</v>
      </c>
      <c r="F70" s="11" t="s">
        <v>14</v>
      </c>
      <c r="G70" s="43" t="s">
        <v>169</v>
      </c>
      <c r="H70" s="11" t="s">
        <v>39</v>
      </c>
      <c r="I70" s="24" t="s">
        <v>242</v>
      </c>
      <c r="J70" s="11" t="s">
        <v>701</v>
      </c>
      <c r="K70" s="11">
        <v>1</v>
      </c>
      <c r="L70" s="11" t="s">
        <v>800</v>
      </c>
      <c r="M70" s="11" t="s">
        <v>30</v>
      </c>
      <c r="N70" s="48" t="s">
        <v>200</v>
      </c>
      <c r="O70" s="11" t="s">
        <v>45</v>
      </c>
      <c r="P70" s="11" t="s">
        <v>802</v>
      </c>
    </row>
    <row r="71" spans="1:16" s="17" customFormat="1">
      <c r="A71" s="11">
        <f t="shared" si="0"/>
        <v>66</v>
      </c>
      <c r="B71" s="47" t="s">
        <v>158</v>
      </c>
      <c r="C71" s="11" t="s">
        <v>255</v>
      </c>
      <c r="D71" s="11" t="s">
        <v>30</v>
      </c>
      <c r="E71" s="92" t="s">
        <v>489</v>
      </c>
      <c r="F71" s="11" t="s">
        <v>14</v>
      </c>
      <c r="G71" s="43" t="s">
        <v>165</v>
      </c>
      <c r="H71" s="11" t="s">
        <v>39</v>
      </c>
      <c r="I71" s="24" t="s">
        <v>243</v>
      </c>
      <c r="J71" s="11" t="s">
        <v>701</v>
      </c>
      <c r="K71" s="11">
        <v>1</v>
      </c>
      <c r="L71" s="11" t="s">
        <v>800</v>
      </c>
      <c r="M71" s="11" t="s">
        <v>30</v>
      </c>
      <c r="N71" s="48" t="s">
        <v>201</v>
      </c>
      <c r="O71" s="11" t="s">
        <v>45</v>
      </c>
      <c r="P71" s="11" t="s">
        <v>802</v>
      </c>
    </row>
    <row r="72" spans="1:16" s="17" customFormat="1">
      <c r="A72" s="11">
        <f t="shared" si="0"/>
        <v>67</v>
      </c>
      <c r="B72" s="47" t="s">
        <v>270</v>
      </c>
      <c r="C72" s="11" t="s">
        <v>256</v>
      </c>
      <c r="D72" s="11" t="s">
        <v>30</v>
      </c>
      <c r="E72" s="92" t="s">
        <v>490</v>
      </c>
      <c r="F72" s="11" t="s">
        <v>14</v>
      </c>
      <c r="G72" s="43" t="s">
        <v>170</v>
      </c>
      <c r="H72" s="11" t="s">
        <v>39</v>
      </c>
      <c r="I72" s="24" t="s">
        <v>244</v>
      </c>
      <c r="J72" s="11" t="s">
        <v>701</v>
      </c>
      <c r="K72" s="11">
        <v>1</v>
      </c>
      <c r="L72" s="11" t="s">
        <v>800</v>
      </c>
      <c r="M72" s="11" t="s">
        <v>30</v>
      </c>
      <c r="N72" s="48" t="s">
        <v>202</v>
      </c>
      <c r="O72" s="11" t="s">
        <v>45</v>
      </c>
      <c r="P72" s="11" t="s">
        <v>802</v>
      </c>
    </row>
    <row r="73" spans="1:16" s="17" customFormat="1">
      <c r="A73" s="11">
        <f t="shared" si="0"/>
        <v>68</v>
      </c>
      <c r="B73" s="47" t="s">
        <v>271</v>
      </c>
      <c r="C73" s="11" t="s">
        <v>262</v>
      </c>
      <c r="D73" s="11" t="s">
        <v>30</v>
      </c>
      <c r="E73" s="92" t="s">
        <v>491</v>
      </c>
      <c r="F73" s="11" t="s">
        <v>14</v>
      </c>
      <c r="G73" s="43" t="s">
        <v>163</v>
      </c>
      <c r="H73" s="11" t="s">
        <v>39</v>
      </c>
      <c r="I73" s="54" t="s">
        <v>265</v>
      </c>
      <c r="J73" s="11" t="s">
        <v>700</v>
      </c>
      <c r="K73" s="11">
        <v>1</v>
      </c>
      <c r="L73" s="11" t="s">
        <v>800</v>
      </c>
      <c r="M73" s="11" t="s">
        <v>30</v>
      </c>
      <c r="N73" s="48" t="s">
        <v>203</v>
      </c>
      <c r="O73" s="11" t="s">
        <v>45</v>
      </c>
      <c r="P73" s="11" t="s">
        <v>802</v>
      </c>
    </row>
    <row r="74" spans="1:16" s="17" customFormat="1">
      <c r="A74" s="11">
        <f t="shared" si="0"/>
        <v>69</v>
      </c>
      <c r="B74" s="47" t="s">
        <v>272</v>
      </c>
      <c r="C74" s="11" t="s">
        <v>257</v>
      </c>
      <c r="D74" s="11" t="s">
        <v>30</v>
      </c>
      <c r="E74" s="92" t="s">
        <v>492</v>
      </c>
      <c r="F74" s="11" t="s">
        <v>14</v>
      </c>
      <c r="G74" s="43" t="s">
        <v>171</v>
      </c>
      <c r="H74" s="11" t="s">
        <v>39</v>
      </c>
      <c r="I74" s="24" t="s">
        <v>245</v>
      </c>
      <c r="J74" s="11" t="s">
        <v>703</v>
      </c>
      <c r="K74" s="11">
        <v>1</v>
      </c>
      <c r="L74" s="11" t="s">
        <v>800</v>
      </c>
      <c r="M74" s="11" t="s">
        <v>30</v>
      </c>
      <c r="N74" s="48" t="s">
        <v>204</v>
      </c>
      <c r="O74" s="11" t="s">
        <v>45</v>
      </c>
      <c r="P74" s="11" t="s">
        <v>802</v>
      </c>
    </row>
    <row r="75" spans="1:16" s="17" customFormat="1">
      <c r="A75" s="11">
        <f t="shared" si="0"/>
        <v>70</v>
      </c>
      <c r="B75" s="47" t="s">
        <v>558</v>
      </c>
      <c r="C75" s="11" t="s">
        <v>258</v>
      </c>
      <c r="D75" s="11" t="s">
        <v>30</v>
      </c>
      <c r="E75" s="92" t="s">
        <v>493</v>
      </c>
      <c r="F75" s="11" t="s">
        <v>14</v>
      </c>
      <c r="G75" s="43" t="s">
        <v>172</v>
      </c>
      <c r="H75" s="11" t="s">
        <v>39</v>
      </c>
      <c r="I75" s="24" t="s">
        <v>246</v>
      </c>
      <c r="J75" s="11" t="s">
        <v>703</v>
      </c>
      <c r="K75" s="11">
        <v>1</v>
      </c>
      <c r="L75" s="11" t="s">
        <v>800</v>
      </c>
      <c r="M75" s="11" t="s">
        <v>30</v>
      </c>
      <c r="N75" s="48" t="s">
        <v>205</v>
      </c>
      <c r="O75" s="11" t="s">
        <v>45</v>
      </c>
      <c r="P75" s="11" t="s">
        <v>802</v>
      </c>
    </row>
    <row r="76" spans="1:16" s="17" customFormat="1">
      <c r="A76" s="11">
        <f t="shared" si="0"/>
        <v>71</v>
      </c>
      <c r="B76" s="47" t="s">
        <v>559</v>
      </c>
      <c r="C76" s="11" t="s">
        <v>259</v>
      </c>
      <c r="D76" s="11" t="s">
        <v>30</v>
      </c>
      <c r="E76" s="92" t="s">
        <v>494</v>
      </c>
      <c r="F76" s="11" t="s">
        <v>14</v>
      </c>
      <c r="G76" s="43" t="s">
        <v>190</v>
      </c>
      <c r="H76" s="11" t="s">
        <v>39</v>
      </c>
      <c r="I76" s="24" t="s">
        <v>247</v>
      </c>
      <c r="J76" s="11" t="s">
        <v>703</v>
      </c>
      <c r="K76" s="11">
        <v>1</v>
      </c>
      <c r="L76" s="11" t="s">
        <v>800</v>
      </c>
      <c r="M76" s="11" t="s">
        <v>30</v>
      </c>
      <c r="N76" s="48" t="s">
        <v>206</v>
      </c>
      <c r="O76" s="11" t="s">
        <v>45</v>
      </c>
      <c r="P76" s="11" t="s">
        <v>802</v>
      </c>
    </row>
    <row r="77" spans="1:16" s="17" customFormat="1">
      <c r="A77" s="11">
        <f t="shared" si="0"/>
        <v>72</v>
      </c>
      <c r="B77" s="47" t="s">
        <v>754</v>
      </c>
      <c r="C77" s="11" t="s">
        <v>260</v>
      </c>
      <c r="D77" s="11" t="s">
        <v>30</v>
      </c>
      <c r="E77" s="92" t="s">
        <v>495</v>
      </c>
      <c r="F77" s="11" t="s">
        <v>14</v>
      </c>
      <c r="G77" s="43" t="s">
        <v>191</v>
      </c>
      <c r="H77" s="11" t="s">
        <v>39</v>
      </c>
      <c r="I77" s="24" t="s">
        <v>248</v>
      </c>
      <c r="J77" s="11" t="s">
        <v>703</v>
      </c>
      <c r="K77" s="11">
        <v>1</v>
      </c>
      <c r="L77" s="11" t="s">
        <v>800</v>
      </c>
      <c r="M77" s="11" t="s">
        <v>30</v>
      </c>
      <c r="N77" s="48" t="s">
        <v>207</v>
      </c>
      <c r="O77" s="11" t="s">
        <v>45</v>
      </c>
      <c r="P77" s="11" t="s">
        <v>802</v>
      </c>
    </row>
    <row r="78" spans="1:16" s="17" customFormat="1">
      <c r="A78" s="11">
        <f t="shared" si="0"/>
        <v>73</v>
      </c>
      <c r="B78" s="47" t="s">
        <v>755</v>
      </c>
      <c r="C78" s="11" t="s">
        <v>263</v>
      </c>
      <c r="D78" s="11" t="s">
        <v>30</v>
      </c>
      <c r="E78" s="92" t="s">
        <v>496</v>
      </c>
      <c r="F78" s="11" t="s">
        <v>14</v>
      </c>
      <c r="G78" s="43" t="s">
        <v>208</v>
      </c>
      <c r="H78" s="11" t="s">
        <v>39</v>
      </c>
      <c r="I78" s="24" t="s">
        <v>264</v>
      </c>
      <c r="J78" s="11" t="s">
        <v>703</v>
      </c>
      <c r="K78" s="11">
        <v>1</v>
      </c>
      <c r="L78" s="11" t="s">
        <v>800</v>
      </c>
      <c r="M78" s="11" t="s">
        <v>30</v>
      </c>
      <c r="N78" s="48" t="s">
        <v>215</v>
      </c>
      <c r="O78" s="11" t="s">
        <v>45</v>
      </c>
      <c r="P78" s="11" t="s">
        <v>802</v>
      </c>
    </row>
    <row r="79" spans="1:16" s="17" customFormat="1">
      <c r="A79" s="11">
        <f t="shared" si="0"/>
        <v>74</v>
      </c>
      <c r="B79" s="47" t="s">
        <v>791</v>
      </c>
      <c r="C79" s="52" t="s">
        <v>778</v>
      </c>
      <c r="D79" s="11" t="s">
        <v>30</v>
      </c>
      <c r="E79" s="91" t="s">
        <v>497</v>
      </c>
      <c r="F79" s="11" t="s">
        <v>14</v>
      </c>
      <c r="G79" s="13" t="s">
        <v>533</v>
      </c>
      <c r="H79" s="52" t="s">
        <v>585</v>
      </c>
      <c r="I79" s="55" t="s">
        <v>780</v>
      </c>
      <c r="J79" s="11" t="s">
        <v>30</v>
      </c>
      <c r="K79" s="11">
        <v>1</v>
      </c>
      <c r="L79" s="11" t="s">
        <v>800</v>
      </c>
      <c r="M79" s="11" t="s">
        <v>30</v>
      </c>
      <c r="N79" s="71" t="s">
        <v>461</v>
      </c>
      <c r="O79" s="11" t="s">
        <v>269</v>
      </c>
      <c r="P79" s="11" t="s">
        <v>802</v>
      </c>
    </row>
    <row r="80" spans="1:16" s="17" customFormat="1">
      <c r="A80" s="11">
        <f t="shared" si="0"/>
        <v>75</v>
      </c>
      <c r="B80" s="47"/>
      <c r="C80" s="52" t="s">
        <v>779</v>
      </c>
      <c r="D80" s="11" t="s">
        <v>30</v>
      </c>
      <c r="E80" s="91" t="s">
        <v>497</v>
      </c>
      <c r="F80" s="11" t="s">
        <v>14</v>
      </c>
      <c r="G80" s="13" t="s">
        <v>533</v>
      </c>
      <c r="H80" s="52" t="s">
        <v>586</v>
      </c>
      <c r="I80" s="55" t="s">
        <v>781</v>
      </c>
      <c r="J80" s="11" t="s">
        <v>30</v>
      </c>
      <c r="K80" s="11"/>
      <c r="L80" s="11" t="s">
        <v>800</v>
      </c>
      <c r="M80" s="11" t="s">
        <v>30</v>
      </c>
      <c r="N80" s="48"/>
      <c r="O80" s="11" t="s">
        <v>269</v>
      </c>
      <c r="P80" s="11" t="s">
        <v>802</v>
      </c>
    </row>
    <row r="81" spans="1:16" s="25" customFormat="1">
      <c r="A81" s="11">
        <v>63</v>
      </c>
      <c r="B81" s="47" t="s">
        <v>561</v>
      </c>
      <c r="C81" s="96" t="s">
        <v>564</v>
      </c>
      <c r="D81" s="11" t="s">
        <v>30</v>
      </c>
      <c r="E81" s="91" t="s">
        <v>34</v>
      </c>
      <c r="F81" s="11" t="s">
        <v>30</v>
      </c>
      <c r="G81" s="53" t="s">
        <v>565</v>
      </c>
      <c r="H81" s="11" t="s">
        <v>566</v>
      </c>
      <c r="I81" s="11" t="s">
        <v>762</v>
      </c>
      <c r="J81" s="50" t="s">
        <v>127</v>
      </c>
      <c r="K81" s="50">
        <v>1</v>
      </c>
      <c r="L81" s="11" t="s">
        <v>800</v>
      </c>
      <c r="M81" s="11" t="s">
        <v>30</v>
      </c>
      <c r="N81" s="48" t="s">
        <v>567</v>
      </c>
      <c r="O81" s="52" t="s">
        <v>562</v>
      </c>
      <c r="P81" s="11" t="s">
        <v>802</v>
      </c>
    </row>
    <row r="82" spans="1:16">
      <c r="A82" s="45">
        <f t="shared" ref="A82:A84" si="2">ROW(A82)-5</f>
        <v>77</v>
      </c>
      <c r="B82" s="47" t="s">
        <v>756</v>
      </c>
      <c r="C82" s="96" t="s">
        <v>569</v>
      </c>
      <c r="D82" s="99" t="s">
        <v>14</v>
      </c>
      <c r="E82" s="45" t="s">
        <v>34</v>
      </c>
      <c r="F82" s="45" t="s">
        <v>14</v>
      </c>
      <c r="G82" s="53" t="s">
        <v>570</v>
      </c>
      <c r="H82" s="11" t="s">
        <v>20</v>
      </c>
      <c r="I82" s="11" t="s">
        <v>763</v>
      </c>
      <c r="J82" s="99" t="s">
        <v>14</v>
      </c>
      <c r="K82" s="50">
        <v>3</v>
      </c>
      <c r="L82" s="11" t="s">
        <v>800</v>
      </c>
      <c r="M82" s="11" t="s">
        <v>30</v>
      </c>
      <c r="N82" s="48" t="s">
        <v>573</v>
      </c>
      <c r="O82" s="101" t="s">
        <v>129</v>
      </c>
      <c r="P82" s="11" t="s">
        <v>802</v>
      </c>
    </row>
    <row r="83" spans="1:16">
      <c r="A83" s="45">
        <f t="shared" si="2"/>
        <v>78</v>
      </c>
      <c r="B83" s="47" t="s">
        <v>759</v>
      </c>
      <c r="C83" s="96" t="s">
        <v>760</v>
      </c>
      <c r="D83" s="99" t="s">
        <v>14</v>
      </c>
      <c r="E83" s="45" t="s">
        <v>34</v>
      </c>
      <c r="F83" s="45" t="s">
        <v>14</v>
      </c>
      <c r="G83" s="53" t="s">
        <v>572</v>
      </c>
      <c r="H83" s="11" t="s">
        <v>20</v>
      </c>
      <c r="I83" s="11" t="s">
        <v>764</v>
      </c>
      <c r="J83" s="99" t="s">
        <v>14</v>
      </c>
      <c r="K83" s="50">
        <v>4</v>
      </c>
      <c r="L83" s="11" t="s">
        <v>800</v>
      </c>
      <c r="M83" s="11" t="s">
        <v>30</v>
      </c>
      <c r="N83" s="48" t="s">
        <v>804</v>
      </c>
      <c r="O83" s="101" t="s">
        <v>129</v>
      </c>
      <c r="P83" s="11" t="s">
        <v>802</v>
      </c>
    </row>
    <row r="84" spans="1:16">
      <c r="A84" s="11">
        <f t="shared" si="2"/>
        <v>79</v>
      </c>
      <c r="B84" s="47" t="s">
        <v>792</v>
      </c>
      <c r="C84" s="96" t="s">
        <v>761</v>
      </c>
      <c r="D84" s="11" t="s">
        <v>30</v>
      </c>
      <c r="E84" s="50" t="s">
        <v>34</v>
      </c>
      <c r="F84" s="11" t="s">
        <v>30</v>
      </c>
      <c r="G84" s="53" t="s">
        <v>230</v>
      </c>
      <c r="H84" s="11" t="s">
        <v>154</v>
      </c>
      <c r="I84" s="11" t="s">
        <v>765</v>
      </c>
      <c r="J84" s="50" t="s">
        <v>127</v>
      </c>
      <c r="K84" s="50">
        <v>1</v>
      </c>
      <c r="L84" s="11" t="s">
        <v>800</v>
      </c>
      <c r="M84" s="11" t="s">
        <v>30</v>
      </c>
      <c r="N84" s="48"/>
      <c r="O84" s="52" t="s">
        <v>129</v>
      </c>
      <c r="P84" s="11" t="s">
        <v>803</v>
      </c>
    </row>
    <row r="85" spans="1:16">
      <c r="B85" s="3"/>
      <c r="C85" s="2"/>
      <c r="H85" s="5"/>
      <c r="I85" s="2"/>
    </row>
    <row r="86" spans="1:16">
      <c r="A86" s="17"/>
      <c r="B86" s="1" t="s">
        <v>15</v>
      </c>
      <c r="C86" s="10" t="s">
        <v>16</v>
      </c>
      <c r="D86" s="18"/>
      <c r="E86" s="17"/>
      <c r="F86" s="17"/>
      <c r="G86" s="4"/>
      <c r="H86" s="17"/>
      <c r="I86" s="17"/>
      <c r="J86" s="17"/>
      <c r="O86" s="17"/>
      <c r="P86" s="17"/>
    </row>
    <row r="87" spans="1:16">
      <c r="A87" s="17"/>
      <c r="B87" s="17"/>
      <c r="C87" s="15" t="s">
        <v>5</v>
      </c>
      <c r="D87" s="17"/>
      <c r="E87" s="17"/>
      <c r="F87" s="17"/>
      <c r="G87" s="16"/>
      <c r="H87" s="17"/>
      <c r="I87" s="17"/>
      <c r="J87" s="17"/>
      <c r="O87" s="17"/>
      <c r="P87" s="17"/>
    </row>
    <row r="88" spans="1:16">
      <c r="A88" s="17"/>
      <c r="B88" s="17"/>
      <c r="C88" s="19" t="s">
        <v>6</v>
      </c>
      <c r="D88" s="17"/>
      <c r="E88" s="17"/>
      <c r="F88" s="17"/>
      <c r="G88" s="16"/>
      <c r="H88" s="17"/>
      <c r="I88" s="17"/>
      <c r="J88" s="17"/>
      <c r="O88" s="17"/>
      <c r="P88" s="17"/>
    </row>
    <row r="89" spans="1:16">
      <c r="C89" s="20" t="s">
        <v>52</v>
      </c>
      <c r="G89" s="18"/>
    </row>
    <row r="90" spans="1:16" ht="46.5">
      <c r="C90" s="29" t="s">
        <v>53</v>
      </c>
    </row>
    <row r="91" spans="1:16">
      <c r="K91" s="7"/>
      <c r="L91" s="7"/>
      <c r="M91" s="7"/>
    </row>
    <row r="92" spans="1:16">
      <c r="G92" s="22"/>
    </row>
  </sheetData>
  <autoFilter ref="A5:P5" xr:uid="{832DF0F3-F6B5-411B-8688-A7AE0AB863D4}"/>
  <mergeCells count="4">
    <mergeCell ref="A3:B3"/>
    <mergeCell ref="A4:B4"/>
    <mergeCell ref="A1:P1"/>
    <mergeCell ref="A2:P2"/>
  </mergeCells>
  <phoneticPr fontId="18" type="noConversion"/>
  <conditionalFormatting sqref="A1:A2 N3:N5 O3:O50 A7:K10 N7:N13 L7:M84 F11:K19 N15:N27 H20:K21 N31:N32 N34:N35 N37:N42 A40:K40 J43:K53 A54:K55 N60:N78 H84:J84 A85:O1048576">
    <cfRule type="containsText" dxfId="353" priority="295" operator="containsText" text="TBD">
      <formula>NOT(ISERROR(SEARCH("TBD",A1)))</formula>
    </cfRule>
  </conditionalFormatting>
  <conditionalFormatting sqref="A21:B26">
    <cfRule type="containsText" dxfId="352" priority="285" operator="containsText" text="TBD">
      <formula>NOT(ISERROR(SEARCH("TBD",A21)))</formula>
    </cfRule>
  </conditionalFormatting>
  <conditionalFormatting sqref="A28:B28">
    <cfRule type="containsText" dxfId="351" priority="241" operator="containsText" text="TBD">
      <formula>NOT(ISERROR(SEARCH("TBD",A28)))</formula>
    </cfRule>
  </conditionalFormatting>
  <conditionalFormatting sqref="A43:B45">
    <cfRule type="containsText" dxfId="350" priority="135" operator="containsText" text="TBD">
      <formula>NOT(ISERROR(SEARCH("TBD",A43)))</formula>
    </cfRule>
  </conditionalFormatting>
  <conditionalFormatting sqref="A56:B59 D56:D59 F56:K78">
    <cfRule type="containsText" dxfId="349" priority="46" operator="containsText" text="TBD">
      <formula>NOT(ISERROR(SEARCH("TBD",A56)))</formula>
    </cfRule>
  </conditionalFormatting>
  <conditionalFormatting sqref="A50:C53">
    <cfRule type="containsText" dxfId="348" priority="38" operator="containsText" text="TBD">
      <formula>NOT(ISERROR(SEARCH("TBD",A50)))</formula>
    </cfRule>
  </conditionalFormatting>
  <conditionalFormatting sqref="A11:D20">
    <cfRule type="containsText" dxfId="347" priority="293" operator="containsText" text="TBD">
      <formula>NOT(ISERROR(SEARCH("TBD",A11)))</formula>
    </cfRule>
  </conditionalFormatting>
  <conditionalFormatting sqref="A60:D61">
    <cfRule type="containsText" dxfId="346" priority="279" operator="containsText" text="TBD">
      <formula>NOT(ISERROR(SEARCH("TBD",A60)))</formula>
    </cfRule>
  </conditionalFormatting>
  <conditionalFormatting sqref="A41:F42">
    <cfRule type="containsText" dxfId="345" priority="272" operator="containsText" text="TBD">
      <formula>NOT(ISERROR(SEARCH("TBD",A41)))</formula>
    </cfRule>
  </conditionalFormatting>
  <conditionalFormatting sqref="A27:G27">
    <cfRule type="containsText" dxfId="344" priority="270" operator="containsText" text="TBD">
      <formula>NOT(ISERROR(SEARCH("TBD",A27)))</formula>
    </cfRule>
  </conditionalFormatting>
  <conditionalFormatting sqref="A29:G30">
    <cfRule type="containsText" dxfId="343" priority="230" operator="containsText" text="TBD">
      <formula>NOT(ISERROR(SEARCH("TBD",A29)))</formula>
    </cfRule>
  </conditionalFormatting>
  <conditionalFormatting sqref="A82:G84">
    <cfRule type="containsText" dxfId="342" priority="55" operator="containsText" text="TBD">
      <formula>NOT(ISERROR(SEARCH("TBD",A82)))</formula>
    </cfRule>
  </conditionalFormatting>
  <conditionalFormatting sqref="A46:I49">
    <cfRule type="containsText" dxfId="341" priority="121" operator="containsText" text="TBD">
      <formula>NOT(ISERROR(SEARCH("TBD",A46)))</formula>
    </cfRule>
  </conditionalFormatting>
  <conditionalFormatting sqref="A81:K81">
    <cfRule type="containsText" dxfId="340" priority="152" operator="containsText" text="TBD">
      <formula>NOT(ISERROR(SEARCH("TBD",A81)))</formula>
    </cfRule>
  </conditionalFormatting>
  <conditionalFormatting sqref="A3:M4">
    <cfRule type="containsText" dxfId="339" priority="117" operator="containsText" text="TBD">
      <formula>NOT(ISERROR(SEARCH("TBD",A3)))</formula>
    </cfRule>
  </conditionalFormatting>
  <conditionalFormatting sqref="A5:O6">
    <cfRule type="containsText" dxfId="338" priority="110" operator="containsText" text="TBD">
      <formula>NOT(ISERROR(SEARCH("TBD",A5)))</formula>
    </cfRule>
  </conditionalFormatting>
  <conditionalFormatting sqref="B62:B79">
    <cfRule type="containsText" dxfId="337" priority="37" operator="containsText" text="TBD">
      <formula>NOT(ISERROR(SEARCH("TBD",B62)))</formula>
    </cfRule>
  </conditionalFormatting>
  <conditionalFormatting sqref="C27:C31">
    <cfRule type="containsText" dxfId="336" priority="231" operator="containsText" text="TBD">
      <formula>NOT(ISERROR(SEARCH("TBD",C27)))</formula>
    </cfRule>
  </conditionalFormatting>
  <conditionalFormatting sqref="C33:C40">
    <cfRule type="containsText" dxfId="335" priority="171" operator="containsText" text="TBD">
      <formula>NOT(ISERROR(SEARCH("TBD",C33)))</formula>
    </cfRule>
  </conditionalFormatting>
  <conditionalFormatting sqref="C42:C45">
    <cfRule type="containsText" dxfId="334" priority="123" operator="containsText" text="TBD">
      <formula>NOT(ISERROR(SEARCH("TBD",C42)))</formula>
    </cfRule>
  </conditionalFormatting>
  <conditionalFormatting sqref="C55:C60">
    <cfRule type="containsText" dxfId="333" priority="47" operator="containsText" text="TBD">
      <formula>NOT(ISERROR(SEARCH("TBD",C55)))</formula>
    </cfRule>
  </conditionalFormatting>
  <conditionalFormatting sqref="C86:C89">
    <cfRule type="containsText" dxfId="332" priority="300" operator="containsText" text="TBD">
      <formula>NOT(ISERROR(SEARCH("TBD",C86)))</formula>
    </cfRule>
  </conditionalFormatting>
  <conditionalFormatting sqref="C21:D24">
    <cfRule type="containsText" dxfId="331" priority="244" operator="containsText" text="TBD">
      <formula>NOT(ISERROR(SEARCH("TBD",C21)))</formula>
    </cfRule>
  </conditionalFormatting>
  <conditionalFormatting sqref="C61:D78">
    <cfRule type="containsText" dxfId="330" priority="64" operator="containsText" text="TBD">
      <formula>NOT(ISERROR(SEARCH("TBD",C61)))</formula>
    </cfRule>
  </conditionalFormatting>
  <conditionalFormatting sqref="C25:G26">
    <cfRule type="containsText" dxfId="329" priority="290" operator="containsText" text="TBD">
      <formula>NOT(ISERROR(SEARCH("TBD",C25)))</formula>
    </cfRule>
  </conditionalFormatting>
  <conditionalFormatting sqref="C79:K80">
    <cfRule type="containsText" dxfId="328" priority="48" operator="containsText" text="TBD">
      <formula>NOT(ISERROR(SEARCH("TBD",C79)))</formula>
    </cfRule>
  </conditionalFormatting>
  <conditionalFormatting sqref="D31:F31 C32:F32">
    <cfRule type="containsText" dxfId="327" priority="289" operator="containsText" text="TBD">
      <formula>NOT(ISERROR(SEARCH("TBD",C31)))</formula>
    </cfRule>
  </conditionalFormatting>
  <conditionalFormatting sqref="D33:F34">
    <cfRule type="containsText" dxfId="326" priority="183" operator="containsText" text="TBD">
      <formula>NOT(ISERROR(SEARCH("TBD",D33)))</formula>
    </cfRule>
  </conditionalFormatting>
  <conditionalFormatting sqref="D43:F45">
    <cfRule type="containsText" dxfId="325" priority="136" operator="containsText" text="TBD">
      <formula>NOT(ISERROR(SEARCH("TBD",D43)))</formula>
    </cfRule>
  </conditionalFormatting>
  <conditionalFormatting sqref="D52:F52">
    <cfRule type="containsText" dxfId="324" priority="77" operator="containsText" text="TBD">
      <formula>NOT(ISERROR(SEARCH("TBD",D52)))</formula>
    </cfRule>
  </conditionalFormatting>
  <conditionalFormatting sqref="D28:G28">
    <cfRule type="containsText" dxfId="323" priority="234" operator="containsText" text="TBD">
      <formula>NOT(ISERROR(SEARCH("TBD",D28)))</formula>
    </cfRule>
  </conditionalFormatting>
  <conditionalFormatting sqref="D35:G39">
    <cfRule type="containsText" dxfId="322" priority="168" operator="containsText" text="TBD">
      <formula>NOT(ISERROR(SEARCH("TBD",D35)))</formula>
    </cfRule>
  </conditionalFormatting>
  <conditionalFormatting sqref="D51:G51">
    <cfRule type="containsText" dxfId="321" priority="75" operator="containsText" text="TBD">
      <formula>NOT(ISERROR(SEARCH("TBD",D51)))</formula>
    </cfRule>
  </conditionalFormatting>
  <conditionalFormatting sqref="D53:H53">
    <cfRule type="containsText" dxfId="320" priority="43" operator="containsText" text="TBD">
      <formula>NOT(ISERROR(SEARCH("TBD",D53)))</formula>
    </cfRule>
  </conditionalFormatting>
  <conditionalFormatting sqref="E11:E23">
    <cfRule type="containsText" dxfId="319" priority="137" operator="containsText" text="TBD">
      <formula>NOT(ISERROR(SEARCH("TBD",E11)))</formula>
    </cfRule>
  </conditionalFormatting>
  <conditionalFormatting sqref="E33">
    <cfRule type="containsText" dxfId="318" priority="181" operator="containsText" text="TBD">
      <formula>NOT(ISERROR(SEARCH("TBD",E33)))</formula>
    </cfRule>
  </conditionalFormatting>
  <conditionalFormatting sqref="E50:E53">
    <cfRule type="containsText" dxfId="317" priority="41" operator="containsText" text="TBD">
      <formula>NOT(ISERROR(SEARCH("TBD",E50)))</formula>
    </cfRule>
  </conditionalFormatting>
  <conditionalFormatting sqref="E55:E78">
    <cfRule type="containsText" dxfId="316" priority="44" operator="containsText" text="TBD">
      <formula>NOT(ISERROR(SEARCH("TBD",E55)))</formula>
    </cfRule>
  </conditionalFormatting>
  <conditionalFormatting sqref="F20:F21">
    <cfRule type="containsText" dxfId="315" priority="299" operator="containsText" text="TBD">
      <formula>NOT(ISERROR(SEARCH("TBD",F20)))</formula>
    </cfRule>
  </conditionalFormatting>
  <conditionalFormatting sqref="F22:K24">
    <cfRule type="containsText" dxfId="314" priority="243" operator="containsText" text="TBD">
      <formula>NOT(ISERROR(SEARCH("TBD",F22)))</formula>
    </cfRule>
  </conditionalFormatting>
  <conditionalFormatting sqref="G31:G34">
    <cfRule type="containsText" dxfId="313" priority="176" operator="containsText" text="TBD">
      <formula>NOT(ISERROR(SEARCH("TBD",G31)))</formula>
    </cfRule>
  </conditionalFormatting>
  <conditionalFormatting sqref="G41:G45">
    <cfRule type="containsText" dxfId="312" priority="133" operator="containsText" text="TBD">
      <formula>NOT(ISERROR(SEARCH("TBD",G41)))</formula>
    </cfRule>
  </conditionalFormatting>
  <conditionalFormatting sqref="G50:G53">
    <cfRule type="containsText" dxfId="311" priority="40" operator="containsText" text="TBD">
      <formula>NOT(ISERROR(SEARCH("TBD",G50)))</formula>
    </cfRule>
  </conditionalFormatting>
  <conditionalFormatting sqref="H25:H39 A31:B39">
    <cfRule type="containsText" dxfId="310" priority="175" operator="containsText" text="TBD">
      <formula>NOT(ISERROR(SEARCH("TBD",A25)))</formula>
    </cfRule>
  </conditionalFormatting>
  <conditionalFormatting sqref="H50:H52">
    <cfRule type="containsText" dxfId="309" priority="72" operator="containsText" text="TBD">
      <formula>NOT(ISERROR(SEARCH("TBD",H50)))</formula>
    </cfRule>
  </conditionalFormatting>
  <conditionalFormatting sqref="H43:I45">
    <cfRule type="containsText" dxfId="308" priority="126" operator="containsText" text="TBD">
      <formula>NOT(ISERROR(SEARCH("TBD",H43)))</formula>
    </cfRule>
  </conditionalFormatting>
  <conditionalFormatting sqref="H81:I84">
    <cfRule type="containsText" dxfId="307" priority="144" operator="containsText" text="TBD">
      <formula>NOT(ISERROR(SEARCH("TBD",H81)))</formula>
    </cfRule>
  </conditionalFormatting>
  <conditionalFormatting sqref="H41:K42">
    <cfRule type="containsText" dxfId="306" priority="276" operator="containsText" text="TBD">
      <formula>NOT(ISERROR(SEARCH("TBD",H41)))</formula>
    </cfRule>
  </conditionalFormatting>
  <conditionalFormatting sqref="I33">
    <cfRule type="containsText" dxfId="305" priority="177" operator="containsText" text="TBD">
      <formula>NOT(ISERROR(SEARCH("TBD",I33)))</formula>
    </cfRule>
  </conditionalFormatting>
  <conditionalFormatting sqref="I50:I53">
    <cfRule type="containsText" dxfId="304" priority="39" operator="containsText" text="TBD">
      <formula>NOT(ISERROR(SEARCH("TBD",I50)))</formula>
    </cfRule>
  </conditionalFormatting>
  <conditionalFormatting sqref="I25:K32">
    <cfRule type="containsText" dxfId="303" priority="232" operator="containsText" text="TBD">
      <formula>NOT(ISERROR(SEARCH("TBD",I25)))</formula>
    </cfRule>
  </conditionalFormatting>
  <conditionalFormatting sqref="I36:K39">
    <cfRule type="containsText" dxfId="302" priority="169" operator="containsText" text="TBD">
      <formula>NOT(ISERROR(SEARCH("TBD",I36)))</formula>
    </cfRule>
  </conditionalFormatting>
  <conditionalFormatting sqref="J82:J83">
    <cfRule type="containsText" dxfId="301" priority="147" operator="containsText" text="TBD">
      <formula>NOT(ISERROR(SEARCH("TBD",J82)))</formula>
    </cfRule>
  </conditionalFormatting>
  <conditionalFormatting sqref="J33:K35">
    <cfRule type="containsText" dxfId="300" priority="167" operator="containsText" text="TBD">
      <formula>NOT(ISERROR(SEARCH("TBD",J33)))</formula>
    </cfRule>
  </conditionalFormatting>
  <conditionalFormatting sqref="K82:K84">
    <cfRule type="containsText" dxfId="299" priority="54" operator="containsText" text="TBD">
      <formula>NOT(ISERROR(SEARCH("TBD",K82)))</formula>
    </cfRule>
  </conditionalFormatting>
  <conditionalFormatting sqref="N80:N84">
    <cfRule type="containsText" dxfId="298" priority="2" operator="containsText" text="TBD">
      <formula>NOT(ISERROR(SEARCH("TBD",N80)))</formula>
    </cfRule>
  </conditionalFormatting>
  <conditionalFormatting sqref="N14:O14">
    <cfRule type="containsText" dxfId="297" priority="138" operator="containsText" text="TBD">
      <formula>NOT(ISERROR(SEARCH("TBD",N14)))</formula>
    </cfRule>
  </conditionalFormatting>
  <conditionalFormatting sqref="N28:O30">
    <cfRule type="containsText" dxfId="296" priority="228" operator="containsText" text="TBD">
      <formula>NOT(ISERROR(SEARCH("TBD",N28)))</formula>
    </cfRule>
  </conditionalFormatting>
  <conditionalFormatting sqref="N33:O33">
    <cfRule type="containsText" dxfId="295" priority="178" operator="containsText" text="TBD">
      <formula>NOT(ISERROR(SEARCH("TBD",N33)))</formula>
    </cfRule>
  </conditionalFormatting>
  <conditionalFormatting sqref="N36:O36">
    <cfRule type="containsText" dxfId="294" priority="170" operator="containsText" text="TBD">
      <formula>NOT(ISERROR(SEARCH("TBD",N36)))</formula>
    </cfRule>
  </conditionalFormatting>
  <conditionalFormatting sqref="N43:O59">
    <cfRule type="containsText" dxfId="293" priority="93" operator="containsText" text="TBD">
      <formula>NOT(ISERROR(SEARCH("TBD",N43)))</formula>
    </cfRule>
  </conditionalFormatting>
  <conditionalFormatting sqref="N79:O79">
    <cfRule type="containsText" dxfId="292" priority="258" operator="containsText" text="TBD">
      <formula>NOT(ISERROR(SEARCH("TBD",N79)))</formula>
    </cfRule>
  </conditionalFormatting>
  <conditionalFormatting sqref="O60:O84">
    <cfRule type="containsText" dxfId="291" priority="145" operator="containsText" text="TBD">
      <formula>NOT(ISERROR(SEARCH("TBD",O60)))</formula>
    </cfRule>
  </conditionalFormatting>
  <conditionalFormatting sqref="O83">
    <cfRule type="containsText" dxfId="290" priority="143" operator="containsText" text="Group A">
      <formula>NOT(ISERROR(SEARCH("Group A",O83)))</formula>
    </cfRule>
    <cfRule type="containsText" dxfId="289" priority="142" operator="containsText" text="Group A">
      <formula>NOT(ISERROR(SEARCH("Group A",O83)))</formula>
    </cfRule>
    <cfRule type="containsText" dxfId="288" priority="141" operator="containsText" text="Group B">
      <formula>NOT(ISERROR(SEARCH("Group B",O83)))</formula>
    </cfRule>
    <cfRule type="containsText" dxfId="287" priority="140" operator="containsText" text="Group A">
      <formula>NOT(ISERROR(SEARCH("Group A",O83)))</formula>
    </cfRule>
  </conditionalFormatting>
  <conditionalFormatting sqref="P3:P1048576">
    <cfRule type="containsText" dxfId="286" priority="12" operator="containsText" text="TBD">
      <formula>NOT(ISERROR(SEARCH("TBD",P3)))</formula>
    </cfRule>
  </conditionalFormatting>
  <conditionalFormatting sqref="P7:P14">
    <cfRule type="containsText" dxfId="285" priority="5" operator="containsText" text="TBD">
      <formula>NOT(ISERROR(SEARCH("TBD",P7)))</formula>
    </cfRule>
  </conditionalFormatting>
  <conditionalFormatting sqref="P24">
    <cfRule type="containsText" dxfId="284" priority="4" operator="containsText" text="TBD">
      <formula>NOT(ISERROR(SEARCH("TBD",P24)))</formula>
    </cfRule>
  </conditionalFormatting>
  <conditionalFormatting sqref="P56:P60">
    <cfRule type="containsText" dxfId="283" priority="1" operator="containsText" text="TBD">
      <formula>NOT(ISERROR(SEARCH("TBD",P56)))</formula>
    </cfRule>
  </conditionalFormatting>
  <conditionalFormatting sqref="P81">
    <cfRule type="containsText" dxfId="282" priority="10" operator="containsText" text="Group A">
      <formula>NOT(ISERROR(SEARCH("Group A",P81)))</formula>
    </cfRule>
    <cfRule type="containsText" dxfId="281" priority="9" operator="containsText" text="Group B">
      <formula>NOT(ISERROR(SEARCH("Group B",P81)))</formula>
    </cfRule>
    <cfRule type="containsText" dxfId="280" priority="8" operator="containsText" text="Group A">
      <formula>NOT(ISERROR(SEARCH("Group A",P81)))</formula>
    </cfRule>
    <cfRule type="containsText" dxfId="279" priority="11" operator="containsText" text="Group A">
      <formula>NOT(ISERROR(SEARCH("Group A",P81)))</formula>
    </cfRule>
  </conditionalFormatting>
  <conditionalFormatting sqref="P84">
    <cfRule type="containsText" dxfId="278" priority="3" operator="containsText" text="TBD">
      <formula>NOT(ISERROR(SEARCH("TBD",P84)))</formula>
    </cfRule>
  </conditionalFormatting>
  <conditionalFormatting sqref="Q1:XFD58 D50:F50">
    <cfRule type="containsText" dxfId="277" priority="101" operator="containsText" text="TBD">
      <formula>NOT(ISERROR(SEARCH("TBD",D1)))</formula>
    </cfRule>
  </conditionalFormatting>
  <conditionalFormatting sqref="Q60:XFD1048576 A61:A79 A80:B80">
    <cfRule type="containsText" dxfId="276" priority="284" operator="containsText" text="TBD">
      <formula>NOT(ISERROR(SEARCH("TBD",A60)))</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63CDC-6AC9-4166-8DC8-33D7DF918B46}">
  <sheetPr>
    <tabColor theme="8" tint="-0.249977111117893"/>
  </sheetPr>
  <dimension ref="A1:AU92"/>
  <sheetViews>
    <sheetView tabSelected="1" zoomScale="55" zoomScaleNormal="55" workbookViewId="0">
      <pane ySplit="5" topLeftCell="A18" activePane="bottomLeft" state="frozen"/>
      <selection activeCell="I40" sqref="I40"/>
      <selection pane="bottomLeft" activeCell="I40" sqref="I4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6328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36.90625" style="6" customWidth="1"/>
    <col min="15" max="16" width="17.269531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1A72D6200-600-GNA</v>
      </c>
      <c r="D3" s="26" t="s">
        <v>1</v>
      </c>
      <c r="E3" s="27" t="s">
        <v>14</v>
      </c>
      <c r="F3" s="26"/>
      <c r="G3" s="26"/>
      <c r="H3" s="26"/>
      <c r="I3" s="26"/>
      <c r="J3" s="26"/>
      <c r="K3" s="26"/>
      <c r="L3" s="26"/>
      <c r="M3" s="26"/>
      <c r="N3" s="44"/>
      <c r="O3" s="26"/>
      <c r="P3" s="26"/>
    </row>
    <row r="4" spans="1:16" s="8" customFormat="1">
      <c r="A4" s="179" t="s">
        <v>8</v>
      </c>
      <c r="B4" s="179"/>
      <c r="C4" s="89" t="str">
        <f>E6</f>
        <v>TBD</v>
      </c>
      <c r="D4" s="41" t="s">
        <v>9</v>
      </c>
      <c r="E4" s="42" t="s">
        <v>14</v>
      </c>
      <c r="F4" s="41" t="s">
        <v>10</v>
      </c>
      <c r="G4" s="13" t="str">
        <f>G6</f>
        <v>Maxwell Mercury_L10 Compute Tray Assy_Sun-Ref, Micron, without NVIDIA Group A</v>
      </c>
      <c r="H4" s="41"/>
      <c r="I4" s="41"/>
      <c r="J4" s="41"/>
      <c r="K4" s="41"/>
      <c r="L4" s="41"/>
      <c r="M4" s="41"/>
      <c r="N4" s="44"/>
      <c r="O4" s="41"/>
      <c r="P4" s="41"/>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ROW(A6)-5</f>
        <v>1</v>
      </c>
      <c r="B6" s="49" t="s">
        <v>36</v>
      </c>
      <c r="C6" s="52" t="s">
        <v>669</v>
      </c>
      <c r="D6" s="11" t="s">
        <v>17</v>
      </c>
      <c r="E6" s="91" t="s">
        <v>34</v>
      </c>
      <c r="F6" s="11" t="s">
        <v>14</v>
      </c>
      <c r="G6" s="13" t="s">
        <v>690</v>
      </c>
      <c r="H6" s="11" t="s">
        <v>20</v>
      </c>
      <c r="I6" s="52" t="str">
        <f>C6</f>
        <v>1A72D6200-600-GNA</v>
      </c>
      <c r="J6" s="11" t="s">
        <v>14</v>
      </c>
      <c r="K6" s="11">
        <v>1</v>
      </c>
      <c r="L6" s="11" t="s">
        <v>800</v>
      </c>
      <c r="M6" s="11" t="s">
        <v>30</v>
      </c>
      <c r="N6" s="45"/>
      <c r="O6" s="11" t="s">
        <v>14</v>
      </c>
      <c r="P6" s="11" t="s">
        <v>802</v>
      </c>
    </row>
    <row r="7" spans="1:16" ht="62">
      <c r="A7" s="123">
        <f>ROW(A7)-5</f>
        <v>2</v>
      </c>
      <c r="B7" s="124" t="s">
        <v>29</v>
      </c>
      <c r="C7" s="125" t="s">
        <v>218</v>
      </c>
      <c r="D7" s="123" t="s">
        <v>17</v>
      </c>
      <c r="E7" s="123" t="s">
        <v>34</v>
      </c>
      <c r="F7" s="123" t="s">
        <v>14</v>
      </c>
      <c r="G7" s="127" t="s">
        <v>189</v>
      </c>
      <c r="H7" s="123" t="s">
        <v>40</v>
      </c>
      <c r="I7" s="128" t="s">
        <v>216</v>
      </c>
      <c r="J7" s="123" t="s">
        <v>14</v>
      </c>
      <c r="K7" s="123">
        <v>1</v>
      </c>
      <c r="L7" s="128" t="s">
        <v>800</v>
      </c>
      <c r="M7" s="128" t="s">
        <v>30</v>
      </c>
      <c r="N7" s="129" t="s">
        <v>460</v>
      </c>
      <c r="O7" s="123" t="s">
        <v>42</v>
      </c>
      <c r="P7" s="128" t="s">
        <v>803</v>
      </c>
    </row>
    <row r="8" spans="1:16" ht="62">
      <c r="A8" s="123">
        <f>ROW(A8)-5</f>
        <v>3</v>
      </c>
      <c r="B8" s="124" t="s">
        <v>37</v>
      </c>
      <c r="C8" s="125" t="s">
        <v>343</v>
      </c>
      <c r="D8" s="123" t="s">
        <v>17</v>
      </c>
      <c r="E8" s="123" t="s">
        <v>34</v>
      </c>
      <c r="F8" s="123" t="s">
        <v>14</v>
      </c>
      <c r="G8" s="127" t="s">
        <v>232</v>
      </c>
      <c r="H8" s="123" t="s">
        <v>40</v>
      </c>
      <c r="I8" s="125" t="s">
        <v>344</v>
      </c>
      <c r="J8" s="123" t="s">
        <v>14</v>
      </c>
      <c r="K8" s="123">
        <v>2</v>
      </c>
      <c r="L8" s="128" t="s">
        <v>800</v>
      </c>
      <c r="M8" s="128" t="s">
        <v>30</v>
      </c>
      <c r="N8" s="129" t="s">
        <v>685</v>
      </c>
      <c r="O8" s="123" t="s">
        <v>42</v>
      </c>
      <c r="P8" s="128" t="s">
        <v>803</v>
      </c>
    </row>
    <row r="9" spans="1:16" ht="31">
      <c r="A9" s="123">
        <f t="shared" ref="A9:A80" si="0">ROW(A9)-5</f>
        <v>4</v>
      </c>
      <c r="B9" s="124" t="s">
        <v>117</v>
      </c>
      <c r="C9" s="123" t="s">
        <v>313</v>
      </c>
      <c r="D9" s="130" t="s">
        <v>30</v>
      </c>
      <c r="E9" s="123" t="s">
        <v>34</v>
      </c>
      <c r="F9" s="123" t="s">
        <v>14</v>
      </c>
      <c r="G9" s="127" t="s">
        <v>58</v>
      </c>
      <c r="H9" s="123" t="s">
        <v>40</v>
      </c>
      <c r="I9" s="128" t="s">
        <v>309</v>
      </c>
      <c r="J9" s="130" t="s">
        <v>30</v>
      </c>
      <c r="K9" s="123">
        <v>2</v>
      </c>
      <c r="L9" s="128" t="s">
        <v>800</v>
      </c>
      <c r="M9" s="128" t="s">
        <v>30</v>
      </c>
      <c r="N9" s="129" t="s">
        <v>505</v>
      </c>
      <c r="O9" s="123" t="s">
        <v>41</v>
      </c>
      <c r="P9" s="128" t="s">
        <v>803</v>
      </c>
    </row>
    <row r="10" spans="1:16" ht="46.5">
      <c r="A10" s="123">
        <f t="shared" si="0"/>
        <v>5</v>
      </c>
      <c r="B10" s="124" t="s">
        <v>118</v>
      </c>
      <c r="C10" s="128" t="s">
        <v>219</v>
      </c>
      <c r="D10" s="130" t="s">
        <v>30</v>
      </c>
      <c r="E10" s="123" t="s">
        <v>34</v>
      </c>
      <c r="F10" s="123" t="s">
        <v>14</v>
      </c>
      <c r="G10" s="127" t="s">
        <v>59</v>
      </c>
      <c r="H10" s="123" t="s">
        <v>40</v>
      </c>
      <c r="I10" s="128" t="s">
        <v>217</v>
      </c>
      <c r="J10" s="130" t="s">
        <v>30</v>
      </c>
      <c r="K10" s="123">
        <v>1</v>
      </c>
      <c r="L10" s="128" t="s">
        <v>800</v>
      </c>
      <c r="M10" s="128" t="s">
        <v>30</v>
      </c>
      <c r="N10" s="129" t="s">
        <v>329</v>
      </c>
      <c r="O10" s="123" t="s">
        <v>41</v>
      </c>
      <c r="P10" s="128"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225</v>
      </c>
      <c r="D14" s="56" t="s">
        <v>30</v>
      </c>
      <c r="E14" s="91" t="s">
        <v>468</v>
      </c>
      <c r="F14" s="11" t="s">
        <v>14</v>
      </c>
      <c r="G14" s="13" t="s">
        <v>188</v>
      </c>
      <c r="H14" s="11" t="s">
        <v>138</v>
      </c>
      <c r="I14" s="11" t="s">
        <v>145</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ROW(A19)-5</f>
        <v>14</v>
      </c>
      <c r="B19" s="58" t="s">
        <v>174</v>
      </c>
      <c r="C19" s="60" t="s">
        <v>151</v>
      </c>
      <c r="D19" s="61" t="s">
        <v>14</v>
      </c>
      <c r="E19" s="91" t="s">
        <v>526</v>
      </c>
      <c r="F19" s="11" t="s">
        <v>14</v>
      </c>
      <c r="G19" s="95" t="s">
        <v>532</v>
      </c>
      <c r="H19" s="62" t="s">
        <v>51</v>
      </c>
      <c r="I19" s="60" t="s">
        <v>151</v>
      </c>
      <c r="J19" s="11" t="s">
        <v>30</v>
      </c>
      <c r="K19" s="63">
        <v>1</v>
      </c>
      <c r="L19" s="11" t="s">
        <v>800</v>
      </c>
      <c r="M19" s="11" t="s">
        <v>30</v>
      </c>
      <c r="N19" s="64" t="s">
        <v>341</v>
      </c>
      <c r="O19" s="63" t="s">
        <v>159</v>
      </c>
      <c r="P19" s="11" t="s">
        <v>802</v>
      </c>
    </row>
    <row r="20" spans="1:16">
      <c r="A20" s="11">
        <f t="shared" si="0"/>
        <v>15</v>
      </c>
      <c r="B20" s="58" t="s">
        <v>131</v>
      </c>
      <c r="C20" s="55" t="s">
        <v>345</v>
      </c>
      <c r="D20" s="11" t="s">
        <v>14</v>
      </c>
      <c r="E20" s="91" t="s">
        <v>516</v>
      </c>
      <c r="F20" s="11" t="s">
        <v>14</v>
      </c>
      <c r="G20" s="72" t="s">
        <v>346</v>
      </c>
      <c r="H20" s="11" t="s">
        <v>51</v>
      </c>
      <c r="I20" s="55" t="s">
        <v>345</v>
      </c>
      <c r="J20" s="11" t="s">
        <v>14</v>
      </c>
      <c r="K20" s="11">
        <v>1</v>
      </c>
      <c r="L20" s="11" t="s">
        <v>800</v>
      </c>
      <c r="M20" s="11" t="s">
        <v>30</v>
      </c>
      <c r="N20" s="45" t="s">
        <v>303</v>
      </c>
      <c r="O20" s="11" t="s">
        <v>41</v>
      </c>
      <c r="P20" s="11" t="s">
        <v>802</v>
      </c>
    </row>
    <row r="21" spans="1:16">
      <c r="A21" s="11">
        <f t="shared" si="0"/>
        <v>16</v>
      </c>
      <c r="B21" s="58" t="s">
        <v>381</v>
      </c>
      <c r="C21" s="55" t="s">
        <v>347</v>
      </c>
      <c r="D21" s="11" t="s">
        <v>14</v>
      </c>
      <c r="E21" s="91" t="s">
        <v>473</v>
      </c>
      <c r="F21" s="11" t="s">
        <v>14</v>
      </c>
      <c r="G21" s="72" t="s">
        <v>348</v>
      </c>
      <c r="H21" s="11" t="s">
        <v>51</v>
      </c>
      <c r="I21" s="55" t="s">
        <v>347</v>
      </c>
      <c r="J21" s="11" t="s">
        <v>14</v>
      </c>
      <c r="K21" s="11">
        <v>1</v>
      </c>
      <c r="L21" s="11" t="s">
        <v>800</v>
      </c>
      <c r="M21" s="11" t="s">
        <v>30</v>
      </c>
      <c r="N21" s="45" t="s">
        <v>303</v>
      </c>
      <c r="O21" s="11" t="s">
        <v>41</v>
      </c>
      <c r="P21" s="11" t="s">
        <v>802</v>
      </c>
    </row>
    <row r="22" spans="1:16">
      <c r="A22" s="11">
        <f t="shared" si="0"/>
        <v>17</v>
      </c>
      <c r="B22" s="58" t="s">
        <v>382</v>
      </c>
      <c r="C22" s="52"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551</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23">
        <f t="shared" si="0"/>
        <v>19</v>
      </c>
      <c r="B24" s="131" t="s">
        <v>552</v>
      </c>
      <c r="C24" s="128" t="s">
        <v>278</v>
      </c>
      <c r="D24" s="123" t="s">
        <v>30</v>
      </c>
      <c r="E24" s="132" t="s">
        <v>593</v>
      </c>
      <c r="F24" s="123" t="s">
        <v>30</v>
      </c>
      <c r="G24" s="133" t="s">
        <v>276</v>
      </c>
      <c r="H24" s="123" t="s">
        <v>274</v>
      </c>
      <c r="I24" s="123" t="s">
        <v>275</v>
      </c>
      <c r="J24" s="123" t="s">
        <v>14</v>
      </c>
      <c r="K24" s="123">
        <v>2</v>
      </c>
      <c r="L24" s="128" t="s">
        <v>800</v>
      </c>
      <c r="M24" s="128" t="s">
        <v>30</v>
      </c>
      <c r="N24" s="134" t="s">
        <v>277</v>
      </c>
      <c r="O24" s="123" t="s">
        <v>273</v>
      </c>
      <c r="P24" s="128" t="s">
        <v>803</v>
      </c>
    </row>
    <row r="25" spans="1:16">
      <c r="A25" s="11">
        <f t="shared" si="0"/>
        <v>20</v>
      </c>
      <c r="B25" s="58" t="s">
        <v>553</v>
      </c>
      <c r="C25" s="24" t="s">
        <v>339</v>
      </c>
      <c r="D25" s="11" t="s">
        <v>14</v>
      </c>
      <c r="E25" s="11" t="s">
        <v>34</v>
      </c>
      <c r="F25" s="11" t="s">
        <v>14</v>
      </c>
      <c r="G25" s="43" t="s">
        <v>305</v>
      </c>
      <c r="H25" s="52" t="s">
        <v>418</v>
      </c>
      <c r="I25" s="24" t="s">
        <v>339</v>
      </c>
      <c r="J25" s="11" t="s">
        <v>14</v>
      </c>
      <c r="K25" s="11">
        <v>1</v>
      </c>
      <c r="L25" s="11" t="s">
        <v>800</v>
      </c>
      <c r="M25" s="11" t="s">
        <v>30</v>
      </c>
      <c r="N25" s="45" t="s">
        <v>306</v>
      </c>
      <c r="O25" s="11" t="s">
        <v>44</v>
      </c>
      <c r="P25" s="11" t="s">
        <v>802</v>
      </c>
    </row>
    <row r="26" spans="1:16">
      <c r="A26" s="11">
        <f>ROW(A26)-5</f>
        <v>21</v>
      </c>
      <c r="B26" s="58" t="s">
        <v>554</v>
      </c>
      <c r="C26" s="11" t="s">
        <v>286</v>
      </c>
      <c r="D26" s="11" t="s">
        <v>14</v>
      </c>
      <c r="E26" s="11" t="s">
        <v>34</v>
      </c>
      <c r="F26" s="11" t="s">
        <v>14</v>
      </c>
      <c r="G26" s="43" t="s">
        <v>285</v>
      </c>
      <c r="H26" s="52" t="s">
        <v>418</v>
      </c>
      <c r="I26" s="11" t="s">
        <v>286</v>
      </c>
      <c r="J26" s="11" t="s">
        <v>14</v>
      </c>
      <c r="K26" s="11">
        <v>3</v>
      </c>
      <c r="L26" s="11" t="s">
        <v>800</v>
      </c>
      <c r="M26" s="11" t="s">
        <v>30</v>
      </c>
      <c r="N26" s="45" t="s">
        <v>284</v>
      </c>
      <c r="O26" s="11" t="s">
        <v>44</v>
      </c>
      <c r="P26" s="11" t="s">
        <v>802</v>
      </c>
    </row>
    <row r="27" spans="1:16">
      <c r="A27" s="11">
        <f t="shared" ref="A27:A30" si="1">ROW(A27)-5</f>
        <v>22</v>
      </c>
      <c r="B27" s="58"/>
      <c r="C27" s="55" t="s">
        <v>408</v>
      </c>
      <c r="D27" s="11" t="s">
        <v>14</v>
      </c>
      <c r="E27" s="11" t="s">
        <v>34</v>
      </c>
      <c r="F27" s="11" t="s">
        <v>14</v>
      </c>
      <c r="G27" s="43" t="s">
        <v>405</v>
      </c>
      <c r="H27" s="52" t="s">
        <v>406</v>
      </c>
      <c r="I27" s="55" t="s">
        <v>407</v>
      </c>
      <c r="J27" s="11" t="s">
        <v>14</v>
      </c>
      <c r="K27" s="11"/>
      <c r="L27" s="11" t="s">
        <v>800</v>
      </c>
      <c r="M27" s="11" t="s">
        <v>30</v>
      </c>
      <c r="N27" s="45" t="s">
        <v>296</v>
      </c>
      <c r="O27" s="11" t="s">
        <v>44</v>
      </c>
      <c r="P27" s="11" t="s">
        <v>802</v>
      </c>
    </row>
    <row r="28" spans="1:16">
      <c r="A28" s="11">
        <f>ROW(A28)-5</f>
        <v>23</v>
      </c>
      <c r="B28" s="58" t="s">
        <v>409</v>
      </c>
      <c r="C28" s="55" t="s">
        <v>506</v>
      </c>
      <c r="D28" s="11" t="s">
        <v>14</v>
      </c>
      <c r="E28" s="11" t="s">
        <v>34</v>
      </c>
      <c r="F28" s="11" t="s">
        <v>14</v>
      </c>
      <c r="G28" s="43" t="s">
        <v>507</v>
      </c>
      <c r="H28" s="52" t="s">
        <v>418</v>
      </c>
      <c r="I28" s="55" t="s">
        <v>506</v>
      </c>
      <c r="J28" s="11" t="s">
        <v>14</v>
      </c>
      <c r="K28" s="11">
        <v>4</v>
      </c>
      <c r="L28" s="11" t="s">
        <v>800</v>
      </c>
      <c r="M28" s="11" t="s">
        <v>30</v>
      </c>
      <c r="N28" s="45" t="s">
        <v>515</v>
      </c>
      <c r="O28" s="11" t="s">
        <v>44</v>
      </c>
      <c r="P28" s="11" t="s">
        <v>802</v>
      </c>
    </row>
    <row r="29" spans="1:16">
      <c r="A29" s="11">
        <f t="shared" si="1"/>
        <v>24</v>
      </c>
      <c r="B29" s="58"/>
      <c r="C29" s="55" t="s">
        <v>508</v>
      </c>
      <c r="D29" s="11" t="s">
        <v>14</v>
      </c>
      <c r="E29" s="1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1"/>
        <v>25</v>
      </c>
      <c r="B30" s="58"/>
      <c r="C30" s="55" t="s">
        <v>509</v>
      </c>
      <c r="D30" s="11" t="s">
        <v>14</v>
      </c>
      <c r="E30" s="1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1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11" t="s">
        <v>34</v>
      </c>
      <c r="F32" s="11" t="s">
        <v>14</v>
      </c>
      <c r="G32" s="43" t="s">
        <v>316</v>
      </c>
      <c r="H32" s="52" t="s">
        <v>418</v>
      </c>
      <c r="I32" s="24" t="s">
        <v>290</v>
      </c>
      <c r="J32" s="11" t="s">
        <v>14</v>
      </c>
      <c r="K32" s="11">
        <v>8</v>
      </c>
      <c r="L32" s="11" t="s">
        <v>800</v>
      </c>
      <c r="M32" s="11" t="s">
        <v>30</v>
      </c>
      <c r="N32" s="45" t="s">
        <v>289</v>
      </c>
      <c r="O32" s="11" t="s">
        <v>44</v>
      </c>
      <c r="P32" s="11" t="s">
        <v>802</v>
      </c>
    </row>
    <row r="33" spans="1:16">
      <c r="A33" s="11">
        <f>ROW(A33)-5</f>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413</v>
      </c>
      <c r="C34" s="24" t="s">
        <v>333</v>
      </c>
      <c r="D34" s="11" t="s">
        <v>14</v>
      </c>
      <c r="E34" s="11" t="s">
        <v>34</v>
      </c>
      <c r="F34" s="11" t="s">
        <v>14</v>
      </c>
      <c r="G34" s="43" t="s">
        <v>314</v>
      </c>
      <c r="H34" s="52" t="s">
        <v>418</v>
      </c>
      <c r="I34" s="67" t="s">
        <v>333</v>
      </c>
      <c r="J34" s="11" t="s">
        <v>14</v>
      </c>
      <c r="K34" s="11">
        <v>1</v>
      </c>
      <c r="L34" s="11" t="s">
        <v>800</v>
      </c>
      <c r="M34" s="11" t="s">
        <v>30</v>
      </c>
      <c r="N34" s="45" t="s">
        <v>291</v>
      </c>
      <c r="O34" s="11" t="s">
        <v>44</v>
      </c>
      <c r="P34" s="11" t="s">
        <v>802</v>
      </c>
    </row>
    <row r="35" spans="1:16">
      <c r="A35" s="11">
        <f t="shared" si="0"/>
        <v>30</v>
      </c>
      <c r="B35" s="58" t="s">
        <v>47</v>
      </c>
      <c r="C35" s="24" t="s">
        <v>335</v>
      </c>
      <c r="D35" s="11" t="s">
        <v>14</v>
      </c>
      <c r="E35" s="11" t="s">
        <v>34</v>
      </c>
      <c r="F35" s="11" t="s">
        <v>14</v>
      </c>
      <c r="G35" s="43" t="s">
        <v>334</v>
      </c>
      <c r="H35" s="52" t="s">
        <v>418</v>
      </c>
      <c r="I35" s="67" t="s">
        <v>335</v>
      </c>
      <c r="J35" s="11" t="s">
        <v>14</v>
      </c>
      <c r="K35" s="52">
        <v>2</v>
      </c>
      <c r="L35" s="11" t="s">
        <v>800</v>
      </c>
      <c r="M35" s="11" t="s">
        <v>30</v>
      </c>
      <c r="N35" s="45" t="s">
        <v>336</v>
      </c>
      <c r="O35" s="11" t="s">
        <v>44</v>
      </c>
      <c r="P35" s="11" t="s">
        <v>802</v>
      </c>
    </row>
    <row r="36" spans="1:16">
      <c r="A36" s="11">
        <f>ROW(A36)-5</f>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1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1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24" t="s">
        <v>300</v>
      </c>
      <c r="D39" s="11" t="s">
        <v>14</v>
      </c>
      <c r="E39" s="11" t="s">
        <v>34</v>
      </c>
      <c r="F39" s="11" t="s">
        <v>14</v>
      </c>
      <c r="G39" s="43" t="s">
        <v>299</v>
      </c>
      <c r="H39" s="52" t="s">
        <v>418</v>
      </c>
      <c r="I39" s="24" t="s">
        <v>300</v>
      </c>
      <c r="J39" s="11" t="s">
        <v>14</v>
      </c>
      <c r="K39" s="11">
        <v>64</v>
      </c>
      <c r="L39" s="11" t="s">
        <v>800</v>
      </c>
      <c r="M39" s="11" t="s">
        <v>30</v>
      </c>
      <c r="N39" s="45" t="s">
        <v>296</v>
      </c>
      <c r="O39" s="11" t="s">
        <v>44</v>
      </c>
      <c r="P39" s="11" t="s">
        <v>802</v>
      </c>
    </row>
    <row r="40" spans="1:16">
      <c r="A40" s="11">
        <f t="shared" si="0"/>
        <v>35</v>
      </c>
      <c r="B40" s="58"/>
      <c r="C40" s="55" t="s">
        <v>400</v>
      </c>
      <c r="D40" s="11" t="s">
        <v>14</v>
      </c>
      <c r="E40" s="11" t="s">
        <v>34</v>
      </c>
      <c r="F40" s="11" t="s">
        <v>14</v>
      </c>
      <c r="G40" s="204" t="s">
        <v>415</v>
      </c>
      <c r="H40" s="52" t="s">
        <v>401</v>
      </c>
      <c r="I40" s="55" t="s">
        <v>402</v>
      </c>
      <c r="J40" s="11" t="s">
        <v>14</v>
      </c>
      <c r="K40" s="11"/>
      <c r="L40" s="11" t="s">
        <v>800</v>
      </c>
      <c r="M40" s="11" t="s">
        <v>30</v>
      </c>
      <c r="N40" s="45" t="s">
        <v>296</v>
      </c>
      <c r="O40" s="11" t="s">
        <v>44</v>
      </c>
      <c r="P40" s="11" t="s">
        <v>802</v>
      </c>
    </row>
    <row r="41" spans="1:16">
      <c r="A41" s="11">
        <f t="shared" si="0"/>
        <v>36</v>
      </c>
      <c r="B41" s="58" t="s">
        <v>56</v>
      </c>
      <c r="C41" s="24" t="s">
        <v>301</v>
      </c>
      <c r="D41" s="11" t="s">
        <v>14</v>
      </c>
      <c r="E41" s="11" t="s">
        <v>34</v>
      </c>
      <c r="F41" s="11" t="s">
        <v>14</v>
      </c>
      <c r="G41" s="13" t="s">
        <v>298</v>
      </c>
      <c r="H41" s="52" t="s">
        <v>418</v>
      </c>
      <c r="I41" s="24" t="s">
        <v>301</v>
      </c>
      <c r="J41" s="11" t="s">
        <v>14</v>
      </c>
      <c r="K41" s="11">
        <v>64</v>
      </c>
      <c r="L41" s="11" t="s">
        <v>800</v>
      </c>
      <c r="M41" s="11" t="s">
        <v>30</v>
      </c>
      <c r="N41" s="45" t="s">
        <v>297</v>
      </c>
      <c r="O41" s="11" t="s">
        <v>44</v>
      </c>
      <c r="P41" s="11" t="s">
        <v>802</v>
      </c>
    </row>
    <row r="42" spans="1:16">
      <c r="A42" s="11">
        <f t="shared" si="0"/>
        <v>37</v>
      </c>
      <c r="B42" s="58"/>
      <c r="C42" s="55" t="s">
        <v>404</v>
      </c>
      <c r="D42" s="11" t="s">
        <v>14</v>
      </c>
      <c r="E42" s="1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11" t="s">
        <v>34</v>
      </c>
      <c r="F43" s="11" t="s">
        <v>14</v>
      </c>
      <c r="G43" s="43"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11" t="s">
        <v>34</v>
      </c>
      <c r="F44" s="11" t="s">
        <v>14</v>
      </c>
      <c r="G44" s="43"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11" t="s">
        <v>34</v>
      </c>
      <c r="F45" s="11" t="s">
        <v>14</v>
      </c>
      <c r="G45" s="43"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11" t="s">
        <v>34</v>
      </c>
      <c r="F46" s="11" t="s">
        <v>14</v>
      </c>
      <c r="G46" s="43"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11" t="s">
        <v>34</v>
      </c>
      <c r="F47" s="11" t="s">
        <v>14</v>
      </c>
      <c r="G47" s="43"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11" t="s">
        <v>34</v>
      </c>
      <c r="F48" s="11" t="s">
        <v>14</v>
      </c>
      <c r="G48" s="43" t="s">
        <v>536</v>
      </c>
      <c r="H48" s="52" t="s">
        <v>538</v>
      </c>
      <c r="I48" s="52" t="s">
        <v>632</v>
      </c>
      <c r="J48" s="11" t="s">
        <v>14</v>
      </c>
      <c r="K48" s="11"/>
      <c r="L48" s="11" t="s">
        <v>800</v>
      </c>
      <c r="M48" s="11" t="s">
        <v>30</v>
      </c>
      <c r="N48" s="45" t="s">
        <v>524</v>
      </c>
      <c r="O48" s="11" t="s">
        <v>44</v>
      </c>
      <c r="P48" s="11" t="s">
        <v>802</v>
      </c>
    </row>
    <row r="49" spans="1:47">
      <c r="A49" s="11">
        <f t="shared" si="0"/>
        <v>44</v>
      </c>
      <c r="B49" s="58" t="s">
        <v>710</v>
      </c>
      <c r="C49" s="55" t="s">
        <v>550</v>
      </c>
      <c r="D49" s="11" t="s">
        <v>14</v>
      </c>
      <c r="E49" s="91" t="s">
        <v>34</v>
      </c>
      <c r="F49" s="11" t="s">
        <v>14</v>
      </c>
      <c r="G49" s="66" t="s">
        <v>549</v>
      </c>
      <c r="H49" s="52" t="s">
        <v>51</v>
      </c>
      <c r="I49" s="52" t="s">
        <v>639</v>
      </c>
      <c r="J49" s="11" t="s">
        <v>14</v>
      </c>
      <c r="K49" s="11">
        <v>1</v>
      </c>
      <c r="L49" s="11" t="s">
        <v>800</v>
      </c>
      <c r="M49" s="11" t="s">
        <v>30</v>
      </c>
      <c r="N49" s="45" t="s">
        <v>638</v>
      </c>
      <c r="O49" s="11" t="s">
        <v>44</v>
      </c>
      <c r="P49" s="11" t="s">
        <v>802</v>
      </c>
    </row>
    <row r="50" spans="1:47">
      <c r="A50" s="11">
        <f t="shared" si="0"/>
        <v>45</v>
      </c>
      <c r="B50" s="58"/>
      <c r="C50" s="55" t="s">
        <v>706</v>
      </c>
      <c r="D50" s="11" t="s">
        <v>14</v>
      </c>
      <c r="E50" s="91" t="s">
        <v>34</v>
      </c>
      <c r="F50" s="11" t="s">
        <v>14</v>
      </c>
      <c r="G50" s="66" t="s">
        <v>549</v>
      </c>
      <c r="H50" s="52" t="s">
        <v>705</v>
      </c>
      <c r="I50" s="52" t="s">
        <v>704</v>
      </c>
      <c r="J50" s="11" t="s">
        <v>14</v>
      </c>
      <c r="K50" s="11"/>
      <c r="L50" s="11" t="s">
        <v>800</v>
      </c>
      <c r="M50" s="11" t="s">
        <v>30</v>
      </c>
      <c r="N50" s="45" t="s">
        <v>638</v>
      </c>
      <c r="O50" s="11" t="s">
        <v>44</v>
      </c>
      <c r="P50" s="11" t="s">
        <v>802</v>
      </c>
    </row>
    <row r="51" spans="1:47">
      <c r="A51" s="11">
        <f t="shared" si="0"/>
        <v>46</v>
      </c>
      <c r="B51" s="58" t="s">
        <v>746</v>
      </c>
      <c r="C51" s="55" t="s">
        <v>747</v>
      </c>
      <c r="D51" s="11" t="s">
        <v>14</v>
      </c>
      <c r="E51" s="91" t="s">
        <v>34</v>
      </c>
      <c r="F51" s="11" t="s">
        <v>14</v>
      </c>
      <c r="G51" s="66" t="s">
        <v>744</v>
      </c>
      <c r="H51" s="55" t="s">
        <v>743</v>
      </c>
      <c r="I51" s="55" t="s">
        <v>747</v>
      </c>
      <c r="J51" s="11" t="s">
        <v>14</v>
      </c>
      <c r="K51" s="11">
        <v>1</v>
      </c>
      <c r="L51" s="11" t="s">
        <v>800</v>
      </c>
      <c r="M51" s="11" t="s">
        <v>30</v>
      </c>
      <c r="N51" s="45"/>
      <c r="O51" s="11" t="s">
        <v>44</v>
      </c>
      <c r="P51" s="11" t="s">
        <v>802</v>
      </c>
    </row>
    <row r="52" spans="1:47" s="212" customFormat="1">
      <c r="A52" s="200">
        <f t="shared" si="0"/>
        <v>47</v>
      </c>
      <c r="B52" s="201" t="s">
        <v>757</v>
      </c>
      <c r="C52" s="208" t="s">
        <v>751</v>
      </c>
      <c r="D52" s="200" t="s">
        <v>14</v>
      </c>
      <c r="E52" s="203" t="s">
        <v>34</v>
      </c>
      <c r="F52" s="200" t="s">
        <v>14</v>
      </c>
      <c r="G52" s="209" t="s">
        <v>748</v>
      </c>
      <c r="H52" s="210" t="s">
        <v>749</v>
      </c>
      <c r="I52" s="208" t="s">
        <v>750</v>
      </c>
      <c r="J52" s="200" t="s">
        <v>14</v>
      </c>
      <c r="K52" s="200">
        <v>4</v>
      </c>
      <c r="L52" s="200" t="s">
        <v>800</v>
      </c>
      <c r="M52" s="200" t="s">
        <v>30</v>
      </c>
      <c r="N52" s="211"/>
      <c r="O52" s="200" t="s">
        <v>44</v>
      </c>
      <c r="P52" s="200" t="s">
        <v>802</v>
      </c>
    </row>
    <row r="53" spans="1:47" s="212" customFormat="1">
      <c r="A53" s="200">
        <f t="shared" si="0"/>
        <v>48</v>
      </c>
      <c r="B53" s="201" t="s">
        <v>555</v>
      </c>
      <c r="C53" s="200" t="s">
        <v>789</v>
      </c>
      <c r="D53" s="200" t="s">
        <v>14</v>
      </c>
      <c r="E53" s="203" t="s">
        <v>34</v>
      </c>
      <c r="F53" s="200" t="s">
        <v>14</v>
      </c>
      <c r="G53" s="209" t="s">
        <v>786</v>
      </c>
      <c r="H53" s="210" t="s">
        <v>787</v>
      </c>
      <c r="I53" s="208" t="s">
        <v>785</v>
      </c>
      <c r="J53" s="200" t="s">
        <v>14</v>
      </c>
      <c r="K53" s="200">
        <v>1</v>
      </c>
      <c r="L53" s="200" t="s">
        <v>800</v>
      </c>
      <c r="M53" s="200" t="s">
        <v>30</v>
      </c>
      <c r="N53" s="211"/>
      <c r="O53" s="200" t="s">
        <v>44</v>
      </c>
      <c r="P53" s="200" t="s">
        <v>802</v>
      </c>
    </row>
    <row r="54" spans="1:47" s="206" customFormat="1">
      <c r="A54" s="200">
        <f t="shared" si="0"/>
        <v>49</v>
      </c>
      <c r="B54" s="201" t="s">
        <v>556</v>
      </c>
      <c r="C54" s="200" t="s">
        <v>211</v>
      </c>
      <c r="D54" s="200" t="s">
        <v>30</v>
      </c>
      <c r="E54" s="200" t="s">
        <v>527</v>
      </c>
      <c r="F54" s="200" t="s">
        <v>14</v>
      </c>
      <c r="G54" s="204" t="s">
        <v>209</v>
      </c>
      <c r="H54" s="200" t="s">
        <v>210</v>
      </c>
      <c r="I54" s="202" t="s">
        <v>213</v>
      </c>
      <c r="J54" s="200" t="s">
        <v>30</v>
      </c>
      <c r="K54" s="200">
        <v>8</v>
      </c>
      <c r="L54" s="200" t="s">
        <v>800</v>
      </c>
      <c r="M54" s="200" t="s">
        <v>30</v>
      </c>
      <c r="N54" s="205"/>
      <c r="O54" s="200" t="s">
        <v>50</v>
      </c>
      <c r="P54" s="200" t="s">
        <v>803</v>
      </c>
    </row>
    <row r="55" spans="1:47" s="206" customFormat="1">
      <c r="A55" s="200">
        <f t="shared" si="0"/>
        <v>50</v>
      </c>
      <c r="B55" s="201"/>
      <c r="C55" s="200" t="s">
        <v>212</v>
      </c>
      <c r="D55" s="200" t="s">
        <v>30</v>
      </c>
      <c r="E55" s="200" t="s">
        <v>527</v>
      </c>
      <c r="F55" s="200" t="s">
        <v>14</v>
      </c>
      <c r="G55" s="207" t="s">
        <v>209</v>
      </c>
      <c r="H55" s="200" t="s">
        <v>57</v>
      </c>
      <c r="I55" s="202" t="s">
        <v>214</v>
      </c>
      <c r="J55" s="200" t="s">
        <v>30</v>
      </c>
      <c r="K55" s="200"/>
      <c r="L55" s="200" t="s">
        <v>800</v>
      </c>
      <c r="M55" s="200" t="s">
        <v>30</v>
      </c>
      <c r="N55" s="205"/>
      <c r="O55" s="200" t="s">
        <v>50</v>
      </c>
      <c r="P55" s="200" t="s">
        <v>803</v>
      </c>
    </row>
    <row r="56" spans="1:47" s="39" customFormat="1" ht="14.5">
      <c r="A56" s="128">
        <f t="shared" si="0"/>
        <v>51</v>
      </c>
      <c r="B56" s="135" t="s">
        <v>557</v>
      </c>
      <c r="C56" s="128" t="s">
        <v>456</v>
      </c>
      <c r="D56" s="136" t="s">
        <v>30</v>
      </c>
      <c r="E56" s="123" t="s">
        <v>528</v>
      </c>
      <c r="F56" s="128" t="s">
        <v>14</v>
      </c>
      <c r="G56" s="127" t="s">
        <v>424</v>
      </c>
      <c r="H56" s="125" t="s">
        <v>464</v>
      </c>
      <c r="I56" s="125" t="s">
        <v>456</v>
      </c>
      <c r="J56" s="128" t="s">
        <v>30</v>
      </c>
      <c r="K56" s="128">
        <v>1</v>
      </c>
      <c r="L56" s="128" t="s">
        <v>800</v>
      </c>
      <c r="M56" s="128" t="s">
        <v>30</v>
      </c>
      <c r="N56" s="137"/>
      <c r="O56" s="128" t="s">
        <v>50</v>
      </c>
      <c r="P56" s="128" t="s">
        <v>802</v>
      </c>
    </row>
    <row r="57" spans="1:47" s="39" customFormat="1" ht="14.5">
      <c r="A57" s="128">
        <f t="shared" si="0"/>
        <v>52</v>
      </c>
      <c r="B57" s="135"/>
      <c r="C57" s="128" t="s">
        <v>462</v>
      </c>
      <c r="D57" s="136" t="s">
        <v>30</v>
      </c>
      <c r="E57" s="123" t="s">
        <v>528</v>
      </c>
      <c r="F57" s="128" t="s">
        <v>14</v>
      </c>
      <c r="G57" s="127" t="s">
        <v>425</v>
      </c>
      <c r="H57" s="125" t="s">
        <v>464</v>
      </c>
      <c r="I57" s="125" t="s">
        <v>462</v>
      </c>
      <c r="J57" s="128" t="s">
        <v>30</v>
      </c>
      <c r="K57" s="128"/>
      <c r="L57" s="128" t="s">
        <v>800</v>
      </c>
      <c r="M57" s="128" t="s">
        <v>30</v>
      </c>
      <c r="N57" s="137"/>
      <c r="O57" s="128" t="s">
        <v>50</v>
      </c>
      <c r="P57" s="128" t="s">
        <v>802</v>
      </c>
    </row>
    <row r="58" spans="1:47" s="39" customFormat="1" ht="14.5">
      <c r="A58" s="128">
        <f t="shared" si="0"/>
        <v>53</v>
      </c>
      <c r="B58" s="135"/>
      <c r="C58" s="128" t="s">
        <v>463</v>
      </c>
      <c r="D58" s="136" t="s">
        <v>30</v>
      </c>
      <c r="E58" s="123" t="s">
        <v>528</v>
      </c>
      <c r="F58" s="128" t="s">
        <v>14</v>
      </c>
      <c r="G58" s="127" t="s">
        <v>465</v>
      </c>
      <c r="H58" s="125" t="s">
        <v>464</v>
      </c>
      <c r="I58" s="125" t="s">
        <v>463</v>
      </c>
      <c r="J58" s="128" t="s">
        <v>30</v>
      </c>
      <c r="K58" s="128"/>
      <c r="L58" s="128" t="s">
        <v>800</v>
      </c>
      <c r="M58" s="128" t="s">
        <v>30</v>
      </c>
      <c r="N58" s="137"/>
      <c r="O58" s="128" t="s">
        <v>50</v>
      </c>
      <c r="P58" s="128" t="s">
        <v>802</v>
      </c>
    </row>
    <row r="59" spans="1:47" s="45" customFormat="1">
      <c r="A59" s="128">
        <f t="shared" si="0"/>
        <v>54</v>
      </c>
      <c r="B59" s="156"/>
      <c r="C59" s="157" t="s">
        <v>775</v>
      </c>
      <c r="D59" s="158" t="s">
        <v>30</v>
      </c>
      <c r="E59" s="159" t="s">
        <v>528</v>
      </c>
      <c r="F59" s="157" t="s">
        <v>14</v>
      </c>
      <c r="G59" s="160" t="s">
        <v>726</v>
      </c>
      <c r="H59" s="161" t="s">
        <v>464</v>
      </c>
      <c r="I59" s="161" t="str">
        <f>C59</f>
        <v>TEMP-S000229174</v>
      </c>
      <c r="J59" s="157" t="s">
        <v>30</v>
      </c>
      <c r="K59" s="157"/>
      <c r="L59" s="128" t="s">
        <v>800</v>
      </c>
      <c r="M59" s="128" t="s">
        <v>30</v>
      </c>
      <c r="N59" s="162"/>
      <c r="O59" s="157" t="s">
        <v>50</v>
      </c>
      <c r="P59" s="128" t="s">
        <v>802</v>
      </c>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row>
    <row r="60" spans="1:47" s="25" customFormat="1" ht="14.5">
      <c r="A60" s="123">
        <f>ROW(A60)-5</f>
        <v>55</v>
      </c>
      <c r="B60" s="135" t="s">
        <v>752</v>
      </c>
      <c r="C60" s="123" t="s">
        <v>383</v>
      </c>
      <c r="D60" s="123" t="s">
        <v>30</v>
      </c>
      <c r="E60" s="126" t="s">
        <v>34</v>
      </c>
      <c r="F60" s="123" t="s">
        <v>30</v>
      </c>
      <c r="G60" s="144" t="s">
        <v>312</v>
      </c>
      <c r="H60" s="123" t="s">
        <v>51</v>
      </c>
      <c r="I60" s="123" t="s">
        <v>383</v>
      </c>
      <c r="J60" s="145" t="s">
        <v>127</v>
      </c>
      <c r="K60" s="145">
        <v>1</v>
      </c>
      <c r="L60" s="128" t="s">
        <v>800</v>
      </c>
      <c r="M60" s="128" t="s">
        <v>30</v>
      </c>
      <c r="N60" s="147"/>
      <c r="O60" s="146" t="s">
        <v>50</v>
      </c>
      <c r="P60" s="128" t="s">
        <v>802</v>
      </c>
    </row>
    <row r="61" spans="1:47" s="17" customFormat="1">
      <c r="A61" s="11">
        <f t="shared" si="0"/>
        <v>56</v>
      </c>
      <c r="B61" s="47" t="s">
        <v>753</v>
      </c>
      <c r="C61" s="11" t="s">
        <v>249</v>
      </c>
      <c r="D61" s="11" t="s">
        <v>30</v>
      </c>
      <c r="E61" s="92" t="s">
        <v>479</v>
      </c>
      <c r="F61" s="11" t="s">
        <v>14</v>
      </c>
      <c r="G61" s="13" t="s">
        <v>267</v>
      </c>
      <c r="H61" s="11" t="s">
        <v>39</v>
      </c>
      <c r="I61" s="24" t="s">
        <v>233</v>
      </c>
      <c r="J61" s="11" t="s">
        <v>700</v>
      </c>
      <c r="K61" s="11">
        <v>1</v>
      </c>
      <c r="L61" s="11" t="s">
        <v>800</v>
      </c>
      <c r="M61" s="11" t="s">
        <v>30</v>
      </c>
      <c r="N61" s="70" t="s">
        <v>268</v>
      </c>
      <c r="O61" s="11" t="s">
        <v>45</v>
      </c>
      <c r="P61" s="11" t="s">
        <v>802</v>
      </c>
    </row>
    <row r="62" spans="1:47" s="17" customFormat="1">
      <c r="A62" s="11">
        <f t="shared" si="0"/>
        <v>57</v>
      </c>
      <c r="B62" s="47" t="s">
        <v>758</v>
      </c>
      <c r="C62" s="55" t="s">
        <v>796</v>
      </c>
      <c r="D62" s="11" t="s">
        <v>30</v>
      </c>
      <c r="E62" s="92" t="s">
        <v>480</v>
      </c>
      <c r="F62" s="11" t="s">
        <v>14</v>
      </c>
      <c r="G62" s="13" t="s">
        <v>797</v>
      </c>
      <c r="H62" s="11" t="s">
        <v>39</v>
      </c>
      <c r="I62" s="24" t="s">
        <v>234</v>
      </c>
      <c r="J62" s="52" t="s">
        <v>773</v>
      </c>
      <c r="K62" s="11">
        <v>1</v>
      </c>
      <c r="L62" s="11" t="s">
        <v>800</v>
      </c>
      <c r="M62" s="11" t="s">
        <v>30</v>
      </c>
      <c r="N62" s="48" t="s">
        <v>192</v>
      </c>
      <c r="O62" s="11" t="s">
        <v>45</v>
      </c>
      <c r="P62" s="11" t="s">
        <v>802</v>
      </c>
    </row>
    <row r="63" spans="1:47" s="17" customFormat="1">
      <c r="A63" s="11">
        <f t="shared" si="0"/>
        <v>58</v>
      </c>
      <c r="B63" s="47" t="s">
        <v>155</v>
      </c>
      <c r="C63" s="52" t="s">
        <v>782</v>
      </c>
      <c r="D63" s="11" t="s">
        <v>30</v>
      </c>
      <c r="E63" s="92" t="s">
        <v>30</v>
      </c>
      <c r="F63" s="11" t="s">
        <v>14</v>
      </c>
      <c r="G63" s="13" t="s">
        <v>328</v>
      </c>
      <c r="H63" s="11" t="s">
        <v>39</v>
      </c>
      <c r="I63" s="55" t="s">
        <v>783</v>
      </c>
      <c r="J63" s="11" t="s">
        <v>703</v>
      </c>
      <c r="K63" s="11">
        <v>1</v>
      </c>
      <c r="L63" s="11" t="s">
        <v>800</v>
      </c>
      <c r="M63" s="11" t="s">
        <v>30</v>
      </c>
      <c r="N63" s="48" t="s">
        <v>320</v>
      </c>
      <c r="O63" s="11" t="s">
        <v>45</v>
      </c>
      <c r="P63" s="11" t="s">
        <v>802</v>
      </c>
    </row>
    <row r="64" spans="1:47" s="17" customFormat="1">
      <c r="A64" s="11">
        <f t="shared" si="0"/>
        <v>59</v>
      </c>
      <c r="B64" s="47" t="s">
        <v>121</v>
      </c>
      <c r="C64" s="55" t="s">
        <v>770</v>
      </c>
      <c r="D64" s="11" t="s">
        <v>30</v>
      </c>
      <c r="E64" s="92" t="s">
        <v>482</v>
      </c>
      <c r="F64" s="11" t="s">
        <v>14</v>
      </c>
      <c r="G64" s="13" t="s">
        <v>771</v>
      </c>
      <c r="H64" s="11" t="s">
        <v>39</v>
      </c>
      <c r="I64" s="24" t="s">
        <v>236</v>
      </c>
      <c r="J64" s="52" t="s">
        <v>702</v>
      </c>
      <c r="K64" s="11">
        <v>1</v>
      </c>
      <c r="L64" s="11" t="s">
        <v>800</v>
      </c>
      <c r="M64" s="11" t="s">
        <v>30</v>
      </c>
      <c r="N64" s="48" t="s">
        <v>194</v>
      </c>
      <c r="O64" s="11" t="s">
        <v>45</v>
      </c>
      <c r="P64" s="11" t="s">
        <v>802</v>
      </c>
    </row>
    <row r="65" spans="1:16" s="17" customFormat="1">
      <c r="A65" s="11">
        <f t="shared" si="0"/>
        <v>60</v>
      </c>
      <c r="B65" s="47" t="s">
        <v>122</v>
      </c>
      <c r="C65" s="11" t="s">
        <v>637</v>
      </c>
      <c r="D65" s="11" t="s">
        <v>30</v>
      </c>
      <c r="E65" s="92" t="s">
        <v>30</v>
      </c>
      <c r="F65" s="11" t="s">
        <v>14</v>
      </c>
      <c r="G65" s="13" t="s">
        <v>327</v>
      </c>
      <c r="H65" s="11" t="s">
        <v>39</v>
      </c>
      <c r="I65" s="24" t="s">
        <v>459</v>
      </c>
      <c r="J65" s="11" t="s">
        <v>703</v>
      </c>
      <c r="K65" s="11">
        <v>1</v>
      </c>
      <c r="L65" s="11" t="s">
        <v>800</v>
      </c>
      <c r="M65" s="11" t="s">
        <v>30</v>
      </c>
      <c r="N65" s="48" t="s">
        <v>321</v>
      </c>
      <c r="O65" s="11" t="s">
        <v>45</v>
      </c>
      <c r="P65" s="11" t="s">
        <v>802</v>
      </c>
    </row>
    <row r="66" spans="1:16" s="17" customFormat="1">
      <c r="A66" s="11">
        <f t="shared" si="0"/>
        <v>61</v>
      </c>
      <c r="B66" s="47" t="s">
        <v>123</v>
      </c>
      <c r="C66" s="11" t="s">
        <v>251</v>
      </c>
      <c r="D66" s="11" t="s">
        <v>30</v>
      </c>
      <c r="E66" s="92" t="s">
        <v>484</v>
      </c>
      <c r="F66" s="11" t="s">
        <v>14</v>
      </c>
      <c r="G66" s="43" t="s">
        <v>166</v>
      </c>
      <c r="H66" s="11" t="s">
        <v>39</v>
      </c>
      <c r="I66" s="24" t="s">
        <v>238</v>
      </c>
      <c r="J66" s="11" t="s">
        <v>701</v>
      </c>
      <c r="K66" s="11">
        <v>1</v>
      </c>
      <c r="L66" s="11" t="s">
        <v>800</v>
      </c>
      <c r="M66" s="11" t="s">
        <v>30</v>
      </c>
      <c r="N66" s="48" t="s">
        <v>196</v>
      </c>
      <c r="O66" s="11" t="s">
        <v>45</v>
      </c>
      <c r="P66" s="11" t="s">
        <v>802</v>
      </c>
    </row>
    <row r="67" spans="1:16" s="17" customFormat="1">
      <c r="A67" s="11">
        <f t="shared" si="0"/>
        <v>62</v>
      </c>
      <c r="B67" s="47" t="s">
        <v>124</v>
      </c>
      <c r="C67" s="11" t="s">
        <v>252</v>
      </c>
      <c r="D67" s="11" t="s">
        <v>30</v>
      </c>
      <c r="E67" s="92" t="s">
        <v>485</v>
      </c>
      <c r="F67" s="11" t="s">
        <v>14</v>
      </c>
      <c r="G67" s="43" t="s">
        <v>167</v>
      </c>
      <c r="H67" s="11" t="s">
        <v>39</v>
      </c>
      <c r="I67" s="24" t="s">
        <v>239</v>
      </c>
      <c r="J67" s="11" t="s">
        <v>701</v>
      </c>
      <c r="K67" s="11">
        <v>1</v>
      </c>
      <c r="L67" s="11" t="s">
        <v>800</v>
      </c>
      <c r="M67" s="11" t="s">
        <v>30</v>
      </c>
      <c r="N67" s="48" t="s">
        <v>197</v>
      </c>
      <c r="O67" s="11" t="s">
        <v>45</v>
      </c>
      <c r="P67" s="11" t="s">
        <v>802</v>
      </c>
    </row>
    <row r="68" spans="1:16" s="17" customFormat="1">
      <c r="A68" s="11">
        <f t="shared" si="0"/>
        <v>63</v>
      </c>
      <c r="B68" s="47" t="s">
        <v>156</v>
      </c>
      <c r="C68" s="11" t="s">
        <v>253</v>
      </c>
      <c r="D68" s="11" t="s">
        <v>30</v>
      </c>
      <c r="E68" s="92" t="s">
        <v>486</v>
      </c>
      <c r="F68" s="11" t="s">
        <v>14</v>
      </c>
      <c r="G68" s="43" t="s">
        <v>168</v>
      </c>
      <c r="H68" s="11" t="s">
        <v>39</v>
      </c>
      <c r="I68" s="24" t="s">
        <v>240</v>
      </c>
      <c r="J68" s="11" t="s">
        <v>701</v>
      </c>
      <c r="K68" s="11">
        <v>1</v>
      </c>
      <c r="L68" s="11" t="s">
        <v>800</v>
      </c>
      <c r="M68" s="11" t="s">
        <v>30</v>
      </c>
      <c r="N68" s="48" t="s">
        <v>198</v>
      </c>
      <c r="O68" s="11" t="s">
        <v>45</v>
      </c>
      <c r="P68" s="11" t="s">
        <v>802</v>
      </c>
    </row>
    <row r="69" spans="1:16" s="17" customFormat="1">
      <c r="A69" s="11">
        <f t="shared" si="0"/>
        <v>64</v>
      </c>
      <c r="B69" s="47" t="s">
        <v>157</v>
      </c>
      <c r="C69" s="11" t="s">
        <v>254</v>
      </c>
      <c r="D69" s="11" t="s">
        <v>30</v>
      </c>
      <c r="E69" s="92" t="s">
        <v>487</v>
      </c>
      <c r="F69" s="11" t="s">
        <v>14</v>
      </c>
      <c r="G69" s="43" t="s">
        <v>164</v>
      </c>
      <c r="H69" s="11" t="s">
        <v>39</v>
      </c>
      <c r="I69" s="24" t="s">
        <v>241</v>
      </c>
      <c r="J69" s="11" t="s">
        <v>701</v>
      </c>
      <c r="K69" s="11">
        <v>1</v>
      </c>
      <c r="L69" s="11" t="s">
        <v>800</v>
      </c>
      <c r="M69" s="11" t="s">
        <v>30</v>
      </c>
      <c r="N69" s="48" t="s">
        <v>199</v>
      </c>
      <c r="O69" s="11" t="s">
        <v>45</v>
      </c>
      <c r="P69" s="11" t="s">
        <v>802</v>
      </c>
    </row>
    <row r="70" spans="1:16" s="17" customFormat="1">
      <c r="A70" s="11">
        <f t="shared" si="0"/>
        <v>65</v>
      </c>
      <c r="B70" s="47" t="s">
        <v>176</v>
      </c>
      <c r="C70" s="11" t="s">
        <v>323</v>
      </c>
      <c r="D70" s="11" t="s">
        <v>30</v>
      </c>
      <c r="E70" s="92" t="s">
        <v>488</v>
      </c>
      <c r="F70" s="11" t="s">
        <v>14</v>
      </c>
      <c r="G70" s="43" t="s">
        <v>169</v>
      </c>
      <c r="H70" s="11" t="s">
        <v>39</v>
      </c>
      <c r="I70" s="24" t="s">
        <v>242</v>
      </c>
      <c r="J70" s="11" t="s">
        <v>701</v>
      </c>
      <c r="K70" s="11">
        <v>1</v>
      </c>
      <c r="L70" s="11" t="s">
        <v>800</v>
      </c>
      <c r="M70" s="11" t="s">
        <v>30</v>
      </c>
      <c r="N70" s="48" t="s">
        <v>200</v>
      </c>
      <c r="O70" s="11" t="s">
        <v>45</v>
      </c>
      <c r="P70" s="11" t="s">
        <v>802</v>
      </c>
    </row>
    <row r="71" spans="1:16" s="17" customFormat="1">
      <c r="A71" s="11">
        <f t="shared" si="0"/>
        <v>66</v>
      </c>
      <c r="B71" s="47" t="s">
        <v>158</v>
      </c>
      <c r="C71" s="11" t="s">
        <v>255</v>
      </c>
      <c r="D71" s="11" t="s">
        <v>30</v>
      </c>
      <c r="E71" s="92" t="s">
        <v>489</v>
      </c>
      <c r="F71" s="11" t="s">
        <v>14</v>
      </c>
      <c r="G71" s="43" t="s">
        <v>165</v>
      </c>
      <c r="H71" s="11" t="s">
        <v>39</v>
      </c>
      <c r="I71" s="24" t="s">
        <v>243</v>
      </c>
      <c r="J71" s="11" t="s">
        <v>701</v>
      </c>
      <c r="K71" s="11">
        <v>1</v>
      </c>
      <c r="L71" s="11" t="s">
        <v>800</v>
      </c>
      <c r="M71" s="11" t="s">
        <v>30</v>
      </c>
      <c r="N71" s="48" t="s">
        <v>201</v>
      </c>
      <c r="O71" s="11" t="s">
        <v>45</v>
      </c>
      <c r="P71" s="11" t="s">
        <v>802</v>
      </c>
    </row>
    <row r="72" spans="1:16" s="17" customFormat="1">
      <c r="A72" s="11">
        <f t="shared" si="0"/>
        <v>67</v>
      </c>
      <c r="B72" s="47" t="s">
        <v>270</v>
      </c>
      <c r="C72" s="11" t="s">
        <v>256</v>
      </c>
      <c r="D72" s="11" t="s">
        <v>30</v>
      </c>
      <c r="E72" s="92" t="s">
        <v>490</v>
      </c>
      <c r="F72" s="11" t="s">
        <v>14</v>
      </c>
      <c r="G72" s="43" t="s">
        <v>170</v>
      </c>
      <c r="H72" s="11" t="s">
        <v>39</v>
      </c>
      <c r="I72" s="24" t="s">
        <v>244</v>
      </c>
      <c r="J72" s="11" t="s">
        <v>701</v>
      </c>
      <c r="K72" s="11">
        <v>1</v>
      </c>
      <c r="L72" s="11" t="s">
        <v>800</v>
      </c>
      <c r="M72" s="11" t="s">
        <v>30</v>
      </c>
      <c r="N72" s="48" t="s">
        <v>202</v>
      </c>
      <c r="O72" s="11" t="s">
        <v>45</v>
      </c>
      <c r="P72" s="11" t="s">
        <v>802</v>
      </c>
    </row>
    <row r="73" spans="1:16" s="17" customFormat="1">
      <c r="A73" s="11">
        <f t="shared" si="0"/>
        <v>68</v>
      </c>
      <c r="B73" s="47" t="s">
        <v>271</v>
      </c>
      <c r="C73" s="11" t="s">
        <v>262</v>
      </c>
      <c r="D73" s="11" t="s">
        <v>30</v>
      </c>
      <c r="E73" s="92" t="s">
        <v>491</v>
      </c>
      <c r="F73" s="11" t="s">
        <v>14</v>
      </c>
      <c r="G73" s="43" t="s">
        <v>163</v>
      </c>
      <c r="H73" s="11" t="s">
        <v>39</v>
      </c>
      <c r="I73" s="54" t="s">
        <v>265</v>
      </c>
      <c r="J73" s="11" t="s">
        <v>700</v>
      </c>
      <c r="K73" s="11">
        <v>1</v>
      </c>
      <c r="L73" s="11" t="s">
        <v>800</v>
      </c>
      <c r="M73" s="11" t="s">
        <v>30</v>
      </c>
      <c r="N73" s="48" t="s">
        <v>203</v>
      </c>
      <c r="O73" s="11" t="s">
        <v>45</v>
      </c>
      <c r="P73" s="11" t="s">
        <v>802</v>
      </c>
    </row>
    <row r="74" spans="1:16" s="17" customFormat="1">
      <c r="A74" s="11">
        <f t="shared" si="0"/>
        <v>69</v>
      </c>
      <c r="B74" s="47" t="s">
        <v>272</v>
      </c>
      <c r="C74" s="11" t="s">
        <v>257</v>
      </c>
      <c r="D74" s="11" t="s">
        <v>30</v>
      </c>
      <c r="E74" s="92" t="s">
        <v>492</v>
      </c>
      <c r="F74" s="11" t="s">
        <v>14</v>
      </c>
      <c r="G74" s="43" t="s">
        <v>171</v>
      </c>
      <c r="H74" s="11" t="s">
        <v>39</v>
      </c>
      <c r="I74" s="24" t="s">
        <v>245</v>
      </c>
      <c r="J74" s="11" t="s">
        <v>703</v>
      </c>
      <c r="K74" s="11">
        <v>1</v>
      </c>
      <c r="L74" s="11" t="s">
        <v>800</v>
      </c>
      <c r="M74" s="11" t="s">
        <v>30</v>
      </c>
      <c r="N74" s="48" t="s">
        <v>204</v>
      </c>
      <c r="O74" s="11" t="s">
        <v>45</v>
      </c>
      <c r="P74" s="11" t="s">
        <v>802</v>
      </c>
    </row>
    <row r="75" spans="1:16" s="17" customFormat="1">
      <c r="A75" s="11">
        <f t="shared" si="0"/>
        <v>70</v>
      </c>
      <c r="B75" s="47" t="s">
        <v>558</v>
      </c>
      <c r="C75" s="11" t="s">
        <v>258</v>
      </c>
      <c r="D75" s="11" t="s">
        <v>30</v>
      </c>
      <c r="E75" s="92" t="s">
        <v>493</v>
      </c>
      <c r="F75" s="11" t="s">
        <v>14</v>
      </c>
      <c r="G75" s="43" t="s">
        <v>172</v>
      </c>
      <c r="H75" s="11" t="s">
        <v>39</v>
      </c>
      <c r="I75" s="24" t="s">
        <v>246</v>
      </c>
      <c r="J75" s="11" t="s">
        <v>703</v>
      </c>
      <c r="K75" s="11">
        <v>1</v>
      </c>
      <c r="L75" s="11" t="s">
        <v>800</v>
      </c>
      <c r="M75" s="11" t="s">
        <v>30</v>
      </c>
      <c r="N75" s="48" t="s">
        <v>205</v>
      </c>
      <c r="O75" s="11" t="s">
        <v>45</v>
      </c>
      <c r="P75" s="11" t="s">
        <v>802</v>
      </c>
    </row>
    <row r="76" spans="1:16" s="17" customFormat="1">
      <c r="A76" s="11">
        <f t="shared" si="0"/>
        <v>71</v>
      </c>
      <c r="B76" s="47" t="s">
        <v>559</v>
      </c>
      <c r="C76" s="11" t="s">
        <v>259</v>
      </c>
      <c r="D76" s="11" t="s">
        <v>30</v>
      </c>
      <c r="E76" s="92" t="s">
        <v>494</v>
      </c>
      <c r="F76" s="11" t="s">
        <v>14</v>
      </c>
      <c r="G76" s="43" t="s">
        <v>190</v>
      </c>
      <c r="H76" s="11" t="s">
        <v>39</v>
      </c>
      <c r="I76" s="24" t="s">
        <v>247</v>
      </c>
      <c r="J76" s="11" t="s">
        <v>703</v>
      </c>
      <c r="K76" s="11">
        <v>1</v>
      </c>
      <c r="L76" s="11" t="s">
        <v>800</v>
      </c>
      <c r="M76" s="11" t="s">
        <v>30</v>
      </c>
      <c r="N76" s="48" t="s">
        <v>206</v>
      </c>
      <c r="O76" s="11" t="s">
        <v>45</v>
      </c>
      <c r="P76" s="11" t="s">
        <v>802</v>
      </c>
    </row>
    <row r="77" spans="1:16" s="17" customFormat="1">
      <c r="A77" s="11">
        <f t="shared" si="0"/>
        <v>72</v>
      </c>
      <c r="B77" s="47" t="s">
        <v>754</v>
      </c>
      <c r="C77" s="11" t="s">
        <v>260</v>
      </c>
      <c r="D77" s="11" t="s">
        <v>30</v>
      </c>
      <c r="E77" s="92" t="s">
        <v>495</v>
      </c>
      <c r="F77" s="11" t="s">
        <v>14</v>
      </c>
      <c r="G77" s="43" t="s">
        <v>191</v>
      </c>
      <c r="H77" s="11" t="s">
        <v>39</v>
      </c>
      <c r="I77" s="24" t="s">
        <v>248</v>
      </c>
      <c r="J77" s="11" t="s">
        <v>703</v>
      </c>
      <c r="K77" s="11">
        <v>1</v>
      </c>
      <c r="L77" s="11" t="s">
        <v>800</v>
      </c>
      <c r="M77" s="11" t="s">
        <v>30</v>
      </c>
      <c r="N77" s="48" t="s">
        <v>207</v>
      </c>
      <c r="O77" s="11" t="s">
        <v>45</v>
      </c>
      <c r="P77" s="11" t="s">
        <v>802</v>
      </c>
    </row>
    <row r="78" spans="1:16" s="17" customFormat="1">
      <c r="A78" s="11">
        <f t="shared" si="0"/>
        <v>73</v>
      </c>
      <c r="B78" s="47" t="s">
        <v>755</v>
      </c>
      <c r="C78" s="11" t="s">
        <v>263</v>
      </c>
      <c r="D78" s="11" t="s">
        <v>30</v>
      </c>
      <c r="E78" s="92" t="s">
        <v>496</v>
      </c>
      <c r="F78" s="11" t="s">
        <v>14</v>
      </c>
      <c r="G78" s="43" t="s">
        <v>208</v>
      </c>
      <c r="H78" s="11" t="s">
        <v>39</v>
      </c>
      <c r="I78" s="24" t="s">
        <v>264</v>
      </c>
      <c r="J78" s="11" t="s">
        <v>703</v>
      </c>
      <c r="K78" s="11">
        <v>1</v>
      </c>
      <c r="L78" s="11" t="s">
        <v>800</v>
      </c>
      <c r="M78" s="11" t="s">
        <v>30</v>
      </c>
      <c r="N78" s="48" t="s">
        <v>215</v>
      </c>
      <c r="O78" s="11" t="s">
        <v>45</v>
      </c>
      <c r="P78" s="11" t="s">
        <v>802</v>
      </c>
    </row>
    <row r="79" spans="1:16" s="17" customFormat="1">
      <c r="A79" s="11">
        <f t="shared" si="0"/>
        <v>74</v>
      </c>
      <c r="B79" s="47" t="s">
        <v>791</v>
      </c>
      <c r="C79" s="52" t="s">
        <v>778</v>
      </c>
      <c r="D79" s="11" t="s">
        <v>30</v>
      </c>
      <c r="E79" s="91" t="s">
        <v>497</v>
      </c>
      <c r="F79" s="11" t="s">
        <v>14</v>
      </c>
      <c r="G79" s="13" t="s">
        <v>533</v>
      </c>
      <c r="H79" s="52" t="s">
        <v>585</v>
      </c>
      <c r="I79" s="55" t="s">
        <v>780</v>
      </c>
      <c r="J79" s="11" t="s">
        <v>30</v>
      </c>
      <c r="K79" s="11">
        <v>1</v>
      </c>
      <c r="L79" s="11" t="s">
        <v>800</v>
      </c>
      <c r="M79" s="11" t="s">
        <v>30</v>
      </c>
      <c r="N79" s="71" t="s">
        <v>461</v>
      </c>
      <c r="O79" s="11" t="s">
        <v>269</v>
      </c>
      <c r="P79" s="11" t="s">
        <v>802</v>
      </c>
    </row>
    <row r="80" spans="1:16" s="17" customFormat="1">
      <c r="A80" s="11">
        <f t="shared" si="0"/>
        <v>75</v>
      </c>
      <c r="B80" s="47"/>
      <c r="C80" s="52" t="s">
        <v>779</v>
      </c>
      <c r="D80" s="11" t="s">
        <v>30</v>
      </c>
      <c r="E80" s="91" t="s">
        <v>497</v>
      </c>
      <c r="F80" s="11" t="s">
        <v>14</v>
      </c>
      <c r="G80" s="13" t="s">
        <v>533</v>
      </c>
      <c r="H80" s="52" t="s">
        <v>586</v>
      </c>
      <c r="I80" s="55" t="s">
        <v>781</v>
      </c>
      <c r="J80" s="11" t="s">
        <v>30</v>
      </c>
      <c r="K80" s="11"/>
      <c r="L80" s="11" t="s">
        <v>800</v>
      </c>
      <c r="M80" s="11" t="s">
        <v>30</v>
      </c>
      <c r="N80" s="48"/>
      <c r="O80" s="11" t="s">
        <v>269</v>
      </c>
      <c r="P80" s="11" t="s">
        <v>802</v>
      </c>
    </row>
    <row r="81" spans="1:16" s="25" customFormat="1">
      <c r="A81" s="11">
        <v>63</v>
      </c>
      <c r="B81" s="47" t="s">
        <v>561</v>
      </c>
      <c r="C81" s="96" t="s">
        <v>564</v>
      </c>
      <c r="D81" s="11" t="s">
        <v>30</v>
      </c>
      <c r="E81" s="91" t="s">
        <v>34</v>
      </c>
      <c r="F81" s="11" t="s">
        <v>30</v>
      </c>
      <c r="G81" s="53" t="s">
        <v>565</v>
      </c>
      <c r="H81" s="11" t="s">
        <v>566</v>
      </c>
      <c r="I81" s="11" t="s">
        <v>762</v>
      </c>
      <c r="J81" s="50" t="s">
        <v>127</v>
      </c>
      <c r="K81" s="50">
        <v>1</v>
      </c>
      <c r="L81" s="11" t="s">
        <v>800</v>
      </c>
      <c r="M81" s="11" t="s">
        <v>30</v>
      </c>
      <c r="N81" s="48" t="s">
        <v>567</v>
      </c>
      <c r="O81" s="52" t="s">
        <v>562</v>
      </c>
      <c r="P81" s="11" t="s">
        <v>802</v>
      </c>
    </row>
    <row r="82" spans="1:16">
      <c r="A82" s="45">
        <f t="shared" ref="A82:A84" si="2">ROW(A82)-5</f>
        <v>77</v>
      </c>
      <c r="B82" s="47" t="s">
        <v>756</v>
      </c>
      <c r="C82" s="96" t="s">
        <v>569</v>
      </c>
      <c r="D82" s="99" t="s">
        <v>14</v>
      </c>
      <c r="E82" s="45" t="s">
        <v>34</v>
      </c>
      <c r="F82" s="45" t="s">
        <v>14</v>
      </c>
      <c r="G82" s="53" t="s">
        <v>570</v>
      </c>
      <c r="H82" s="11" t="s">
        <v>20</v>
      </c>
      <c r="I82" s="11" t="s">
        <v>763</v>
      </c>
      <c r="J82" s="99" t="s">
        <v>14</v>
      </c>
      <c r="K82" s="50">
        <v>3</v>
      </c>
      <c r="L82" s="11" t="s">
        <v>800</v>
      </c>
      <c r="M82" s="11" t="s">
        <v>30</v>
      </c>
      <c r="N82" s="48" t="s">
        <v>573</v>
      </c>
      <c r="O82" s="101" t="s">
        <v>129</v>
      </c>
      <c r="P82" s="11" t="s">
        <v>802</v>
      </c>
    </row>
    <row r="83" spans="1:16">
      <c r="A83" s="45">
        <f t="shared" si="2"/>
        <v>78</v>
      </c>
      <c r="B83" s="47" t="s">
        <v>759</v>
      </c>
      <c r="C83" s="96" t="s">
        <v>760</v>
      </c>
      <c r="D83" s="99" t="s">
        <v>14</v>
      </c>
      <c r="E83" s="45" t="s">
        <v>34</v>
      </c>
      <c r="F83" s="45" t="s">
        <v>14</v>
      </c>
      <c r="G83" s="53" t="s">
        <v>572</v>
      </c>
      <c r="H83" s="11" t="s">
        <v>20</v>
      </c>
      <c r="I83" s="11" t="s">
        <v>764</v>
      </c>
      <c r="J83" s="99" t="s">
        <v>14</v>
      </c>
      <c r="K83" s="50">
        <v>4</v>
      </c>
      <c r="L83" s="11" t="s">
        <v>800</v>
      </c>
      <c r="M83" s="11" t="s">
        <v>30</v>
      </c>
      <c r="N83" s="48" t="s">
        <v>804</v>
      </c>
      <c r="O83" s="101" t="s">
        <v>129</v>
      </c>
      <c r="P83" s="11" t="s">
        <v>802</v>
      </c>
    </row>
    <row r="84" spans="1:16">
      <c r="A84" s="11">
        <f t="shared" si="2"/>
        <v>79</v>
      </c>
      <c r="B84" s="47" t="s">
        <v>792</v>
      </c>
      <c r="C84" s="96" t="s">
        <v>761</v>
      </c>
      <c r="D84" s="11" t="s">
        <v>30</v>
      </c>
      <c r="E84" s="50" t="s">
        <v>34</v>
      </c>
      <c r="F84" s="11" t="s">
        <v>30</v>
      </c>
      <c r="G84" s="53" t="s">
        <v>230</v>
      </c>
      <c r="H84" s="11" t="s">
        <v>154</v>
      </c>
      <c r="I84" s="11" t="s">
        <v>765</v>
      </c>
      <c r="J84" s="50" t="s">
        <v>127</v>
      </c>
      <c r="K84" s="50">
        <v>1</v>
      </c>
      <c r="L84" s="11" t="s">
        <v>800</v>
      </c>
      <c r="M84" s="11" t="s">
        <v>30</v>
      </c>
      <c r="N84" s="48"/>
      <c r="O84" s="52" t="s">
        <v>129</v>
      </c>
      <c r="P84" s="11" t="s">
        <v>803</v>
      </c>
    </row>
    <row r="85" spans="1:16">
      <c r="B85" s="3"/>
      <c r="C85" s="2"/>
      <c r="H85" s="5"/>
      <c r="I85" s="2"/>
    </row>
    <row r="86" spans="1:16">
      <c r="A86" s="17"/>
      <c r="B86" s="1" t="s">
        <v>15</v>
      </c>
      <c r="C86" s="10" t="s">
        <v>16</v>
      </c>
      <c r="D86" s="18"/>
      <c r="E86" s="17"/>
      <c r="F86" s="17"/>
      <c r="G86" s="4"/>
      <c r="H86" s="17"/>
      <c r="I86" s="17"/>
      <c r="J86" s="17"/>
      <c r="O86" s="17"/>
      <c r="P86" s="17"/>
    </row>
    <row r="87" spans="1:16">
      <c r="A87" s="17"/>
      <c r="B87" s="17"/>
      <c r="C87" s="15" t="s">
        <v>5</v>
      </c>
      <c r="D87" s="17"/>
      <c r="E87" s="17"/>
      <c r="F87" s="17"/>
      <c r="G87" s="16"/>
      <c r="H87" s="17"/>
      <c r="I87" s="17"/>
      <c r="J87" s="17"/>
      <c r="O87" s="17"/>
      <c r="P87" s="17"/>
    </row>
    <row r="88" spans="1:16">
      <c r="A88" s="17"/>
      <c r="B88" s="17"/>
      <c r="C88" s="19" t="s">
        <v>6</v>
      </c>
      <c r="D88" s="17"/>
      <c r="E88" s="17"/>
      <c r="F88" s="17"/>
      <c r="G88" s="16"/>
      <c r="H88" s="17"/>
      <c r="I88" s="17"/>
      <c r="J88" s="17"/>
      <c r="O88" s="17"/>
      <c r="P88" s="17"/>
    </row>
    <row r="89" spans="1:16">
      <c r="C89" s="20" t="s">
        <v>52</v>
      </c>
      <c r="G89" s="18"/>
    </row>
    <row r="90" spans="1:16" ht="46.5">
      <c r="C90" s="29" t="s">
        <v>53</v>
      </c>
    </row>
    <row r="91" spans="1:16">
      <c r="K91" s="7"/>
      <c r="L91" s="7"/>
      <c r="M91" s="7"/>
    </row>
    <row r="92" spans="1:16">
      <c r="G92" s="22"/>
    </row>
  </sheetData>
  <autoFilter ref="A5:P5" xr:uid="{AA363CDC-6AC9-4166-8DC8-33D7DF918B46}"/>
  <mergeCells count="4">
    <mergeCell ref="A3:B3"/>
    <mergeCell ref="A4:B4"/>
    <mergeCell ref="A1:P1"/>
    <mergeCell ref="A2:P2"/>
  </mergeCells>
  <phoneticPr fontId="18" type="noConversion"/>
  <conditionalFormatting sqref="A1:A2 N3:N5 O3:O50 A7:K10 N7:N27 L7:M84 F11:K19 H20:K21 N31:N32 N34:N35 N37:N42 A40:K40 J43:K53 A54:K55 N60:N78 H84:J84 A85:O1048576">
    <cfRule type="containsText" dxfId="275" priority="290" operator="containsText" text="TBD">
      <formula>NOT(ISERROR(SEARCH("TBD",A1)))</formula>
    </cfRule>
  </conditionalFormatting>
  <conditionalFormatting sqref="A21:B26">
    <cfRule type="containsText" dxfId="274" priority="280" operator="containsText" text="TBD">
      <formula>NOT(ISERROR(SEARCH("TBD",A21)))</formula>
    </cfRule>
  </conditionalFormatting>
  <conditionalFormatting sqref="A28:B28">
    <cfRule type="containsText" dxfId="273" priority="236" operator="containsText" text="TBD">
      <formula>NOT(ISERROR(SEARCH("TBD",A28)))</formula>
    </cfRule>
  </conditionalFormatting>
  <conditionalFormatting sqref="A43:B45">
    <cfRule type="containsText" dxfId="272" priority="131" operator="containsText" text="TBD">
      <formula>NOT(ISERROR(SEARCH("TBD",A43)))</formula>
    </cfRule>
  </conditionalFormatting>
  <conditionalFormatting sqref="A56:B59 D56:D59 F56:K78">
    <cfRule type="containsText" dxfId="271" priority="45" operator="containsText" text="TBD">
      <formula>NOT(ISERROR(SEARCH("TBD",A56)))</formula>
    </cfRule>
  </conditionalFormatting>
  <conditionalFormatting sqref="A50:C53">
    <cfRule type="containsText" dxfId="270" priority="37" operator="containsText" text="TBD">
      <formula>NOT(ISERROR(SEARCH("TBD",A50)))</formula>
    </cfRule>
  </conditionalFormatting>
  <conditionalFormatting sqref="A11:D20">
    <cfRule type="containsText" dxfId="269" priority="288" operator="containsText" text="TBD">
      <formula>NOT(ISERROR(SEARCH("TBD",A11)))</formula>
    </cfRule>
  </conditionalFormatting>
  <conditionalFormatting sqref="A60:D61">
    <cfRule type="containsText" dxfId="268" priority="274" operator="containsText" text="TBD">
      <formula>NOT(ISERROR(SEARCH("TBD",A60)))</formula>
    </cfRule>
  </conditionalFormatting>
  <conditionalFormatting sqref="A41:F42">
    <cfRule type="containsText" dxfId="267" priority="267" operator="containsText" text="TBD">
      <formula>NOT(ISERROR(SEARCH("TBD",A41)))</formula>
    </cfRule>
  </conditionalFormatting>
  <conditionalFormatting sqref="A27:G27">
    <cfRule type="containsText" dxfId="266" priority="265" operator="containsText" text="TBD">
      <formula>NOT(ISERROR(SEARCH("TBD",A27)))</formula>
    </cfRule>
  </conditionalFormatting>
  <conditionalFormatting sqref="A29:G30">
    <cfRule type="containsText" dxfId="265" priority="225" operator="containsText" text="TBD">
      <formula>NOT(ISERROR(SEARCH("TBD",A29)))</formula>
    </cfRule>
  </conditionalFormatting>
  <conditionalFormatting sqref="A82:G84">
    <cfRule type="containsText" dxfId="264" priority="54" operator="containsText" text="TBD">
      <formula>NOT(ISERROR(SEARCH("TBD",A82)))</formula>
    </cfRule>
  </conditionalFormatting>
  <conditionalFormatting sqref="A46:I49">
    <cfRule type="containsText" dxfId="263" priority="117" operator="containsText" text="TBD">
      <formula>NOT(ISERROR(SEARCH("TBD",A46)))</formula>
    </cfRule>
  </conditionalFormatting>
  <conditionalFormatting sqref="A81:K81">
    <cfRule type="containsText" dxfId="262" priority="147" operator="containsText" text="TBD">
      <formula>NOT(ISERROR(SEARCH("TBD",A81)))</formula>
    </cfRule>
  </conditionalFormatting>
  <conditionalFormatting sqref="A3:M4">
    <cfRule type="containsText" dxfId="261" priority="113" operator="containsText" text="TBD">
      <formula>NOT(ISERROR(SEARCH("TBD",A3)))</formula>
    </cfRule>
  </conditionalFormatting>
  <conditionalFormatting sqref="A5:O6">
    <cfRule type="containsText" dxfId="260" priority="109" operator="containsText" text="TBD">
      <formula>NOT(ISERROR(SEARCH("TBD",A5)))</formula>
    </cfRule>
  </conditionalFormatting>
  <conditionalFormatting sqref="B62:B79">
    <cfRule type="containsText" dxfId="259" priority="36" operator="containsText" text="TBD">
      <formula>NOT(ISERROR(SEARCH("TBD",B62)))</formula>
    </cfRule>
  </conditionalFormatting>
  <conditionalFormatting sqref="C27:C31">
    <cfRule type="containsText" dxfId="258" priority="226" operator="containsText" text="TBD">
      <formula>NOT(ISERROR(SEARCH("TBD",C27)))</formula>
    </cfRule>
  </conditionalFormatting>
  <conditionalFormatting sqref="C33:C40">
    <cfRule type="containsText" dxfId="257" priority="166" operator="containsText" text="TBD">
      <formula>NOT(ISERROR(SEARCH("TBD",C33)))</formula>
    </cfRule>
  </conditionalFormatting>
  <conditionalFormatting sqref="C42:C45">
    <cfRule type="containsText" dxfId="256" priority="119" operator="containsText" text="TBD">
      <formula>NOT(ISERROR(SEARCH("TBD",C42)))</formula>
    </cfRule>
  </conditionalFormatting>
  <conditionalFormatting sqref="C55:C60">
    <cfRule type="containsText" dxfId="255" priority="46" operator="containsText" text="TBD">
      <formula>NOT(ISERROR(SEARCH("TBD",C55)))</formula>
    </cfRule>
  </conditionalFormatting>
  <conditionalFormatting sqref="C86:C89">
    <cfRule type="containsText" dxfId="254" priority="295" operator="containsText" text="TBD">
      <formula>NOT(ISERROR(SEARCH("TBD",C86)))</formula>
    </cfRule>
  </conditionalFormatting>
  <conditionalFormatting sqref="C21:D24">
    <cfRule type="containsText" dxfId="253" priority="239" operator="containsText" text="TBD">
      <formula>NOT(ISERROR(SEARCH("TBD",C21)))</formula>
    </cfRule>
  </conditionalFormatting>
  <conditionalFormatting sqref="C61:D78">
    <cfRule type="containsText" dxfId="252" priority="63" operator="containsText" text="TBD">
      <formula>NOT(ISERROR(SEARCH("TBD",C61)))</formula>
    </cfRule>
  </conditionalFormatting>
  <conditionalFormatting sqref="C25:G26">
    <cfRule type="containsText" dxfId="251" priority="285" operator="containsText" text="TBD">
      <formula>NOT(ISERROR(SEARCH("TBD",C25)))</formula>
    </cfRule>
  </conditionalFormatting>
  <conditionalFormatting sqref="C79:K80">
    <cfRule type="containsText" dxfId="250" priority="47" operator="containsText" text="TBD">
      <formula>NOT(ISERROR(SEARCH("TBD",C79)))</formula>
    </cfRule>
  </conditionalFormatting>
  <conditionalFormatting sqref="D31:F31 C32:F32">
    <cfRule type="containsText" dxfId="249" priority="284" operator="containsText" text="TBD">
      <formula>NOT(ISERROR(SEARCH("TBD",C31)))</formula>
    </cfRule>
  </conditionalFormatting>
  <conditionalFormatting sqref="D33:F34">
    <cfRule type="containsText" dxfId="248" priority="178" operator="containsText" text="TBD">
      <formula>NOT(ISERROR(SEARCH("TBD",D33)))</formula>
    </cfRule>
  </conditionalFormatting>
  <conditionalFormatting sqref="D43:F45">
    <cfRule type="containsText" dxfId="247" priority="132" operator="containsText" text="TBD">
      <formula>NOT(ISERROR(SEARCH("TBD",D43)))</formula>
    </cfRule>
  </conditionalFormatting>
  <conditionalFormatting sqref="D52:F52">
    <cfRule type="containsText" dxfId="246" priority="76" operator="containsText" text="TBD">
      <formula>NOT(ISERROR(SEARCH("TBD",D52)))</formula>
    </cfRule>
  </conditionalFormatting>
  <conditionalFormatting sqref="D28:G28">
    <cfRule type="containsText" dxfId="245" priority="229" operator="containsText" text="TBD">
      <formula>NOT(ISERROR(SEARCH("TBD",D28)))</formula>
    </cfRule>
  </conditionalFormatting>
  <conditionalFormatting sqref="D35:G39">
    <cfRule type="containsText" dxfId="244" priority="163" operator="containsText" text="TBD">
      <formula>NOT(ISERROR(SEARCH("TBD",D35)))</formula>
    </cfRule>
  </conditionalFormatting>
  <conditionalFormatting sqref="D51:G51">
    <cfRule type="containsText" dxfId="243" priority="74" operator="containsText" text="TBD">
      <formula>NOT(ISERROR(SEARCH("TBD",D51)))</formula>
    </cfRule>
  </conditionalFormatting>
  <conditionalFormatting sqref="D53:H53">
    <cfRule type="containsText" dxfId="242" priority="42" operator="containsText" text="TBD">
      <formula>NOT(ISERROR(SEARCH("TBD",D53)))</formula>
    </cfRule>
  </conditionalFormatting>
  <conditionalFormatting sqref="E11:E23">
    <cfRule type="containsText" dxfId="241" priority="133" operator="containsText" text="TBD">
      <formula>NOT(ISERROR(SEARCH("TBD",E11)))</formula>
    </cfRule>
  </conditionalFormatting>
  <conditionalFormatting sqref="E33">
    <cfRule type="containsText" dxfId="240" priority="176" operator="containsText" text="TBD">
      <formula>NOT(ISERROR(SEARCH("TBD",E33)))</formula>
    </cfRule>
  </conditionalFormatting>
  <conditionalFormatting sqref="E50:E53">
    <cfRule type="containsText" dxfId="239" priority="40" operator="containsText" text="TBD">
      <formula>NOT(ISERROR(SEARCH("TBD",E50)))</formula>
    </cfRule>
  </conditionalFormatting>
  <conditionalFormatting sqref="E55:E78">
    <cfRule type="containsText" dxfId="238" priority="43" operator="containsText" text="TBD">
      <formula>NOT(ISERROR(SEARCH("TBD",E55)))</formula>
    </cfRule>
  </conditionalFormatting>
  <conditionalFormatting sqref="F20:F21">
    <cfRule type="containsText" dxfId="237" priority="294" operator="containsText" text="TBD">
      <formula>NOT(ISERROR(SEARCH("TBD",F20)))</formula>
    </cfRule>
  </conditionalFormatting>
  <conditionalFormatting sqref="F22:K24">
    <cfRule type="containsText" dxfId="236" priority="238" operator="containsText" text="TBD">
      <formula>NOT(ISERROR(SEARCH("TBD",F22)))</formula>
    </cfRule>
  </conditionalFormatting>
  <conditionalFormatting sqref="G31:G34">
    <cfRule type="containsText" dxfId="235" priority="171" operator="containsText" text="TBD">
      <formula>NOT(ISERROR(SEARCH("TBD",G31)))</formula>
    </cfRule>
  </conditionalFormatting>
  <conditionalFormatting sqref="G41:G45">
    <cfRule type="containsText" dxfId="234" priority="129" operator="containsText" text="TBD">
      <formula>NOT(ISERROR(SEARCH("TBD",G41)))</formula>
    </cfRule>
  </conditionalFormatting>
  <conditionalFormatting sqref="G50:G53">
    <cfRule type="containsText" dxfId="233" priority="39" operator="containsText" text="TBD">
      <formula>NOT(ISERROR(SEARCH("TBD",G50)))</formula>
    </cfRule>
  </conditionalFormatting>
  <conditionalFormatting sqref="H25:H39 A31:B39">
    <cfRule type="containsText" dxfId="232" priority="170" operator="containsText" text="TBD">
      <formula>NOT(ISERROR(SEARCH("TBD",A25)))</formula>
    </cfRule>
  </conditionalFormatting>
  <conditionalFormatting sqref="H50:H52">
    <cfRule type="containsText" dxfId="231" priority="71" operator="containsText" text="TBD">
      <formula>NOT(ISERROR(SEARCH("TBD",H50)))</formula>
    </cfRule>
  </conditionalFormatting>
  <conditionalFormatting sqref="H43:I45">
    <cfRule type="containsText" dxfId="230" priority="122" operator="containsText" text="TBD">
      <formula>NOT(ISERROR(SEARCH("TBD",H43)))</formula>
    </cfRule>
  </conditionalFormatting>
  <conditionalFormatting sqref="H81:I84">
    <cfRule type="containsText" dxfId="229" priority="139" operator="containsText" text="TBD">
      <formula>NOT(ISERROR(SEARCH("TBD",H81)))</formula>
    </cfRule>
  </conditionalFormatting>
  <conditionalFormatting sqref="H41:K42">
    <cfRule type="containsText" dxfId="228" priority="271" operator="containsText" text="TBD">
      <formula>NOT(ISERROR(SEARCH("TBD",H41)))</formula>
    </cfRule>
  </conditionalFormatting>
  <conditionalFormatting sqref="I33">
    <cfRule type="containsText" dxfId="227" priority="172" operator="containsText" text="TBD">
      <formula>NOT(ISERROR(SEARCH("TBD",I33)))</formula>
    </cfRule>
  </conditionalFormatting>
  <conditionalFormatting sqref="I50:I53">
    <cfRule type="containsText" dxfId="226" priority="38" operator="containsText" text="TBD">
      <formula>NOT(ISERROR(SEARCH("TBD",I50)))</formula>
    </cfRule>
  </conditionalFormatting>
  <conditionalFormatting sqref="I25:K32">
    <cfRule type="containsText" dxfId="225" priority="227" operator="containsText" text="TBD">
      <formula>NOT(ISERROR(SEARCH("TBD",I25)))</formula>
    </cfRule>
  </conditionalFormatting>
  <conditionalFormatting sqref="I36:K39">
    <cfRule type="containsText" dxfId="224" priority="164" operator="containsText" text="TBD">
      <formula>NOT(ISERROR(SEARCH("TBD",I36)))</formula>
    </cfRule>
  </conditionalFormatting>
  <conditionalFormatting sqref="J82:J83">
    <cfRule type="containsText" dxfId="223" priority="142" operator="containsText" text="TBD">
      <formula>NOT(ISERROR(SEARCH("TBD",J82)))</formula>
    </cfRule>
  </conditionalFormatting>
  <conditionalFormatting sqref="J33:K35">
    <cfRule type="containsText" dxfId="222" priority="162" operator="containsText" text="TBD">
      <formula>NOT(ISERROR(SEARCH("TBD",J33)))</formula>
    </cfRule>
  </conditionalFormatting>
  <conditionalFormatting sqref="K82:K84">
    <cfRule type="containsText" dxfId="221" priority="53" operator="containsText" text="TBD">
      <formula>NOT(ISERROR(SEARCH("TBD",K82)))</formula>
    </cfRule>
  </conditionalFormatting>
  <conditionalFormatting sqref="N80:N84">
    <cfRule type="containsText" dxfId="220" priority="2" operator="containsText" text="TBD">
      <formula>NOT(ISERROR(SEARCH("TBD",N80)))</formula>
    </cfRule>
  </conditionalFormatting>
  <conditionalFormatting sqref="N28:O30">
    <cfRule type="containsText" dxfId="219" priority="223" operator="containsText" text="TBD">
      <formula>NOT(ISERROR(SEARCH("TBD",N28)))</formula>
    </cfRule>
  </conditionalFormatting>
  <conditionalFormatting sqref="N33:O33">
    <cfRule type="containsText" dxfId="218" priority="173" operator="containsText" text="TBD">
      <formula>NOT(ISERROR(SEARCH("TBD",N33)))</formula>
    </cfRule>
  </conditionalFormatting>
  <conditionalFormatting sqref="N36:O36">
    <cfRule type="containsText" dxfId="217" priority="165" operator="containsText" text="TBD">
      <formula>NOT(ISERROR(SEARCH("TBD",N36)))</formula>
    </cfRule>
  </conditionalFormatting>
  <conditionalFormatting sqref="N43:O59">
    <cfRule type="containsText" dxfId="216" priority="92" operator="containsText" text="TBD">
      <formula>NOT(ISERROR(SEARCH("TBD",N43)))</formula>
    </cfRule>
  </conditionalFormatting>
  <conditionalFormatting sqref="N79:O79">
    <cfRule type="containsText" dxfId="215" priority="253" operator="containsText" text="TBD">
      <formula>NOT(ISERROR(SEARCH("TBD",N79)))</formula>
    </cfRule>
  </conditionalFormatting>
  <conditionalFormatting sqref="O60:O84">
    <cfRule type="containsText" dxfId="214" priority="140" operator="containsText" text="TBD">
      <formula>NOT(ISERROR(SEARCH("TBD",O60)))</formula>
    </cfRule>
  </conditionalFormatting>
  <conditionalFormatting sqref="O83">
    <cfRule type="containsText" dxfId="213" priority="136" operator="containsText" text="Group B">
      <formula>NOT(ISERROR(SEARCH("Group B",O83)))</formula>
    </cfRule>
    <cfRule type="containsText" dxfId="212" priority="135" operator="containsText" text="Group A">
      <formula>NOT(ISERROR(SEARCH("Group A",O83)))</formula>
    </cfRule>
    <cfRule type="containsText" dxfId="211" priority="137" operator="containsText" text="Group A">
      <formula>NOT(ISERROR(SEARCH("Group A",O83)))</formula>
    </cfRule>
    <cfRule type="containsText" dxfId="210" priority="138" operator="containsText" text="Group A">
      <formula>NOT(ISERROR(SEARCH("Group A",O83)))</formula>
    </cfRule>
  </conditionalFormatting>
  <conditionalFormatting sqref="P3:P1048576">
    <cfRule type="containsText" dxfId="209" priority="12" operator="containsText" text="TBD">
      <formula>NOT(ISERROR(SEARCH("TBD",P3)))</formula>
    </cfRule>
  </conditionalFormatting>
  <conditionalFormatting sqref="P7:P14">
    <cfRule type="containsText" dxfId="208" priority="5" operator="containsText" text="TBD">
      <formula>NOT(ISERROR(SEARCH("TBD",P7)))</formula>
    </cfRule>
  </conditionalFormatting>
  <conditionalFormatting sqref="P24">
    <cfRule type="containsText" dxfId="207" priority="4" operator="containsText" text="TBD">
      <formula>NOT(ISERROR(SEARCH("TBD",P24)))</formula>
    </cfRule>
  </conditionalFormatting>
  <conditionalFormatting sqref="P56:P60">
    <cfRule type="containsText" dxfId="206" priority="1" operator="containsText" text="TBD">
      <formula>NOT(ISERROR(SEARCH("TBD",P56)))</formula>
    </cfRule>
  </conditionalFormatting>
  <conditionalFormatting sqref="P81">
    <cfRule type="containsText" dxfId="205" priority="10" operator="containsText" text="Group A">
      <formula>NOT(ISERROR(SEARCH("Group A",P81)))</formula>
    </cfRule>
    <cfRule type="containsText" dxfId="204" priority="11" operator="containsText" text="Group A">
      <formula>NOT(ISERROR(SEARCH("Group A",P81)))</formula>
    </cfRule>
    <cfRule type="containsText" dxfId="203" priority="9" operator="containsText" text="Group B">
      <formula>NOT(ISERROR(SEARCH("Group B",P81)))</formula>
    </cfRule>
    <cfRule type="containsText" dxfId="202" priority="8" operator="containsText" text="Group A">
      <formula>NOT(ISERROR(SEARCH("Group A",P81)))</formula>
    </cfRule>
  </conditionalFormatting>
  <conditionalFormatting sqref="P84">
    <cfRule type="containsText" dxfId="201" priority="3" operator="containsText" text="TBD">
      <formula>NOT(ISERROR(SEARCH("TBD",P84)))</formula>
    </cfRule>
  </conditionalFormatting>
  <conditionalFormatting sqref="Q1:XFD58 D50:F50">
    <cfRule type="containsText" dxfId="200" priority="100" operator="containsText" text="TBD">
      <formula>NOT(ISERROR(SEARCH("TBD",D1)))</formula>
    </cfRule>
  </conditionalFormatting>
  <conditionalFormatting sqref="Q60:XFD1048576 A61:A79 A80:B80">
    <cfRule type="containsText" dxfId="199" priority="279" operator="containsText" text="TBD">
      <formula>NOT(ISERROR(SEARCH("TBD",A60)))</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47EEF-8E2F-4BA4-82E3-247C873F8051}">
  <sheetPr>
    <tabColor theme="8" tint="-0.249977111117893"/>
  </sheetPr>
  <dimension ref="A1:AU92"/>
  <sheetViews>
    <sheetView tabSelected="1" zoomScale="55" zoomScaleNormal="55" workbookViewId="0">
      <pane ySplit="5" topLeftCell="A24" activePane="bottomLeft" state="frozen"/>
      <selection activeCell="I40" sqref="I40"/>
      <selection pane="bottomLeft" activeCell="I40" sqref="I4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5" width="17.6328125" style="6" customWidth="1"/>
    <col min="6" max="6" width="15.7265625" style="6" bestFit="1" customWidth="1"/>
    <col min="7" max="7" width="76.453125" style="6" bestFit="1" customWidth="1"/>
    <col min="8" max="8" width="15.6328125" style="6" bestFit="1" customWidth="1"/>
    <col min="9" max="9" width="25.453125" style="6" bestFit="1" customWidth="1"/>
    <col min="10" max="10" width="15.6328125" style="6" bestFit="1" customWidth="1"/>
    <col min="11" max="11" width="12.26953125" style="6" bestFit="1" customWidth="1"/>
    <col min="12" max="13" width="12.26953125" style="6" customWidth="1"/>
    <col min="14" max="14" width="36.90625" style="6" customWidth="1"/>
    <col min="15" max="16" width="17.26953125" style="6" customWidth="1"/>
    <col min="17" max="16384" width="9" style="6"/>
  </cols>
  <sheetData>
    <row r="1" spans="1:16">
      <c r="A1" s="177" t="s">
        <v>21</v>
      </c>
      <c r="B1" s="178"/>
      <c r="C1" s="178"/>
      <c r="D1" s="178"/>
      <c r="E1" s="178"/>
      <c r="F1" s="178"/>
      <c r="G1" s="178"/>
      <c r="H1" s="178"/>
      <c r="I1" s="178"/>
      <c r="J1" s="178"/>
      <c r="K1" s="178"/>
      <c r="L1" s="178"/>
      <c r="M1" s="178"/>
      <c r="N1" s="178"/>
      <c r="O1" s="178"/>
      <c r="P1" s="178"/>
    </row>
    <row r="2" spans="1:16">
      <c r="A2" s="177" t="s">
        <v>0</v>
      </c>
      <c r="B2" s="178"/>
      <c r="C2" s="178"/>
      <c r="D2" s="178"/>
      <c r="E2" s="178"/>
      <c r="F2" s="178"/>
      <c r="G2" s="178"/>
      <c r="H2" s="178"/>
      <c r="I2" s="178"/>
      <c r="J2" s="178"/>
      <c r="K2" s="178"/>
      <c r="L2" s="178"/>
      <c r="M2" s="178"/>
      <c r="N2" s="178"/>
      <c r="O2" s="178"/>
      <c r="P2" s="178"/>
    </row>
    <row r="3" spans="1:16" s="8" customFormat="1">
      <c r="A3" s="176" t="s">
        <v>7</v>
      </c>
      <c r="B3" s="176"/>
      <c r="C3" s="52" t="str">
        <f>C6</f>
        <v>1A72D6400-600-GNA</v>
      </c>
      <c r="D3" s="26" t="s">
        <v>1</v>
      </c>
      <c r="E3" s="27" t="s">
        <v>14</v>
      </c>
      <c r="F3" s="26"/>
      <c r="G3" s="26"/>
      <c r="H3" s="26"/>
      <c r="I3" s="26"/>
      <c r="J3" s="26"/>
      <c r="K3" s="26"/>
      <c r="L3" s="26"/>
      <c r="M3" s="26"/>
      <c r="N3" s="44"/>
      <c r="O3" s="26"/>
      <c r="P3" s="26"/>
    </row>
    <row r="4" spans="1:16" s="8" customFormat="1">
      <c r="A4" s="179" t="s">
        <v>8</v>
      </c>
      <c r="B4" s="179"/>
      <c r="C4" s="89" t="str">
        <f>E6</f>
        <v>TBD</v>
      </c>
      <c r="D4" s="41" t="s">
        <v>9</v>
      </c>
      <c r="E4" s="42" t="s">
        <v>14</v>
      </c>
      <c r="F4" s="41" t="s">
        <v>10</v>
      </c>
      <c r="G4" s="13" t="str">
        <f>G6</f>
        <v>Maxwell Mercury_L10 Compute Tray Assy_Sun-Ref,WD, without NVIDIA Group A</v>
      </c>
      <c r="H4" s="41"/>
      <c r="I4" s="41"/>
      <c r="J4" s="41"/>
      <c r="K4" s="41"/>
      <c r="L4" s="41"/>
      <c r="M4" s="41"/>
      <c r="N4" s="44"/>
      <c r="O4" s="41"/>
      <c r="P4" s="41"/>
    </row>
    <row r="5" spans="1:16" s="21" customFormat="1"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16">
      <c r="A6" s="11">
        <f>ROW(A6)-5</f>
        <v>1</v>
      </c>
      <c r="B6" s="49" t="s">
        <v>36</v>
      </c>
      <c r="C6" s="52" t="s">
        <v>670</v>
      </c>
      <c r="D6" s="11" t="s">
        <v>17</v>
      </c>
      <c r="E6" s="91" t="s">
        <v>34</v>
      </c>
      <c r="F6" s="11" t="s">
        <v>14</v>
      </c>
      <c r="G6" s="13" t="s">
        <v>691</v>
      </c>
      <c r="H6" s="11" t="s">
        <v>20</v>
      </c>
      <c r="I6" s="52" t="str">
        <f>C6</f>
        <v>1A72D6400-600-GNA</v>
      </c>
      <c r="J6" s="11" t="s">
        <v>14</v>
      </c>
      <c r="K6" s="11">
        <v>1</v>
      </c>
      <c r="L6" s="11" t="s">
        <v>800</v>
      </c>
      <c r="M6" s="11" t="s">
        <v>30</v>
      </c>
      <c r="N6" s="45"/>
      <c r="O6" s="11" t="s">
        <v>14</v>
      </c>
      <c r="P6" s="11" t="s">
        <v>802</v>
      </c>
    </row>
    <row r="7" spans="1:16" ht="62">
      <c r="A7" s="123">
        <f>ROW(A7)-5</f>
        <v>2</v>
      </c>
      <c r="B7" s="124" t="s">
        <v>29</v>
      </c>
      <c r="C7" s="125" t="s">
        <v>218</v>
      </c>
      <c r="D7" s="123" t="s">
        <v>17</v>
      </c>
      <c r="E7" s="123" t="s">
        <v>34</v>
      </c>
      <c r="F7" s="123" t="s">
        <v>14</v>
      </c>
      <c r="G7" s="127" t="s">
        <v>189</v>
      </c>
      <c r="H7" s="123" t="s">
        <v>40</v>
      </c>
      <c r="I7" s="128" t="s">
        <v>216</v>
      </c>
      <c r="J7" s="123" t="s">
        <v>14</v>
      </c>
      <c r="K7" s="123">
        <v>1</v>
      </c>
      <c r="L7" s="128" t="s">
        <v>800</v>
      </c>
      <c r="M7" s="128" t="s">
        <v>30</v>
      </c>
      <c r="N7" s="129" t="s">
        <v>460</v>
      </c>
      <c r="O7" s="123" t="s">
        <v>42</v>
      </c>
      <c r="P7" s="128" t="s">
        <v>803</v>
      </c>
    </row>
    <row r="8" spans="1:16" ht="62">
      <c r="A8" s="123">
        <f>ROW(A8)-5</f>
        <v>3</v>
      </c>
      <c r="B8" s="124" t="s">
        <v>37</v>
      </c>
      <c r="C8" s="125" t="s">
        <v>343</v>
      </c>
      <c r="D8" s="123" t="s">
        <v>17</v>
      </c>
      <c r="E8" s="123" t="s">
        <v>34</v>
      </c>
      <c r="F8" s="123" t="s">
        <v>14</v>
      </c>
      <c r="G8" s="127" t="s">
        <v>232</v>
      </c>
      <c r="H8" s="123" t="s">
        <v>40</v>
      </c>
      <c r="I8" s="125" t="s">
        <v>344</v>
      </c>
      <c r="J8" s="123" t="s">
        <v>14</v>
      </c>
      <c r="K8" s="123">
        <v>2</v>
      </c>
      <c r="L8" s="128" t="s">
        <v>800</v>
      </c>
      <c r="M8" s="128" t="s">
        <v>30</v>
      </c>
      <c r="N8" s="129" t="s">
        <v>685</v>
      </c>
      <c r="O8" s="123" t="s">
        <v>42</v>
      </c>
      <c r="P8" s="128" t="s">
        <v>803</v>
      </c>
    </row>
    <row r="9" spans="1:16" ht="31">
      <c r="A9" s="123">
        <f t="shared" ref="A9:A80" si="0">ROW(A9)-5</f>
        <v>4</v>
      </c>
      <c r="B9" s="124" t="s">
        <v>117</v>
      </c>
      <c r="C9" s="123" t="s">
        <v>313</v>
      </c>
      <c r="D9" s="130" t="s">
        <v>30</v>
      </c>
      <c r="E9" s="123" t="s">
        <v>34</v>
      </c>
      <c r="F9" s="123" t="s">
        <v>14</v>
      </c>
      <c r="G9" s="127" t="s">
        <v>58</v>
      </c>
      <c r="H9" s="123" t="s">
        <v>40</v>
      </c>
      <c r="I9" s="128" t="s">
        <v>309</v>
      </c>
      <c r="J9" s="130" t="s">
        <v>30</v>
      </c>
      <c r="K9" s="123">
        <v>2</v>
      </c>
      <c r="L9" s="128" t="s">
        <v>800</v>
      </c>
      <c r="M9" s="128" t="s">
        <v>30</v>
      </c>
      <c r="N9" s="129" t="s">
        <v>505</v>
      </c>
      <c r="O9" s="123" t="s">
        <v>41</v>
      </c>
      <c r="P9" s="128" t="s">
        <v>803</v>
      </c>
    </row>
    <row r="10" spans="1:16" ht="46.5">
      <c r="A10" s="123">
        <f t="shared" si="0"/>
        <v>5</v>
      </c>
      <c r="B10" s="124" t="s">
        <v>118</v>
      </c>
      <c r="C10" s="128" t="s">
        <v>219</v>
      </c>
      <c r="D10" s="130" t="s">
        <v>30</v>
      </c>
      <c r="E10" s="123" t="s">
        <v>34</v>
      </c>
      <c r="F10" s="123" t="s">
        <v>14</v>
      </c>
      <c r="G10" s="127" t="s">
        <v>59</v>
      </c>
      <c r="H10" s="123" t="s">
        <v>40</v>
      </c>
      <c r="I10" s="128" t="s">
        <v>217</v>
      </c>
      <c r="J10" s="130" t="s">
        <v>30</v>
      </c>
      <c r="K10" s="123">
        <v>1</v>
      </c>
      <c r="L10" s="128" t="s">
        <v>800</v>
      </c>
      <c r="M10" s="128" t="s">
        <v>30</v>
      </c>
      <c r="N10" s="129" t="s">
        <v>329</v>
      </c>
      <c r="O10" s="123" t="s">
        <v>41</v>
      </c>
      <c r="P10" s="128" t="s">
        <v>803</v>
      </c>
    </row>
    <row r="11" spans="1:16">
      <c r="A11" s="11">
        <f t="shared" si="0"/>
        <v>6</v>
      </c>
      <c r="B11" s="49" t="s">
        <v>119</v>
      </c>
      <c r="C11" s="24" t="s">
        <v>220</v>
      </c>
      <c r="D11" s="56" t="s">
        <v>30</v>
      </c>
      <c r="E11" s="91" t="s">
        <v>469</v>
      </c>
      <c r="F11" s="11" t="s">
        <v>14</v>
      </c>
      <c r="G11" s="43" t="s">
        <v>132</v>
      </c>
      <c r="H11" s="11" t="s">
        <v>137</v>
      </c>
      <c r="I11" s="11" t="s">
        <v>135</v>
      </c>
      <c r="J11" s="56" t="s">
        <v>30</v>
      </c>
      <c r="K11" s="11">
        <v>1</v>
      </c>
      <c r="L11" s="11" t="s">
        <v>800</v>
      </c>
      <c r="M11" s="11" t="s">
        <v>30</v>
      </c>
      <c r="N11" s="45"/>
      <c r="O11" s="11" t="s">
        <v>43</v>
      </c>
      <c r="P11" s="11" t="s">
        <v>803</v>
      </c>
    </row>
    <row r="12" spans="1:16">
      <c r="A12" s="11">
        <f t="shared" si="0"/>
        <v>7</v>
      </c>
      <c r="B12" s="49"/>
      <c r="C12" s="24" t="s">
        <v>221</v>
      </c>
      <c r="D12" s="56" t="s">
        <v>30</v>
      </c>
      <c r="E12" s="91" t="s">
        <v>469</v>
      </c>
      <c r="F12" s="11" t="s">
        <v>14</v>
      </c>
      <c r="G12" s="43" t="s">
        <v>133</v>
      </c>
      <c r="H12" s="11" t="s">
        <v>138</v>
      </c>
      <c r="I12" s="11" t="s">
        <v>140</v>
      </c>
      <c r="J12" s="56" t="s">
        <v>30</v>
      </c>
      <c r="K12" s="11"/>
      <c r="L12" s="11" t="s">
        <v>800</v>
      </c>
      <c r="M12" s="11" t="s">
        <v>30</v>
      </c>
      <c r="N12" s="45"/>
      <c r="O12" s="11" t="s">
        <v>43</v>
      </c>
      <c r="P12" s="11" t="s">
        <v>803</v>
      </c>
    </row>
    <row r="13" spans="1:16">
      <c r="A13" s="11">
        <f t="shared" si="0"/>
        <v>8</v>
      </c>
      <c r="B13" s="49"/>
      <c r="C13" s="24" t="s">
        <v>222</v>
      </c>
      <c r="D13" s="56" t="s">
        <v>30</v>
      </c>
      <c r="E13" s="91" t="s">
        <v>469</v>
      </c>
      <c r="F13" s="11" t="s">
        <v>14</v>
      </c>
      <c r="G13" s="43" t="s">
        <v>134</v>
      </c>
      <c r="H13" s="11" t="s">
        <v>139</v>
      </c>
      <c r="I13" s="11" t="s">
        <v>141</v>
      </c>
      <c r="J13" s="56" t="s">
        <v>30</v>
      </c>
      <c r="K13" s="11"/>
      <c r="L13" s="11" t="s">
        <v>800</v>
      </c>
      <c r="M13" s="11" t="s">
        <v>30</v>
      </c>
      <c r="N13" s="45"/>
      <c r="O13" s="11" t="s">
        <v>43</v>
      </c>
      <c r="P13" s="11" t="s">
        <v>803</v>
      </c>
    </row>
    <row r="14" spans="1:16">
      <c r="A14" s="11">
        <f t="shared" si="0"/>
        <v>9</v>
      </c>
      <c r="B14" s="49" t="s">
        <v>120</v>
      </c>
      <c r="C14" s="24" t="s">
        <v>224</v>
      </c>
      <c r="D14" s="56" t="s">
        <v>30</v>
      </c>
      <c r="E14" s="91" t="s">
        <v>471</v>
      </c>
      <c r="F14" s="11" t="s">
        <v>14</v>
      </c>
      <c r="G14" s="13" t="s">
        <v>188</v>
      </c>
      <c r="H14" s="11" t="s">
        <v>142</v>
      </c>
      <c r="I14" s="11" t="s">
        <v>144</v>
      </c>
      <c r="J14" s="56" t="s">
        <v>30</v>
      </c>
      <c r="K14" s="50">
        <v>4</v>
      </c>
      <c r="L14" s="11" t="s">
        <v>800</v>
      </c>
      <c r="M14" s="11" t="s">
        <v>30</v>
      </c>
      <c r="N14" s="57"/>
      <c r="O14" s="11" t="s">
        <v>43</v>
      </c>
      <c r="P14" s="11" t="s">
        <v>803</v>
      </c>
    </row>
    <row r="15" spans="1:16" s="17" customFormat="1">
      <c r="A15" s="11">
        <f t="shared" si="0"/>
        <v>10</v>
      </c>
      <c r="B15" s="58" t="s">
        <v>38</v>
      </c>
      <c r="C15" s="11" t="s">
        <v>147</v>
      </c>
      <c r="D15" s="11" t="s">
        <v>30</v>
      </c>
      <c r="E15" s="91" t="s">
        <v>475</v>
      </c>
      <c r="F15" s="11" t="s">
        <v>14</v>
      </c>
      <c r="G15" s="13" t="s">
        <v>187</v>
      </c>
      <c r="H15" s="11" t="s">
        <v>20</v>
      </c>
      <c r="I15" s="11" t="s">
        <v>147</v>
      </c>
      <c r="J15" s="11" t="s">
        <v>30</v>
      </c>
      <c r="K15" s="11">
        <v>1</v>
      </c>
      <c r="L15" s="11" t="s">
        <v>800</v>
      </c>
      <c r="M15" s="11" t="s">
        <v>30</v>
      </c>
      <c r="N15" s="48"/>
      <c r="O15" s="11" t="s">
        <v>41</v>
      </c>
      <c r="P15" s="11" t="s">
        <v>802</v>
      </c>
    </row>
    <row r="16" spans="1:16" s="17" customFormat="1">
      <c r="A16" s="11">
        <f t="shared" si="0"/>
        <v>11</v>
      </c>
      <c r="B16" s="58" t="s">
        <v>146</v>
      </c>
      <c r="C16" s="11" t="s">
        <v>148</v>
      </c>
      <c r="D16" s="11" t="s">
        <v>30</v>
      </c>
      <c r="E16" s="91" t="s">
        <v>525</v>
      </c>
      <c r="F16" s="11" t="s">
        <v>14</v>
      </c>
      <c r="G16" s="13" t="s">
        <v>186</v>
      </c>
      <c r="H16" s="11" t="s">
        <v>20</v>
      </c>
      <c r="I16" s="11" t="s">
        <v>148</v>
      </c>
      <c r="J16" s="11" t="s">
        <v>30</v>
      </c>
      <c r="K16" s="11">
        <v>1</v>
      </c>
      <c r="L16" s="11" t="s">
        <v>800</v>
      </c>
      <c r="M16" s="11" t="s">
        <v>30</v>
      </c>
      <c r="N16" s="48"/>
      <c r="O16" s="11" t="s">
        <v>41</v>
      </c>
      <c r="P16" s="11" t="s">
        <v>802</v>
      </c>
    </row>
    <row r="17" spans="1:16" s="17" customFormat="1">
      <c r="A17" s="11">
        <f t="shared" si="0"/>
        <v>12</v>
      </c>
      <c r="B17" s="58" t="s">
        <v>125</v>
      </c>
      <c r="C17" s="11" t="s">
        <v>149</v>
      </c>
      <c r="D17" s="11" t="s">
        <v>30</v>
      </c>
      <c r="E17" s="91" t="s">
        <v>529</v>
      </c>
      <c r="F17" s="11" t="s">
        <v>14</v>
      </c>
      <c r="G17" s="13" t="s">
        <v>185</v>
      </c>
      <c r="H17" s="11" t="s">
        <v>20</v>
      </c>
      <c r="I17" s="11" t="s">
        <v>149</v>
      </c>
      <c r="J17" s="11" t="s">
        <v>30</v>
      </c>
      <c r="K17" s="11">
        <v>1</v>
      </c>
      <c r="L17" s="11" t="s">
        <v>800</v>
      </c>
      <c r="M17" s="11" t="s">
        <v>30</v>
      </c>
      <c r="N17" s="48"/>
      <c r="O17" s="11" t="s">
        <v>41</v>
      </c>
      <c r="P17" s="11" t="s">
        <v>802</v>
      </c>
    </row>
    <row r="18" spans="1:16" s="17" customFormat="1">
      <c r="A18" s="11">
        <f t="shared" si="0"/>
        <v>13</v>
      </c>
      <c r="B18" s="58" t="s">
        <v>173</v>
      </c>
      <c r="C18" s="11" t="s">
        <v>150</v>
      </c>
      <c r="D18" s="59" t="s">
        <v>30</v>
      </c>
      <c r="E18" s="91" t="s">
        <v>476</v>
      </c>
      <c r="F18" s="11" t="s">
        <v>14</v>
      </c>
      <c r="G18" s="13" t="s">
        <v>184</v>
      </c>
      <c r="H18" s="11" t="s">
        <v>51</v>
      </c>
      <c r="I18" s="11" t="str">
        <f>C18</f>
        <v>1A72BTH00-600-G</v>
      </c>
      <c r="J18" s="11" t="s">
        <v>30</v>
      </c>
      <c r="K18" s="11">
        <v>1</v>
      </c>
      <c r="L18" s="11" t="s">
        <v>800</v>
      </c>
      <c r="M18" s="11" t="s">
        <v>30</v>
      </c>
      <c r="N18" s="48"/>
      <c r="O18" s="11" t="s">
        <v>41</v>
      </c>
      <c r="P18" s="11" t="s">
        <v>802</v>
      </c>
    </row>
    <row r="19" spans="1:16" s="25" customFormat="1" ht="14.5">
      <c r="A19" s="11">
        <f>ROW(A19)-5</f>
        <v>14</v>
      </c>
      <c r="B19" s="58" t="s">
        <v>174</v>
      </c>
      <c r="C19" s="60" t="s">
        <v>151</v>
      </c>
      <c r="D19" s="61" t="s">
        <v>14</v>
      </c>
      <c r="E19" s="91" t="s">
        <v>526</v>
      </c>
      <c r="F19" s="11" t="s">
        <v>14</v>
      </c>
      <c r="G19" s="95" t="s">
        <v>532</v>
      </c>
      <c r="H19" s="62" t="s">
        <v>51</v>
      </c>
      <c r="I19" s="60" t="s">
        <v>151</v>
      </c>
      <c r="J19" s="11" t="s">
        <v>30</v>
      </c>
      <c r="K19" s="63">
        <v>1</v>
      </c>
      <c r="L19" s="11" t="s">
        <v>800</v>
      </c>
      <c r="M19" s="11" t="s">
        <v>30</v>
      </c>
      <c r="N19" s="64" t="s">
        <v>341</v>
      </c>
      <c r="O19" s="63" t="s">
        <v>159</v>
      </c>
      <c r="P19" s="11" t="s">
        <v>802</v>
      </c>
    </row>
    <row r="20" spans="1:16">
      <c r="A20" s="11">
        <f t="shared" si="0"/>
        <v>15</v>
      </c>
      <c r="B20" s="58" t="s">
        <v>131</v>
      </c>
      <c r="C20" s="55" t="s">
        <v>345</v>
      </c>
      <c r="D20" s="11" t="s">
        <v>14</v>
      </c>
      <c r="E20" s="91" t="s">
        <v>516</v>
      </c>
      <c r="F20" s="11" t="s">
        <v>14</v>
      </c>
      <c r="G20" s="72" t="s">
        <v>346</v>
      </c>
      <c r="H20" s="11" t="s">
        <v>51</v>
      </c>
      <c r="I20" s="55" t="s">
        <v>345</v>
      </c>
      <c r="J20" s="11" t="s">
        <v>14</v>
      </c>
      <c r="K20" s="11">
        <v>1</v>
      </c>
      <c r="L20" s="11" t="s">
        <v>800</v>
      </c>
      <c r="M20" s="11" t="s">
        <v>30</v>
      </c>
      <c r="N20" s="45" t="s">
        <v>303</v>
      </c>
      <c r="O20" s="11" t="s">
        <v>41</v>
      </c>
      <c r="P20" s="11" t="s">
        <v>802</v>
      </c>
    </row>
    <row r="21" spans="1:16">
      <c r="A21" s="11">
        <f t="shared" si="0"/>
        <v>16</v>
      </c>
      <c r="B21" s="58" t="s">
        <v>381</v>
      </c>
      <c r="C21" s="55" t="s">
        <v>347</v>
      </c>
      <c r="D21" s="11" t="s">
        <v>14</v>
      </c>
      <c r="E21" s="91" t="s">
        <v>473</v>
      </c>
      <c r="F21" s="11" t="s">
        <v>14</v>
      </c>
      <c r="G21" s="72" t="s">
        <v>348</v>
      </c>
      <c r="H21" s="11" t="s">
        <v>51</v>
      </c>
      <c r="I21" s="55" t="s">
        <v>347</v>
      </c>
      <c r="J21" s="11" t="s">
        <v>14</v>
      </c>
      <c r="K21" s="11">
        <v>1</v>
      </c>
      <c r="L21" s="11" t="s">
        <v>800</v>
      </c>
      <c r="M21" s="11" t="s">
        <v>30</v>
      </c>
      <c r="N21" s="45" t="s">
        <v>303</v>
      </c>
      <c r="O21" s="11" t="s">
        <v>41</v>
      </c>
      <c r="P21" s="11" t="s">
        <v>802</v>
      </c>
    </row>
    <row r="22" spans="1:16">
      <c r="A22" s="11">
        <f t="shared" si="0"/>
        <v>17</v>
      </c>
      <c r="B22" s="58" t="s">
        <v>382</v>
      </c>
      <c r="C22" s="52" t="s">
        <v>326</v>
      </c>
      <c r="D22" s="11" t="s">
        <v>14</v>
      </c>
      <c r="E22" s="91" t="s">
        <v>474</v>
      </c>
      <c r="F22" s="11" t="s">
        <v>14</v>
      </c>
      <c r="G22" s="43" t="s">
        <v>311</v>
      </c>
      <c r="H22" s="11" t="s">
        <v>51</v>
      </c>
      <c r="I22" s="52" t="s">
        <v>326</v>
      </c>
      <c r="J22" s="11" t="s">
        <v>14</v>
      </c>
      <c r="K22" s="11">
        <v>1</v>
      </c>
      <c r="L22" s="11" t="s">
        <v>800</v>
      </c>
      <c r="M22" s="11" t="s">
        <v>30</v>
      </c>
      <c r="N22" s="45"/>
      <c r="O22" s="11" t="s">
        <v>41</v>
      </c>
      <c r="P22" s="11" t="s">
        <v>802</v>
      </c>
    </row>
    <row r="23" spans="1:16">
      <c r="A23" s="11">
        <f t="shared" si="0"/>
        <v>18</v>
      </c>
      <c r="B23" s="58" t="s">
        <v>551</v>
      </c>
      <c r="C23" s="52" t="s">
        <v>502</v>
      </c>
      <c r="D23" s="11" t="s">
        <v>14</v>
      </c>
      <c r="E23" s="11" t="s">
        <v>596</v>
      </c>
      <c r="F23" s="11" t="s">
        <v>14</v>
      </c>
      <c r="G23" s="43" t="s">
        <v>503</v>
      </c>
      <c r="H23" s="11" t="s">
        <v>51</v>
      </c>
      <c r="I23" s="52" t="s">
        <v>502</v>
      </c>
      <c r="J23" s="11" t="s">
        <v>14</v>
      </c>
      <c r="K23" s="11">
        <v>1</v>
      </c>
      <c r="L23" s="11" t="s">
        <v>800</v>
      </c>
      <c r="M23" s="11" t="s">
        <v>30</v>
      </c>
      <c r="N23" s="45" t="s">
        <v>504</v>
      </c>
      <c r="O23" s="11" t="s">
        <v>41</v>
      </c>
      <c r="P23" s="11" t="s">
        <v>802</v>
      </c>
    </row>
    <row r="24" spans="1:16">
      <c r="A24" s="123">
        <f t="shared" si="0"/>
        <v>19</v>
      </c>
      <c r="B24" s="131" t="s">
        <v>552</v>
      </c>
      <c r="C24" s="128" t="s">
        <v>278</v>
      </c>
      <c r="D24" s="123" t="s">
        <v>30</v>
      </c>
      <c r="E24" s="132" t="s">
        <v>593</v>
      </c>
      <c r="F24" s="123" t="s">
        <v>30</v>
      </c>
      <c r="G24" s="133" t="s">
        <v>276</v>
      </c>
      <c r="H24" s="123" t="s">
        <v>274</v>
      </c>
      <c r="I24" s="123" t="s">
        <v>275</v>
      </c>
      <c r="J24" s="123" t="s">
        <v>14</v>
      </c>
      <c r="K24" s="123">
        <v>2</v>
      </c>
      <c r="L24" s="128" t="s">
        <v>800</v>
      </c>
      <c r="M24" s="128" t="s">
        <v>30</v>
      </c>
      <c r="N24" s="134" t="s">
        <v>277</v>
      </c>
      <c r="O24" s="123" t="s">
        <v>273</v>
      </c>
      <c r="P24" s="128" t="s">
        <v>803</v>
      </c>
    </row>
    <row r="25" spans="1:16">
      <c r="A25" s="11">
        <f t="shared" si="0"/>
        <v>20</v>
      </c>
      <c r="B25" s="58" t="s">
        <v>553</v>
      </c>
      <c r="C25" s="24" t="s">
        <v>339</v>
      </c>
      <c r="D25" s="11" t="s">
        <v>14</v>
      </c>
      <c r="E25" s="11" t="s">
        <v>34</v>
      </c>
      <c r="F25" s="11" t="s">
        <v>14</v>
      </c>
      <c r="G25" s="43" t="s">
        <v>305</v>
      </c>
      <c r="H25" s="52" t="s">
        <v>418</v>
      </c>
      <c r="I25" s="24" t="s">
        <v>339</v>
      </c>
      <c r="J25" s="11" t="s">
        <v>14</v>
      </c>
      <c r="K25" s="11">
        <v>1</v>
      </c>
      <c r="L25" s="11" t="s">
        <v>800</v>
      </c>
      <c r="M25" s="11" t="s">
        <v>30</v>
      </c>
      <c r="N25" s="45" t="s">
        <v>306</v>
      </c>
      <c r="O25" s="11" t="s">
        <v>44</v>
      </c>
      <c r="P25" s="11" t="s">
        <v>802</v>
      </c>
    </row>
    <row r="26" spans="1:16">
      <c r="A26" s="11">
        <f>ROW(A26)-5</f>
        <v>21</v>
      </c>
      <c r="B26" s="58" t="s">
        <v>554</v>
      </c>
      <c r="C26" s="11" t="s">
        <v>286</v>
      </c>
      <c r="D26" s="11" t="s">
        <v>14</v>
      </c>
      <c r="E26" s="11" t="s">
        <v>34</v>
      </c>
      <c r="F26" s="11" t="s">
        <v>14</v>
      </c>
      <c r="G26" s="43" t="s">
        <v>285</v>
      </c>
      <c r="H26" s="52" t="s">
        <v>418</v>
      </c>
      <c r="I26" s="11" t="s">
        <v>286</v>
      </c>
      <c r="J26" s="11" t="s">
        <v>14</v>
      </c>
      <c r="K26" s="11">
        <v>3</v>
      </c>
      <c r="L26" s="11" t="s">
        <v>800</v>
      </c>
      <c r="M26" s="11" t="s">
        <v>30</v>
      </c>
      <c r="N26" s="45" t="s">
        <v>284</v>
      </c>
      <c r="O26" s="11" t="s">
        <v>44</v>
      </c>
      <c r="P26" s="11" t="s">
        <v>802</v>
      </c>
    </row>
    <row r="27" spans="1:16">
      <c r="A27" s="11">
        <f t="shared" ref="A27:A30" si="1">ROW(A27)-5</f>
        <v>22</v>
      </c>
      <c r="B27" s="58"/>
      <c r="C27" s="55" t="s">
        <v>408</v>
      </c>
      <c r="D27" s="11" t="s">
        <v>14</v>
      </c>
      <c r="E27" s="11" t="s">
        <v>34</v>
      </c>
      <c r="F27" s="11" t="s">
        <v>14</v>
      </c>
      <c r="G27" s="43" t="s">
        <v>405</v>
      </c>
      <c r="H27" s="52" t="s">
        <v>406</v>
      </c>
      <c r="I27" s="55" t="s">
        <v>407</v>
      </c>
      <c r="J27" s="11" t="s">
        <v>14</v>
      </c>
      <c r="K27" s="11"/>
      <c r="L27" s="11" t="s">
        <v>800</v>
      </c>
      <c r="M27" s="11" t="s">
        <v>30</v>
      </c>
      <c r="N27" s="45" t="s">
        <v>296</v>
      </c>
      <c r="O27" s="11" t="s">
        <v>44</v>
      </c>
      <c r="P27" s="11" t="s">
        <v>802</v>
      </c>
    </row>
    <row r="28" spans="1:16">
      <c r="A28" s="11">
        <f>ROW(A28)-5</f>
        <v>23</v>
      </c>
      <c r="B28" s="58" t="s">
        <v>409</v>
      </c>
      <c r="C28" s="55" t="s">
        <v>506</v>
      </c>
      <c r="D28" s="11" t="s">
        <v>14</v>
      </c>
      <c r="E28" s="11" t="s">
        <v>34</v>
      </c>
      <c r="F28" s="11" t="s">
        <v>14</v>
      </c>
      <c r="G28" s="43" t="s">
        <v>507</v>
      </c>
      <c r="H28" s="52" t="s">
        <v>418</v>
      </c>
      <c r="I28" s="55" t="s">
        <v>506</v>
      </c>
      <c r="J28" s="11" t="s">
        <v>14</v>
      </c>
      <c r="K28" s="11">
        <v>4</v>
      </c>
      <c r="L28" s="11" t="s">
        <v>800</v>
      </c>
      <c r="M28" s="11" t="s">
        <v>30</v>
      </c>
      <c r="N28" s="45" t="s">
        <v>515</v>
      </c>
      <c r="O28" s="11" t="s">
        <v>44</v>
      </c>
      <c r="P28" s="11" t="s">
        <v>802</v>
      </c>
    </row>
    <row r="29" spans="1:16">
      <c r="A29" s="11">
        <f t="shared" si="1"/>
        <v>24</v>
      </c>
      <c r="B29" s="58"/>
      <c r="C29" s="55" t="s">
        <v>508</v>
      </c>
      <c r="D29" s="11" t="s">
        <v>14</v>
      </c>
      <c r="E29" s="11" t="s">
        <v>34</v>
      </c>
      <c r="F29" s="11" t="s">
        <v>14</v>
      </c>
      <c r="G29" s="43" t="s">
        <v>510</v>
      </c>
      <c r="H29" s="52" t="s">
        <v>511</v>
      </c>
      <c r="I29" s="55" t="s">
        <v>513</v>
      </c>
      <c r="J29" s="11" t="s">
        <v>14</v>
      </c>
      <c r="K29" s="11"/>
      <c r="L29" s="11" t="s">
        <v>800</v>
      </c>
      <c r="M29" s="11" t="s">
        <v>30</v>
      </c>
      <c r="N29" s="45" t="s">
        <v>515</v>
      </c>
      <c r="O29" s="11" t="s">
        <v>44</v>
      </c>
      <c r="P29" s="11" t="s">
        <v>802</v>
      </c>
    </row>
    <row r="30" spans="1:16">
      <c r="A30" s="11">
        <f t="shared" si="1"/>
        <v>25</v>
      </c>
      <c r="B30" s="58"/>
      <c r="C30" s="55" t="s">
        <v>509</v>
      </c>
      <c r="D30" s="11" t="s">
        <v>14</v>
      </c>
      <c r="E30" s="11" t="s">
        <v>34</v>
      </c>
      <c r="F30" s="11" t="s">
        <v>14</v>
      </c>
      <c r="G30" s="43" t="s">
        <v>510</v>
      </c>
      <c r="H30" s="52" t="s">
        <v>512</v>
      </c>
      <c r="I30" s="55" t="s">
        <v>514</v>
      </c>
      <c r="J30" s="11" t="s">
        <v>14</v>
      </c>
      <c r="K30" s="11"/>
      <c r="L30" s="11" t="s">
        <v>800</v>
      </c>
      <c r="M30" s="11" t="s">
        <v>30</v>
      </c>
      <c r="N30" s="45" t="s">
        <v>515</v>
      </c>
      <c r="O30" s="11" t="s">
        <v>44</v>
      </c>
      <c r="P30" s="11" t="s">
        <v>802</v>
      </c>
    </row>
    <row r="31" spans="1:16">
      <c r="A31" s="11">
        <f t="shared" si="0"/>
        <v>26</v>
      </c>
      <c r="B31" s="58" t="s">
        <v>410</v>
      </c>
      <c r="C31" s="55" t="s">
        <v>414</v>
      </c>
      <c r="D31" s="11" t="s">
        <v>14</v>
      </c>
      <c r="E31" s="11" t="s">
        <v>34</v>
      </c>
      <c r="F31" s="11" t="s">
        <v>14</v>
      </c>
      <c r="G31" s="43" t="s">
        <v>315</v>
      </c>
      <c r="H31" s="52" t="s">
        <v>418</v>
      </c>
      <c r="I31" s="55" t="s">
        <v>414</v>
      </c>
      <c r="J31" s="11" t="s">
        <v>14</v>
      </c>
      <c r="K31" s="11">
        <v>4</v>
      </c>
      <c r="L31" s="11" t="s">
        <v>800</v>
      </c>
      <c r="M31" s="11" t="s">
        <v>30</v>
      </c>
      <c r="N31" s="45" t="s">
        <v>288</v>
      </c>
      <c r="O31" s="11" t="s">
        <v>44</v>
      </c>
      <c r="P31" s="11" t="s">
        <v>802</v>
      </c>
    </row>
    <row r="32" spans="1:16">
      <c r="A32" s="11">
        <f t="shared" si="0"/>
        <v>27</v>
      </c>
      <c r="B32" s="58" t="s">
        <v>411</v>
      </c>
      <c r="C32" s="24" t="s">
        <v>290</v>
      </c>
      <c r="D32" s="11" t="s">
        <v>14</v>
      </c>
      <c r="E32" s="11" t="s">
        <v>34</v>
      </c>
      <c r="F32" s="11" t="s">
        <v>14</v>
      </c>
      <c r="G32" s="43" t="s">
        <v>316</v>
      </c>
      <c r="H32" s="52" t="s">
        <v>418</v>
      </c>
      <c r="I32" s="24" t="s">
        <v>290</v>
      </c>
      <c r="J32" s="11" t="s">
        <v>14</v>
      </c>
      <c r="K32" s="11">
        <v>8</v>
      </c>
      <c r="L32" s="11" t="s">
        <v>800</v>
      </c>
      <c r="M32" s="11" t="s">
        <v>30</v>
      </c>
      <c r="N32" s="45" t="s">
        <v>289</v>
      </c>
      <c r="O32" s="11" t="s">
        <v>44</v>
      </c>
      <c r="P32" s="11" t="s">
        <v>802</v>
      </c>
    </row>
    <row r="33" spans="1:16">
      <c r="A33" s="11">
        <f>ROW(A33)-5</f>
        <v>28</v>
      </c>
      <c r="B33" s="58"/>
      <c r="C33" s="55" t="s">
        <v>542</v>
      </c>
      <c r="D33" s="11" t="s">
        <v>14</v>
      </c>
      <c r="E33" s="91" t="s">
        <v>34</v>
      </c>
      <c r="F33" s="11" t="s">
        <v>14</v>
      </c>
      <c r="G33" s="66" t="s">
        <v>544</v>
      </c>
      <c r="H33" s="52" t="s">
        <v>543</v>
      </c>
      <c r="I33" s="52" t="s">
        <v>541</v>
      </c>
      <c r="J33" s="11" t="s">
        <v>14</v>
      </c>
      <c r="K33" s="11"/>
      <c r="L33" s="11" t="s">
        <v>800</v>
      </c>
      <c r="M33" s="11" t="s">
        <v>30</v>
      </c>
      <c r="N33" s="45" t="s">
        <v>289</v>
      </c>
      <c r="O33" s="11" t="s">
        <v>44</v>
      </c>
      <c r="P33" s="11" t="s">
        <v>802</v>
      </c>
    </row>
    <row r="34" spans="1:16">
      <c r="A34" s="11">
        <f t="shared" si="0"/>
        <v>29</v>
      </c>
      <c r="B34" s="58" t="s">
        <v>413</v>
      </c>
      <c r="C34" s="24" t="s">
        <v>333</v>
      </c>
      <c r="D34" s="11" t="s">
        <v>14</v>
      </c>
      <c r="E34" s="11" t="s">
        <v>34</v>
      </c>
      <c r="F34" s="11" t="s">
        <v>14</v>
      </c>
      <c r="G34" s="43" t="s">
        <v>314</v>
      </c>
      <c r="H34" s="52" t="s">
        <v>418</v>
      </c>
      <c r="I34" s="67" t="s">
        <v>333</v>
      </c>
      <c r="J34" s="11" t="s">
        <v>14</v>
      </c>
      <c r="K34" s="11">
        <v>1</v>
      </c>
      <c r="L34" s="11" t="s">
        <v>800</v>
      </c>
      <c r="M34" s="11" t="s">
        <v>30</v>
      </c>
      <c r="N34" s="45" t="s">
        <v>291</v>
      </c>
      <c r="O34" s="11" t="s">
        <v>44</v>
      </c>
      <c r="P34" s="11" t="s">
        <v>802</v>
      </c>
    </row>
    <row r="35" spans="1:16">
      <c r="A35" s="11">
        <f t="shared" si="0"/>
        <v>30</v>
      </c>
      <c r="B35" s="58" t="s">
        <v>47</v>
      </c>
      <c r="C35" s="24" t="s">
        <v>335</v>
      </c>
      <c r="D35" s="11" t="s">
        <v>14</v>
      </c>
      <c r="E35" s="11" t="s">
        <v>34</v>
      </c>
      <c r="F35" s="11" t="s">
        <v>14</v>
      </c>
      <c r="G35" s="43" t="s">
        <v>334</v>
      </c>
      <c r="H35" s="52" t="s">
        <v>418</v>
      </c>
      <c r="I35" s="67" t="s">
        <v>335</v>
      </c>
      <c r="J35" s="11" t="s">
        <v>14</v>
      </c>
      <c r="K35" s="52">
        <v>2</v>
      </c>
      <c r="L35" s="11" t="s">
        <v>800</v>
      </c>
      <c r="M35" s="11" t="s">
        <v>30</v>
      </c>
      <c r="N35" s="45" t="s">
        <v>336</v>
      </c>
      <c r="O35" s="11" t="s">
        <v>44</v>
      </c>
      <c r="P35" s="11" t="s">
        <v>802</v>
      </c>
    </row>
    <row r="36" spans="1:16">
      <c r="A36" s="11">
        <f>ROW(A36)-5</f>
        <v>31</v>
      </c>
      <c r="B36" s="58"/>
      <c r="C36" s="55" t="s">
        <v>547</v>
      </c>
      <c r="D36" s="11" t="s">
        <v>14</v>
      </c>
      <c r="E36" s="91" t="s">
        <v>34</v>
      </c>
      <c r="F36" s="11" t="s">
        <v>14</v>
      </c>
      <c r="G36" s="66" t="s">
        <v>545</v>
      </c>
      <c r="H36" s="52" t="s">
        <v>543</v>
      </c>
      <c r="I36" s="52" t="s">
        <v>546</v>
      </c>
      <c r="J36" s="11" t="s">
        <v>14</v>
      </c>
      <c r="K36" s="11"/>
      <c r="L36" s="11" t="s">
        <v>800</v>
      </c>
      <c r="M36" s="11" t="s">
        <v>30</v>
      </c>
      <c r="N36" s="45" t="s">
        <v>336</v>
      </c>
      <c r="O36" s="11" t="s">
        <v>44</v>
      </c>
      <c r="P36" s="11" t="s">
        <v>802</v>
      </c>
    </row>
    <row r="37" spans="1:16">
      <c r="A37" s="11">
        <f t="shared" si="0"/>
        <v>32</v>
      </c>
      <c r="B37" s="58" t="s">
        <v>48</v>
      </c>
      <c r="C37" s="24" t="s">
        <v>337</v>
      </c>
      <c r="D37" s="11" t="s">
        <v>14</v>
      </c>
      <c r="E37" s="11" t="s">
        <v>34</v>
      </c>
      <c r="F37" s="11" t="s">
        <v>14</v>
      </c>
      <c r="G37" s="43" t="s">
        <v>294</v>
      </c>
      <c r="H37" s="52" t="s">
        <v>418</v>
      </c>
      <c r="I37" s="67" t="s">
        <v>337</v>
      </c>
      <c r="J37" s="11" t="s">
        <v>14</v>
      </c>
      <c r="K37" s="11">
        <v>8</v>
      </c>
      <c r="L37" s="11" t="s">
        <v>800</v>
      </c>
      <c r="M37" s="11" t="s">
        <v>30</v>
      </c>
      <c r="N37" s="45" t="s">
        <v>292</v>
      </c>
      <c r="O37" s="11" t="s">
        <v>44</v>
      </c>
      <c r="P37" s="11" t="s">
        <v>802</v>
      </c>
    </row>
    <row r="38" spans="1:16">
      <c r="A38" s="11">
        <f t="shared" si="0"/>
        <v>33</v>
      </c>
      <c r="B38" s="58" t="s">
        <v>54</v>
      </c>
      <c r="C38" s="24" t="s">
        <v>338</v>
      </c>
      <c r="D38" s="11" t="s">
        <v>14</v>
      </c>
      <c r="E38" s="11" t="s">
        <v>34</v>
      </c>
      <c r="F38" s="11" t="s">
        <v>14</v>
      </c>
      <c r="G38" s="43" t="s">
        <v>293</v>
      </c>
      <c r="H38" s="52" t="s">
        <v>418</v>
      </c>
      <c r="I38" s="67" t="s">
        <v>338</v>
      </c>
      <c r="J38" s="11" t="s">
        <v>14</v>
      </c>
      <c r="K38" s="11">
        <v>8</v>
      </c>
      <c r="L38" s="11" t="s">
        <v>800</v>
      </c>
      <c r="M38" s="11" t="s">
        <v>30</v>
      </c>
      <c r="N38" s="45" t="s">
        <v>295</v>
      </c>
      <c r="O38" s="11" t="s">
        <v>44</v>
      </c>
      <c r="P38" s="11" t="s">
        <v>802</v>
      </c>
    </row>
    <row r="39" spans="1:16">
      <c r="A39" s="11">
        <f t="shared" si="0"/>
        <v>34</v>
      </c>
      <c r="B39" s="58" t="s">
        <v>55</v>
      </c>
      <c r="C39" s="24" t="s">
        <v>300</v>
      </c>
      <c r="D39" s="11" t="s">
        <v>14</v>
      </c>
      <c r="E39" s="11" t="s">
        <v>34</v>
      </c>
      <c r="F39" s="11" t="s">
        <v>14</v>
      </c>
      <c r="G39" s="43" t="s">
        <v>299</v>
      </c>
      <c r="H39" s="52" t="s">
        <v>418</v>
      </c>
      <c r="I39" s="24" t="s">
        <v>300</v>
      </c>
      <c r="J39" s="11" t="s">
        <v>14</v>
      </c>
      <c r="K39" s="11">
        <v>64</v>
      </c>
      <c r="L39" s="11" t="s">
        <v>800</v>
      </c>
      <c r="M39" s="11" t="s">
        <v>30</v>
      </c>
      <c r="N39" s="45" t="s">
        <v>296</v>
      </c>
      <c r="O39" s="11" t="s">
        <v>44</v>
      </c>
      <c r="P39" s="11" t="s">
        <v>802</v>
      </c>
    </row>
    <row r="40" spans="1:16">
      <c r="A40" s="11">
        <f t="shared" si="0"/>
        <v>35</v>
      </c>
      <c r="B40" s="58"/>
      <c r="C40" s="55" t="s">
        <v>400</v>
      </c>
      <c r="D40" s="11" t="s">
        <v>14</v>
      </c>
      <c r="E40" s="11" t="s">
        <v>34</v>
      </c>
      <c r="F40" s="11" t="s">
        <v>14</v>
      </c>
      <c r="G40" s="204" t="s">
        <v>415</v>
      </c>
      <c r="H40" s="52" t="s">
        <v>401</v>
      </c>
      <c r="I40" s="55" t="s">
        <v>402</v>
      </c>
      <c r="J40" s="11" t="s">
        <v>14</v>
      </c>
      <c r="K40" s="11"/>
      <c r="L40" s="11" t="s">
        <v>800</v>
      </c>
      <c r="M40" s="11" t="s">
        <v>30</v>
      </c>
      <c r="N40" s="45" t="s">
        <v>296</v>
      </c>
      <c r="O40" s="11" t="s">
        <v>44</v>
      </c>
      <c r="P40" s="11" t="s">
        <v>802</v>
      </c>
    </row>
    <row r="41" spans="1:16">
      <c r="A41" s="11">
        <f t="shared" si="0"/>
        <v>36</v>
      </c>
      <c r="B41" s="58" t="s">
        <v>56</v>
      </c>
      <c r="C41" s="24" t="s">
        <v>301</v>
      </c>
      <c r="D41" s="11" t="s">
        <v>14</v>
      </c>
      <c r="E41" s="11" t="s">
        <v>34</v>
      </c>
      <c r="F41" s="11" t="s">
        <v>14</v>
      </c>
      <c r="G41" s="13" t="s">
        <v>298</v>
      </c>
      <c r="H41" s="52" t="s">
        <v>418</v>
      </c>
      <c r="I41" s="24" t="s">
        <v>301</v>
      </c>
      <c r="J41" s="11" t="s">
        <v>14</v>
      </c>
      <c r="K41" s="11">
        <v>64</v>
      </c>
      <c r="L41" s="11" t="s">
        <v>800</v>
      </c>
      <c r="M41" s="11" t="s">
        <v>30</v>
      </c>
      <c r="N41" s="45" t="s">
        <v>297</v>
      </c>
      <c r="O41" s="11" t="s">
        <v>44</v>
      </c>
      <c r="P41" s="11" t="s">
        <v>802</v>
      </c>
    </row>
    <row r="42" spans="1:16">
      <c r="A42" s="11">
        <f t="shared" si="0"/>
        <v>37</v>
      </c>
      <c r="B42" s="58"/>
      <c r="C42" s="55" t="s">
        <v>404</v>
      </c>
      <c r="D42" s="11" t="s">
        <v>14</v>
      </c>
      <c r="E42" s="11" t="s">
        <v>34</v>
      </c>
      <c r="F42" s="11" t="s">
        <v>14</v>
      </c>
      <c r="G42" s="43" t="s">
        <v>416</v>
      </c>
      <c r="H42" s="52" t="s">
        <v>401</v>
      </c>
      <c r="I42" s="55" t="s">
        <v>403</v>
      </c>
      <c r="J42" s="11" t="s">
        <v>14</v>
      </c>
      <c r="K42" s="11"/>
      <c r="L42" s="11" t="s">
        <v>800</v>
      </c>
      <c r="M42" s="11" t="s">
        <v>30</v>
      </c>
      <c r="N42" s="45" t="s">
        <v>297</v>
      </c>
      <c r="O42" s="11" t="s">
        <v>44</v>
      </c>
      <c r="P42" s="11" t="s">
        <v>802</v>
      </c>
    </row>
    <row r="43" spans="1:16">
      <c r="A43" s="11">
        <f t="shared" si="0"/>
        <v>38</v>
      </c>
      <c r="B43" s="58" t="s">
        <v>317</v>
      </c>
      <c r="C43" s="55" t="s">
        <v>520</v>
      </c>
      <c r="D43" s="11" t="s">
        <v>14</v>
      </c>
      <c r="E43" s="11" t="s">
        <v>34</v>
      </c>
      <c r="F43" s="11" t="s">
        <v>14</v>
      </c>
      <c r="G43" s="43" t="s">
        <v>518</v>
      </c>
      <c r="H43" s="52" t="s">
        <v>153</v>
      </c>
      <c r="I43" s="52" t="s">
        <v>517</v>
      </c>
      <c r="J43" s="11" t="s">
        <v>14</v>
      </c>
      <c r="K43" s="11">
        <v>2</v>
      </c>
      <c r="L43" s="11" t="s">
        <v>800</v>
      </c>
      <c r="M43" s="11" t="s">
        <v>30</v>
      </c>
      <c r="N43" s="45" t="s">
        <v>519</v>
      </c>
      <c r="O43" s="11" t="s">
        <v>44</v>
      </c>
      <c r="P43" s="11" t="s">
        <v>802</v>
      </c>
    </row>
    <row r="44" spans="1:16">
      <c r="A44" s="11">
        <f t="shared" si="0"/>
        <v>39</v>
      </c>
      <c r="B44" s="58"/>
      <c r="C44" s="55" t="s">
        <v>535</v>
      </c>
      <c r="D44" s="11" t="s">
        <v>14</v>
      </c>
      <c r="E44" s="11" t="s">
        <v>34</v>
      </c>
      <c r="F44" s="11" t="s">
        <v>14</v>
      </c>
      <c r="G44" s="43" t="s">
        <v>537</v>
      </c>
      <c r="H44" s="52" t="s">
        <v>538</v>
      </c>
      <c r="I44" s="52" t="s">
        <v>539</v>
      </c>
      <c r="J44" s="11" t="s">
        <v>14</v>
      </c>
      <c r="K44" s="11"/>
      <c r="L44" s="11" t="s">
        <v>800</v>
      </c>
      <c r="M44" s="11" t="s">
        <v>30</v>
      </c>
      <c r="N44" s="45" t="s">
        <v>519</v>
      </c>
      <c r="O44" s="11" t="s">
        <v>44</v>
      </c>
      <c r="P44" s="11" t="s">
        <v>802</v>
      </c>
    </row>
    <row r="45" spans="1:16">
      <c r="A45" s="11">
        <f t="shared" si="0"/>
        <v>40</v>
      </c>
      <c r="B45" s="58"/>
      <c r="C45" s="55" t="s">
        <v>633</v>
      </c>
      <c r="D45" s="11" t="s">
        <v>14</v>
      </c>
      <c r="E45" s="11" t="s">
        <v>34</v>
      </c>
      <c r="F45" s="11" t="s">
        <v>14</v>
      </c>
      <c r="G45" s="43" t="s">
        <v>537</v>
      </c>
      <c r="H45" s="52" t="s">
        <v>538</v>
      </c>
      <c r="I45" s="52" t="s">
        <v>631</v>
      </c>
      <c r="J45" s="11" t="s">
        <v>14</v>
      </c>
      <c r="K45" s="11"/>
      <c r="L45" s="11" t="s">
        <v>800</v>
      </c>
      <c r="M45" s="11" t="s">
        <v>30</v>
      </c>
      <c r="N45" s="45" t="s">
        <v>519</v>
      </c>
      <c r="O45" s="11" t="s">
        <v>44</v>
      </c>
      <c r="P45" s="11" t="s">
        <v>802</v>
      </c>
    </row>
    <row r="46" spans="1:16">
      <c r="A46" s="11">
        <f t="shared" si="0"/>
        <v>41</v>
      </c>
      <c r="B46" s="58" t="s">
        <v>318</v>
      </c>
      <c r="C46" s="55" t="s">
        <v>523</v>
      </c>
      <c r="D46" s="11" t="s">
        <v>14</v>
      </c>
      <c r="E46" s="11" t="s">
        <v>34</v>
      </c>
      <c r="F46" s="11" t="s">
        <v>14</v>
      </c>
      <c r="G46" s="43" t="s">
        <v>521</v>
      </c>
      <c r="H46" s="52" t="s">
        <v>210</v>
      </c>
      <c r="I46" s="52" t="s">
        <v>522</v>
      </c>
      <c r="J46" s="11" t="s">
        <v>14</v>
      </c>
      <c r="K46" s="11">
        <v>2</v>
      </c>
      <c r="L46" s="11" t="s">
        <v>800</v>
      </c>
      <c r="M46" s="11" t="s">
        <v>30</v>
      </c>
      <c r="N46" s="45" t="s">
        <v>524</v>
      </c>
      <c r="O46" s="11" t="s">
        <v>44</v>
      </c>
      <c r="P46" s="11" t="s">
        <v>802</v>
      </c>
    </row>
    <row r="47" spans="1:16">
      <c r="A47" s="11">
        <f t="shared" si="0"/>
        <v>42</v>
      </c>
      <c r="B47" s="58"/>
      <c r="C47" s="55" t="s">
        <v>534</v>
      </c>
      <c r="D47" s="11" t="s">
        <v>14</v>
      </c>
      <c r="E47" s="11" t="s">
        <v>34</v>
      </c>
      <c r="F47" s="11" t="s">
        <v>14</v>
      </c>
      <c r="G47" s="43" t="s">
        <v>536</v>
      </c>
      <c r="H47" s="52" t="s">
        <v>538</v>
      </c>
      <c r="I47" s="52" t="s">
        <v>540</v>
      </c>
      <c r="J47" s="11" t="s">
        <v>14</v>
      </c>
      <c r="K47" s="11"/>
      <c r="L47" s="11" t="s">
        <v>800</v>
      </c>
      <c r="M47" s="11" t="s">
        <v>30</v>
      </c>
      <c r="N47" s="45" t="s">
        <v>524</v>
      </c>
      <c r="O47" s="11" t="s">
        <v>44</v>
      </c>
      <c r="P47" s="11" t="s">
        <v>802</v>
      </c>
    </row>
    <row r="48" spans="1:16">
      <c r="A48" s="11">
        <f t="shared" si="0"/>
        <v>43</v>
      </c>
      <c r="B48" s="58"/>
      <c r="C48" s="55" t="s">
        <v>635</v>
      </c>
      <c r="D48" s="11" t="s">
        <v>14</v>
      </c>
      <c r="E48" s="11" t="s">
        <v>34</v>
      </c>
      <c r="F48" s="11" t="s">
        <v>14</v>
      </c>
      <c r="G48" s="43" t="s">
        <v>536</v>
      </c>
      <c r="H48" s="52" t="s">
        <v>538</v>
      </c>
      <c r="I48" s="52" t="s">
        <v>632</v>
      </c>
      <c r="J48" s="11" t="s">
        <v>14</v>
      </c>
      <c r="K48" s="11"/>
      <c r="L48" s="11" t="s">
        <v>800</v>
      </c>
      <c r="M48" s="11" t="s">
        <v>30</v>
      </c>
      <c r="N48" s="45" t="s">
        <v>524</v>
      </c>
      <c r="O48" s="11" t="s">
        <v>44</v>
      </c>
      <c r="P48" s="11" t="s">
        <v>802</v>
      </c>
    </row>
    <row r="49" spans="1:47">
      <c r="A49" s="11">
        <f t="shared" si="0"/>
        <v>44</v>
      </c>
      <c r="B49" s="58" t="s">
        <v>710</v>
      </c>
      <c r="C49" s="55" t="s">
        <v>550</v>
      </c>
      <c r="D49" s="11" t="s">
        <v>14</v>
      </c>
      <c r="E49" s="91" t="s">
        <v>34</v>
      </c>
      <c r="F49" s="11" t="s">
        <v>14</v>
      </c>
      <c r="G49" s="66" t="s">
        <v>549</v>
      </c>
      <c r="H49" s="52" t="s">
        <v>51</v>
      </c>
      <c r="I49" s="52" t="s">
        <v>639</v>
      </c>
      <c r="J49" s="11" t="s">
        <v>14</v>
      </c>
      <c r="K49" s="11">
        <v>1</v>
      </c>
      <c r="L49" s="11" t="s">
        <v>800</v>
      </c>
      <c r="M49" s="11" t="s">
        <v>30</v>
      </c>
      <c r="N49" s="45" t="s">
        <v>638</v>
      </c>
      <c r="O49" s="11" t="s">
        <v>44</v>
      </c>
      <c r="P49" s="11" t="s">
        <v>802</v>
      </c>
    </row>
    <row r="50" spans="1:47">
      <c r="A50" s="11">
        <f t="shared" si="0"/>
        <v>45</v>
      </c>
      <c r="B50" s="58"/>
      <c r="C50" s="55" t="s">
        <v>706</v>
      </c>
      <c r="D50" s="11" t="s">
        <v>14</v>
      </c>
      <c r="E50" s="91" t="s">
        <v>34</v>
      </c>
      <c r="F50" s="11" t="s">
        <v>14</v>
      </c>
      <c r="G50" s="66" t="s">
        <v>549</v>
      </c>
      <c r="H50" s="52" t="s">
        <v>705</v>
      </c>
      <c r="I50" s="52" t="s">
        <v>704</v>
      </c>
      <c r="J50" s="11" t="s">
        <v>14</v>
      </c>
      <c r="K50" s="11"/>
      <c r="L50" s="11" t="s">
        <v>800</v>
      </c>
      <c r="M50" s="11" t="s">
        <v>30</v>
      </c>
      <c r="N50" s="45" t="s">
        <v>638</v>
      </c>
      <c r="O50" s="11" t="s">
        <v>44</v>
      </c>
      <c r="P50" s="11" t="s">
        <v>802</v>
      </c>
    </row>
    <row r="51" spans="1:47">
      <c r="A51" s="11">
        <f t="shared" si="0"/>
        <v>46</v>
      </c>
      <c r="B51" s="58" t="s">
        <v>746</v>
      </c>
      <c r="C51" s="55" t="s">
        <v>747</v>
      </c>
      <c r="D51" s="11" t="s">
        <v>14</v>
      </c>
      <c r="E51" s="91" t="s">
        <v>34</v>
      </c>
      <c r="F51" s="11" t="s">
        <v>14</v>
      </c>
      <c r="G51" s="66" t="s">
        <v>744</v>
      </c>
      <c r="H51" s="55" t="s">
        <v>743</v>
      </c>
      <c r="I51" s="55" t="s">
        <v>747</v>
      </c>
      <c r="J51" s="11" t="s">
        <v>14</v>
      </c>
      <c r="K51" s="11">
        <v>1</v>
      </c>
      <c r="L51" s="11" t="s">
        <v>800</v>
      </c>
      <c r="M51" s="11" t="s">
        <v>30</v>
      </c>
      <c r="N51" s="45"/>
      <c r="O51" s="11" t="s">
        <v>44</v>
      </c>
      <c r="P51" s="11" t="s">
        <v>802</v>
      </c>
    </row>
    <row r="52" spans="1:47" s="212" customFormat="1">
      <c r="A52" s="200">
        <f t="shared" si="0"/>
        <v>47</v>
      </c>
      <c r="B52" s="201" t="s">
        <v>757</v>
      </c>
      <c r="C52" s="208" t="s">
        <v>751</v>
      </c>
      <c r="D52" s="200" t="s">
        <v>14</v>
      </c>
      <c r="E52" s="203" t="s">
        <v>34</v>
      </c>
      <c r="F52" s="200" t="s">
        <v>14</v>
      </c>
      <c r="G52" s="209" t="s">
        <v>748</v>
      </c>
      <c r="H52" s="210" t="s">
        <v>749</v>
      </c>
      <c r="I52" s="208" t="s">
        <v>750</v>
      </c>
      <c r="J52" s="200" t="s">
        <v>14</v>
      </c>
      <c r="K52" s="200">
        <v>4</v>
      </c>
      <c r="L52" s="200" t="s">
        <v>800</v>
      </c>
      <c r="M52" s="200" t="s">
        <v>30</v>
      </c>
      <c r="N52" s="211"/>
      <c r="O52" s="200" t="s">
        <v>44</v>
      </c>
      <c r="P52" s="200" t="s">
        <v>802</v>
      </c>
    </row>
    <row r="53" spans="1:47" s="212" customFormat="1">
      <c r="A53" s="200">
        <f t="shared" si="0"/>
        <v>48</v>
      </c>
      <c r="B53" s="201" t="s">
        <v>555</v>
      </c>
      <c r="C53" s="200" t="s">
        <v>789</v>
      </c>
      <c r="D53" s="200" t="s">
        <v>14</v>
      </c>
      <c r="E53" s="203" t="s">
        <v>34</v>
      </c>
      <c r="F53" s="200" t="s">
        <v>14</v>
      </c>
      <c r="G53" s="209" t="s">
        <v>786</v>
      </c>
      <c r="H53" s="210" t="s">
        <v>787</v>
      </c>
      <c r="I53" s="208" t="s">
        <v>785</v>
      </c>
      <c r="J53" s="200" t="s">
        <v>14</v>
      </c>
      <c r="K53" s="200">
        <v>1</v>
      </c>
      <c r="L53" s="200" t="s">
        <v>800</v>
      </c>
      <c r="M53" s="200" t="s">
        <v>30</v>
      </c>
      <c r="N53" s="211"/>
      <c r="O53" s="200" t="s">
        <v>44</v>
      </c>
      <c r="P53" s="200" t="s">
        <v>802</v>
      </c>
    </row>
    <row r="54" spans="1:47" s="206" customFormat="1">
      <c r="A54" s="200">
        <f t="shared" si="0"/>
        <v>49</v>
      </c>
      <c r="B54" s="201" t="s">
        <v>556</v>
      </c>
      <c r="C54" s="200" t="s">
        <v>211</v>
      </c>
      <c r="D54" s="200" t="s">
        <v>30</v>
      </c>
      <c r="E54" s="200" t="s">
        <v>527</v>
      </c>
      <c r="F54" s="200" t="s">
        <v>14</v>
      </c>
      <c r="G54" s="204" t="s">
        <v>209</v>
      </c>
      <c r="H54" s="200" t="s">
        <v>210</v>
      </c>
      <c r="I54" s="202" t="s">
        <v>213</v>
      </c>
      <c r="J54" s="200" t="s">
        <v>30</v>
      </c>
      <c r="K54" s="200">
        <v>8</v>
      </c>
      <c r="L54" s="200" t="s">
        <v>800</v>
      </c>
      <c r="M54" s="200" t="s">
        <v>30</v>
      </c>
      <c r="N54" s="205"/>
      <c r="O54" s="200" t="s">
        <v>50</v>
      </c>
      <c r="P54" s="200" t="s">
        <v>803</v>
      </c>
    </row>
    <row r="55" spans="1:47" s="206" customFormat="1">
      <c r="A55" s="200">
        <f t="shared" si="0"/>
        <v>50</v>
      </c>
      <c r="B55" s="201"/>
      <c r="C55" s="200" t="s">
        <v>212</v>
      </c>
      <c r="D55" s="200" t="s">
        <v>30</v>
      </c>
      <c r="E55" s="200" t="s">
        <v>527</v>
      </c>
      <c r="F55" s="200" t="s">
        <v>14</v>
      </c>
      <c r="G55" s="207" t="s">
        <v>209</v>
      </c>
      <c r="H55" s="200" t="s">
        <v>57</v>
      </c>
      <c r="I55" s="202" t="s">
        <v>214</v>
      </c>
      <c r="J55" s="200" t="s">
        <v>30</v>
      </c>
      <c r="K55" s="200"/>
      <c r="L55" s="200" t="s">
        <v>800</v>
      </c>
      <c r="M55" s="200" t="s">
        <v>30</v>
      </c>
      <c r="N55" s="205"/>
      <c r="O55" s="200" t="s">
        <v>50</v>
      </c>
      <c r="P55" s="200" t="s">
        <v>803</v>
      </c>
    </row>
    <row r="56" spans="1:47" s="39" customFormat="1" ht="14.5">
      <c r="A56" s="128">
        <f t="shared" si="0"/>
        <v>51</v>
      </c>
      <c r="B56" s="135" t="s">
        <v>557</v>
      </c>
      <c r="C56" s="128" t="s">
        <v>456</v>
      </c>
      <c r="D56" s="136" t="s">
        <v>30</v>
      </c>
      <c r="E56" s="123" t="s">
        <v>528</v>
      </c>
      <c r="F56" s="128" t="s">
        <v>14</v>
      </c>
      <c r="G56" s="127" t="s">
        <v>424</v>
      </c>
      <c r="H56" s="125" t="s">
        <v>464</v>
      </c>
      <c r="I56" s="125" t="s">
        <v>456</v>
      </c>
      <c r="J56" s="128" t="s">
        <v>30</v>
      </c>
      <c r="K56" s="128">
        <v>1</v>
      </c>
      <c r="L56" s="128" t="s">
        <v>800</v>
      </c>
      <c r="M56" s="128" t="s">
        <v>30</v>
      </c>
      <c r="N56" s="137"/>
      <c r="O56" s="128" t="s">
        <v>50</v>
      </c>
      <c r="P56" s="128" t="s">
        <v>802</v>
      </c>
    </row>
    <row r="57" spans="1:47" s="39" customFormat="1" ht="14.5">
      <c r="A57" s="128">
        <f t="shared" si="0"/>
        <v>52</v>
      </c>
      <c r="B57" s="135"/>
      <c r="C57" s="128" t="s">
        <v>462</v>
      </c>
      <c r="D57" s="136" t="s">
        <v>30</v>
      </c>
      <c r="E57" s="123" t="s">
        <v>528</v>
      </c>
      <c r="F57" s="128" t="s">
        <v>14</v>
      </c>
      <c r="G57" s="127" t="s">
        <v>425</v>
      </c>
      <c r="H57" s="125" t="s">
        <v>464</v>
      </c>
      <c r="I57" s="125" t="s">
        <v>462</v>
      </c>
      <c r="J57" s="128" t="s">
        <v>30</v>
      </c>
      <c r="K57" s="128"/>
      <c r="L57" s="128" t="s">
        <v>800</v>
      </c>
      <c r="M57" s="128" t="s">
        <v>30</v>
      </c>
      <c r="N57" s="137"/>
      <c r="O57" s="128" t="s">
        <v>50</v>
      </c>
      <c r="P57" s="128" t="s">
        <v>802</v>
      </c>
    </row>
    <row r="58" spans="1:47" s="39" customFormat="1" ht="14.5">
      <c r="A58" s="128">
        <f t="shared" si="0"/>
        <v>53</v>
      </c>
      <c r="B58" s="135"/>
      <c r="C58" s="128" t="s">
        <v>463</v>
      </c>
      <c r="D58" s="136" t="s">
        <v>30</v>
      </c>
      <c r="E58" s="123" t="s">
        <v>528</v>
      </c>
      <c r="F58" s="128" t="s">
        <v>14</v>
      </c>
      <c r="G58" s="127" t="s">
        <v>465</v>
      </c>
      <c r="H58" s="125" t="s">
        <v>464</v>
      </c>
      <c r="I58" s="125" t="s">
        <v>463</v>
      </c>
      <c r="J58" s="128" t="s">
        <v>30</v>
      </c>
      <c r="K58" s="128"/>
      <c r="L58" s="128" t="s">
        <v>800</v>
      </c>
      <c r="M58" s="128" t="s">
        <v>30</v>
      </c>
      <c r="N58" s="137"/>
      <c r="O58" s="128" t="s">
        <v>50</v>
      </c>
      <c r="P58" s="128" t="s">
        <v>802</v>
      </c>
    </row>
    <row r="59" spans="1:47" s="45" customFormat="1">
      <c r="A59" s="128">
        <f t="shared" si="0"/>
        <v>54</v>
      </c>
      <c r="B59" s="156"/>
      <c r="C59" s="157" t="s">
        <v>775</v>
      </c>
      <c r="D59" s="158" t="s">
        <v>30</v>
      </c>
      <c r="E59" s="159" t="s">
        <v>528</v>
      </c>
      <c r="F59" s="157" t="s">
        <v>14</v>
      </c>
      <c r="G59" s="160" t="s">
        <v>726</v>
      </c>
      <c r="H59" s="161" t="s">
        <v>464</v>
      </c>
      <c r="I59" s="161" t="str">
        <f>C59</f>
        <v>TEMP-S000229174</v>
      </c>
      <c r="J59" s="157" t="s">
        <v>30</v>
      </c>
      <c r="K59" s="157"/>
      <c r="L59" s="128" t="s">
        <v>800</v>
      </c>
      <c r="M59" s="128" t="s">
        <v>30</v>
      </c>
      <c r="N59" s="162"/>
      <c r="O59" s="157" t="s">
        <v>50</v>
      </c>
      <c r="P59" s="128" t="s">
        <v>802</v>
      </c>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row>
    <row r="60" spans="1:47" s="25" customFormat="1" ht="14.5">
      <c r="A60" s="123">
        <f>ROW(A60)-5</f>
        <v>55</v>
      </c>
      <c r="B60" s="135" t="s">
        <v>752</v>
      </c>
      <c r="C60" s="123" t="s">
        <v>383</v>
      </c>
      <c r="D60" s="123" t="s">
        <v>30</v>
      </c>
      <c r="E60" s="126" t="s">
        <v>34</v>
      </c>
      <c r="F60" s="123" t="s">
        <v>30</v>
      </c>
      <c r="G60" s="144" t="s">
        <v>312</v>
      </c>
      <c r="H60" s="123" t="s">
        <v>51</v>
      </c>
      <c r="I60" s="123" t="s">
        <v>383</v>
      </c>
      <c r="J60" s="145" t="s">
        <v>127</v>
      </c>
      <c r="K60" s="145">
        <v>1</v>
      </c>
      <c r="L60" s="128" t="s">
        <v>800</v>
      </c>
      <c r="M60" s="128" t="s">
        <v>30</v>
      </c>
      <c r="N60" s="147"/>
      <c r="O60" s="146" t="s">
        <v>50</v>
      </c>
      <c r="P60" s="128" t="s">
        <v>802</v>
      </c>
    </row>
    <row r="61" spans="1:47" s="17" customFormat="1">
      <c r="A61" s="11">
        <f t="shared" si="0"/>
        <v>56</v>
      </c>
      <c r="B61" s="47" t="s">
        <v>753</v>
      </c>
      <c r="C61" s="11" t="s">
        <v>249</v>
      </c>
      <c r="D61" s="11" t="s">
        <v>30</v>
      </c>
      <c r="E61" s="92" t="s">
        <v>479</v>
      </c>
      <c r="F61" s="11" t="s">
        <v>14</v>
      </c>
      <c r="G61" s="13" t="s">
        <v>267</v>
      </c>
      <c r="H61" s="11" t="s">
        <v>39</v>
      </c>
      <c r="I61" s="24" t="s">
        <v>233</v>
      </c>
      <c r="J61" s="11" t="s">
        <v>700</v>
      </c>
      <c r="K61" s="11">
        <v>1</v>
      </c>
      <c r="L61" s="11" t="s">
        <v>800</v>
      </c>
      <c r="M61" s="11" t="s">
        <v>30</v>
      </c>
      <c r="N61" s="70" t="s">
        <v>268</v>
      </c>
      <c r="O61" s="11" t="s">
        <v>45</v>
      </c>
      <c r="P61" s="11" t="s">
        <v>802</v>
      </c>
    </row>
    <row r="62" spans="1:47" s="17" customFormat="1">
      <c r="A62" s="11">
        <f t="shared" si="0"/>
        <v>57</v>
      </c>
      <c r="B62" s="47" t="s">
        <v>758</v>
      </c>
      <c r="C62" s="55" t="s">
        <v>796</v>
      </c>
      <c r="D62" s="11" t="s">
        <v>30</v>
      </c>
      <c r="E62" s="92" t="s">
        <v>480</v>
      </c>
      <c r="F62" s="11" t="s">
        <v>14</v>
      </c>
      <c r="G62" s="13" t="s">
        <v>797</v>
      </c>
      <c r="H62" s="11" t="s">
        <v>39</v>
      </c>
      <c r="I62" s="24" t="s">
        <v>234</v>
      </c>
      <c r="J62" s="52" t="s">
        <v>773</v>
      </c>
      <c r="K62" s="11">
        <v>1</v>
      </c>
      <c r="L62" s="11" t="s">
        <v>800</v>
      </c>
      <c r="M62" s="11" t="s">
        <v>30</v>
      </c>
      <c r="N62" s="48" t="s">
        <v>192</v>
      </c>
      <c r="O62" s="11" t="s">
        <v>45</v>
      </c>
      <c r="P62" s="11" t="s">
        <v>802</v>
      </c>
    </row>
    <row r="63" spans="1:47" s="17" customFormat="1">
      <c r="A63" s="11">
        <f t="shared" si="0"/>
        <v>58</v>
      </c>
      <c r="B63" s="47" t="s">
        <v>155</v>
      </c>
      <c r="C63" s="52" t="s">
        <v>782</v>
      </c>
      <c r="D63" s="11" t="s">
        <v>30</v>
      </c>
      <c r="E63" s="92" t="s">
        <v>30</v>
      </c>
      <c r="F63" s="11" t="s">
        <v>14</v>
      </c>
      <c r="G63" s="13" t="s">
        <v>328</v>
      </c>
      <c r="H63" s="11" t="s">
        <v>39</v>
      </c>
      <c r="I63" s="55" t="s">
        <v>783</v>
      </c>
      <c r="J63" s="11" t="s">
        <v>703</v>
      </c>
      <c r="K63" s="11">
        <v>1</v>
      </c>
      <c r="L63" s="11" t="s">
        <v>800</v>
      </c>
      <c r="M63" s="11" t="s">
        <v>30</v>
      </c>
      <c r="N63" s="48" t="s">
        <v>320</v>
      </c>
      <c r="O63" s="11" t="s">
        <v>45</v>
      </c>
      <c r="P63" s="11" t="s">
        <v>802</v>
      </c>
    </row>
    <row r="64" spans="1:47" s="17" customFormat="1">
      <c r="A64" s="11">
        <f t="shared" si="0"/>
        <v>59</v>
      </c>
      <c r="B64" s="47" t="s">
        <v>121</v>
      </c>
      <c r="C64" s="55" t="s">
        <v>770</v>
      </c>
      <c r="D64" s="11" t="s">
        <v>30</v>
      </c>
      <c r="E64" s="92" t="s">
        <v>482</v>
      </c>
      <c r="F64" s="11" t="s">
        <v>14</v>
      </c>
      <c r="G64" s="13" t="s">
        <v>771</v>
      </c>
      <c r="H64" s="11" t="s">
        <v>39</v>
      </c>
      <c r="I64" s="24" t="s">
        <v>236</v>
      </c>
      <c r="J64" s="52" t="s">
        <v>702</v>
      </c>
      <c r="K64" s="11">
        <v>1</v>
      </c>
      <c r="L64" s="11" t="s">
        <v>800</v>
      </c>
      <c r="M64" s="11" t="s">
        <v>30</v>
      </c>
      <c r="N64" s="48" t="s">
        <v>194</v>
      </c>
      <c r="O64" s="11" t="s">
        <v>45</v>
      </c>
      <c r="P64" s="11" t="s">
        <v>802</v>
      </c>
    </row>
    <row r="65" spans="1:16" s="17" customFormat="1">
      <c r="A65" s="11">
        <f t="shared" si="0"/>
        <v>60</v>
      </c>
      <c r="B65" s="47" t="s">
        <v>122</v>
      </c>
      <c r="C65" s="11" t="s">
        <v>637</v>
      </c>
      <c r="D65" s="11" t="s">
        <v>30</v>
      </c>
      <c r="E65" s="92" t="s">
        <v>30</v>
      </c>
      <c r="F65" s="11" t="s">
        <v>14</v>
      </c>
      <c r="G65" s="13" t="s">
        <v>327</v>
      </c>
      <c r="H65" s="11" t="s">
        <v>39</v>
      </c>
      <c r="I65" s="24" t="s">
        <v>459</v>
      </c>
      <c r="J65" s="11" t="s">
        <v>703</v>
      </c>
      <c r="K65" s="11">
        <v>1</v>
      </c>
      <c r="L65" s="11" t="s">
        <v>800</v>
      </c>
      <c r="M65" s="11" t="s">
        <v>30</v>
      </c>
      <c r="N65" s="48" t="s">
        <v>321</v>
      </c>
      <c r="O65" s="11" t="s">
        <v>45</v>
      </c>
      <c r="P65" s="11" t="s">
        <v>802</v>
      </c>
    </row>
    <row r="66" spans="1:16" s="17" customFormat="1">
      <c r="A66" s="11">
        <f t="shared" si="0"/>
        <v>61</v>
      </c>
      <c r="B66" s="47" t="s">
        <v>123</v>
      </c>
      <c r="C66" s="11" t="s">
        <v>251</v>
      </c>
      <c r="D66" s="11" t="s">
        <v>30</v>
      </c>
      <c r="E66" s="92" t="s">
        <v>484</v>
      </c>
      <c r="F66" s="11" t="s">
        <v>14</v>
      </c>
      <c r="G66" s="43" t="s">
        <v>166</v>
      </c>
      <c r="H66" s="11" t="s">
        <v>39</v>
      </c>
      <c r="I66" s="24" t="s">
        <v>238</v>
      </c>
      <c r="J66" s="11" t="s">
        <v>701</v>
      </c>
      <c r="K66" s="11">
        <v>1</v>
      </c>
      <c r="L66" s="11" t="s">
        <v>800</v>
      </c>
      <c r="M66" s="11" t="s">
        <v>30</v>
      </c>
      <c r="N66" s="48" t="s">
        <v>196</v>
      </c>
      <c r="O66" s="11" t="s">
        <v>45</v>
      </c>
      <c r="P66" s="11" t="s">
        <v>802</v>
      </c>
    </row>
    <row r="67" spans="1:16" s="17" customFormat="1">
      <c r="A67" s="11">
        <f t="shared" si="0"/>
        <v>62</v>
      </c>
      <c r="B67" s="47" t="s">
        <v>124</v>
      </c>
      <c r="C67" s="11" t="s">
        <v>252</v>
      </c>
      <c r="D67" s="11" t="s">
        <v>30</v>
      </c>
      <c r="E67" s="92" t="s">
        <v>485</v>
      </c>
      <c r="F67" s="11" t="s">
        <v>14</v>
      </c>
      <c r="G67" s="43" t="s">
        <v>167</v>
      </c>
      <c r="H67" s="11" t="s">
        <v>39</v>
      </c>
      <c r="I67" s="24" t="s">
        <v>239</v>
      </c>
      <c r="J67" s="11" t="s">
        <v>701</v>
      </c>
      <c r="K67" s="11">
        <v>1</v>
      </c>
      <c r="L67" s="11" t="s">
        <v>800</v>
      </c>
      <c r="M67" s="11" t="s">
        <v>30</v>
      </c>
      <c r="N67" s="48" t="s">
        <v>197</v>
      </c>
      <c r="O67" s="11" t="s">
        <v>45</v>
      </c>
      <c r="P67" s="11" t="s">
        <v>802</v>
      </c>
    </row>
    <row r="68" spans="1:16" s="17" customFormat="1">
      <c r="A68" s="11">
        <f t="shared" si="0"/>
        <v>63</v>
      </c>
      <c r="B68" s="47" t="s">
        <v>156</v>
      </c>
      <c r="C68" s="11" t="s">
        <v>253</v>
      </c>
      <c r="D68" s="11" t="s">
        <v>30</v>
      </c>
      <c r="E68" s="92" t="s">
        <v>486</v>
      </c>
      <c r="F68" s="11" t="s">
        <v>14</v>
      </c>
      <c r="G68" s="43" t="s">
        <v>168</v>
      </c>
      <c r="H68" s="11" t="s">
        <v>39</v>
      </c>
      <c r="I68" s="24" t="s">
        <v>240</v>
      </c>
      <c r="J68" s="11" t="s">
        <v>701</v>
      </c>
      <c r="K68" s="11">
        <v>1</v>
      </c>
      <c r="L68" s="11" t="s">
        <v>800</v>
      </c>
      <c r="M68" s="11" t="s">
        <v>30</v>
      </c>
      <c r="N68" s="48" t="s">
        <v>198</v>
      </c>
      <c r="O68" s="11" t="s">
        <v>45</v>
      </c>
      <c r="P68" s="11" t="s">
        <v>802</v>
      </c>
    </row>
    <row r="69" spans="1:16" s="17" customFormat="1">
      <c r="A69" s="11">
        <f t="shared" si="0"/>
        <v>64</v>
      </c>
      <c r="B69" s="47" t="s">
        <v>157</v>
      </c>
      <c r="C69" s="11" t="s">
        <v>254</v>
      </c>
      <c r="D69" s="11" t="s">
        <v>30</v>
      </c>
      <c r="E69" s="92" t="s">
        <v>487</v>
      </c>
      <c r="F69" s="11" t="s">
        <v>14</v>
      </c>
      <c r="G69" s="43" t="s">
        <v>164</v>
      </c>
      <c r="H69" s="11" t="s">
        <v>39</v>
      </c>
      <c r="I69" s="24" t="s">
        <v>241</v>
      </c>
      <c r="J69" s="11" t="s">
        <v>701</v>
      </c>
      <c r="K69" s="11">
        <v>1</v>
      </c>
      <c r="L69" s="11" t="s">
        <v>800</v>
      </c>
      <c r="M69" s="11" t="s">
        <v>30</v>
      </c>
      <c r="N69" s="48" t="s">
        <v>199</v>
      </c>
      <c r="O69" s="11" t="s">
        <v>45</v>
      </c>
      <c r="P69" s="11" t="s">
        <v>802</v>
      </c>
    </row>
    <row r="70" spans="1:16" s="17" customFormat="1">
      <c r="A70" s="11">
        <f t="shared" si="0"/>
        <v>65</v>
      </c>
      <c r="B70" s="47" t="s">
        <v>176</v>
      </c>
      <c r="C70" s="11" t="s">
        <v>323</v>
      </c>
      <c r="D70" s="11" t="s">
        <v>30</v>
      </c>
      <c r="E70" s="92" t="s">
        <v>488</v>
      </c>
      <c r="F70" s="11" t="s">
        <v>14</v>
      </c>
      <c r="G70" s="43" t="s">
        <v>169</v>
      </c>
      <c r="H70" s="11" t="s">
        <v>39</v>
      </c>
      <c r="I70" s="24" t="s">
        <v>242</v>
      </c>
      <c r="J70" s="11" t="s">
        <v>701</v>
      </c>
      <c r="K70" s="11">
        <v>1</v>
      </c>
      <c r="L70" s="11" t="s">
        <v>800</v>
      </c>
      <c r="M70" s="11" t="s">
        <v>30</v>
      </c>
      <c r="N70" s="48" t="s">
        <v>200</v>
      </c>
      <c r="O70" s="11" t="s">
        <v>45</v>
      </c>
      <c r="P70" s="11" t="s">
        <v>802</v>
      </c>
    </row>
    <row r="71" spans="1:16" s="17" customFormat="1">
      <c r="A71" s="11">
        <f t="shared" si="0"/>
        <v>66</v>
      </c>
      <c r="B71" s="47" t="s">
        <v>158</v>
      </c>
      <c r="C71" s="11" t="s">
        <v>255</v>
      </c>
      <c r="D71" s="11" t="s">
        <v>30</v>
      </c>
      <c r="E71" s="92" t="s">
        <v>489</v>
      </c>
      <c r="F71" s="11" t="s">
        <v>14</v>
      </c>
      <c r="G71" s="43" t="s">
        <v>165</v>
      </c>
      <c r="H71" s="11" t="s">
        <v>39</v>
      </c>
      <c r="I71" s="24" t="s">
        <v>243</v>
      </c>
      <c r="J71" s="11" t="s">
        <v>701</v>
      </c>
      <c r="K71" s="11">
        <v>1</v>
      </c>
      <c r="L71" s="11" t="s">
        <v>800</v>
      </c>
      <c r="M71" s="11" t="s">
        <v>30</v>
      </c>
      <c r="N71" s="48" t="s">
        <v>201</v>
      </c>
      <c r="O71" s="11" t="s">
        <v>45</v>
      </c>
      <c r="P71" s="11" t="s">
        <v>802</v>
      </c>
    </row>
    <row r="72" spans="1:16" s="17" customFormat="1">
      <c r="A72" s="11">
        <f t="shared" si="0"/>
        <v>67</v>
      </c>
      <c r="B72" s="47" t="s">
        <v>270</v>
      </c>
      <c r="C72" s="11" t="s">
        <v>256</v>
      </c>
      <c r="D72" s="11" t="s">
        <v>30</v>
      </c>
      <c r="E72" s="92" t="s">
        <v>490</v>
      </c>
      <c r="F72" s="11" t="s">
        <v>14</v>
      </c>
      <c r="G72" s="43" t="s">
        <v>170</v>
      </c>
      <c r="H72" s="11" t="s">
        <v>39</v>
      </c>
      <c r="I72" s="24" t="s">
        <v>244</v>
      </c>
      <c r="J72" s="11" t="s">
        <v>701</v>
      </c>
      <c r="K72" s="11">
        <v>1</v>
      </c>
      <c r="L72" s="11" t="s">
        <v>800</v>
      </c>
      <c r="M72" s="11" t="s">
        <v>30</v>
      </c>
      <c r="N72" s="48" t="s">
        <v>202</v>
      </c>
      <c r="O72" s="11" t="s">
        <v>45</v>
      </c>
      <c r="P72" s="11" t="s">
        <v>802</v>
      </c>
    </row>
    <row r="73" spans="1:16" s="17" customFormat="1">
      <c r="A73" s="11">
        <f t="shared" si="0"/>
        <v>68</v>
      </c>
      <c r="B73" s="47" t="s">
        <v>271</v>
      </c>
      <c r="C73" s="11" t="s">
        <v>262</v>
      </c>
      <c r="D73" s="11" t="s">
        <v>30</v>
      </c>
      <c r="E73" s="92" t="s">
        <v>491</v>
      </c>
      <c r="F73" s="11" t="s">
        <v>14</v>
      </c>
      <c r="G73" s="43" t="s">
        <v>163</v>
      </c>
      <c r="H73" s="11" t="s">
        <v>39</v>
      </c>
      <c r="I73" s="54" t="s">
        <v>265</v>
      </c>
      <c r="J73" s="11" t="s">
        <v>700</v>
      </c>
      <c r="K73" s="11">
        <v>1</v>
      </c>
      <c r="L73" s="11" t="s">
        <v>800</v>
      </c>
      <c r="M73" s="11" t="s">
        <v>30</v>
      </c>
      <c r="N73" s="48" t="s">
        <v>203</v>
      </c>
      <c r="O73" s="11" t="s">
        <v>45</v>
      </c>
      <c r="P73" s="11" t="s">
        <v>802</v>
      </c>
    </row>
    <row r="74" spans="1:16" s="17" customFormat="1">
      <c r="A74" s="11">
        <f t="shared" si="0"/>
        <v>69</v>
      </c>
      <c r="B74" s="47" t="s">
        <v>272</v>
      </c>
      <c r="C74" s="11" t="s">
        <v>257</v>
      </c>
      <c r="D74" s="11" t="s">
        <v>30</v>
      </c>
      <c r="E74" s="92" t="s">
        <v>492</v>
      </c>
      <c r="F74" s="11" t="s">
        <v>14</v>
      </c>
      <c r="G74" s="43" t="s">
        <v>171</v>
      </c>
      <c r="H74" s="11" t="s">
        <v>39</v>
      </c>
      <c r="I74" s="24" t="s">
        <v>245</v>
      </c>
      <c r="J74" s="11" t="s">
        <v>703</v>
      </c>
      <c r="K74" s="11">
        <v>1</v>
      </c>
      <c r="L74" s="11" t="s">
        <v>800</v>
      </c>
      <c r="M74" s="11" t="s">
        <v>30</v>
      </c>
      <c r="N74" s="48" t="s">
        <v>204</v>
      </c>
      <c r="O74" s="11" t="s">
        <v>45</v>
      </c>
      <c r="P74" s="11" t="s">
        <v>802</v>
      </c>
    </row>
    <row r="75" spans="1:16" s="17" customFormat="1">
      <c r="A75" s="11">
        <f t="shared" si="0"/>
        <v>70</v>
      </c>
      <c r="B75" s="47" t="s">
        <v>558</v>
      </c>
      <c r="C75" s="11" t="s">
        <v>258</v>
      </c>
      <c r="D75" s="11" t="s">
        <v>30</v>
      </c>
      <c r="E75" s="92" t="s">
        <v>493</v>
      </c>
      <c r="F75" s="11" t="s">
        <v>14</v>
      </c>
      <c r="G75" s="43" t="s">
        <v>172</v>
      </c>
      <c r="H75" s="11" t="s">
        <v>39</v>
      </c>
      <c r="I75" s="24" t="s">
        <v>246</v>
      </c>
      <c r="J75" s="11" t="s">
        <v>703</v>
      </c>
      <c r="K75" s="11">
        <v>1</v>
      </c>
      <c r="L75" s="11" t="s">
        <v>800</v>
      </c>
      <c r="M75" s="11" t="s">
        <v>30</v>
      </c>
      <c r="N75" s="48" t="s">
        <v>205</v>
      </c>
      <c r="O75" s="11" t="s">
        <v>45</v>
      </c>
      <c r="P75" s="11" t="s">
        <v>802</v>
      </c>
    </row>
    <row r="76" spans="1:16" s="17" customFormat="1">
      <c r="A76" s="11">
        <f t="shared" si="0"/>
        <v>71</v>
      </c>
      <c r="B76" s="47" t="s">
        <v>559</v>
      </c>
      <c r="C76" s="11" t="s">
        <v>259</v>
      </c>
      <c r="D76" s="11" t="s">
        <v>30</v>
      </c>
      <c r="E76" s="92" t="s">
        <v>494</v>
      </c>
      <c r="F76" s="11" t="s">
        <v>14</v>
      </c>
      <c r="G76" s="43" t="s">
        <v>190</v>
      </c>
      <c r="H76" s="11" t="s">
        <v>39</v>
      </c>
      <c r="I76" s="24" t="s">
        <v>247</v>
      </c>
      <c r="J76" s="11" t="s">
        <v>703</v>
      </c>
      <c r="K76" s="11">
        <v>1</v>
      </c>
      <c r="L76" s="11" t="s">
        <v>800</v>
      </c>
      <c r="M76" s="11" t="s">
        <v>30</v>
      </c>
      <c r="N76" s="48" t="s">
        <v>206</v>
      </c>
      <c r="O76" s="11" t="s">
        <v>45</v>
      </c>
      <c r="P76" s="11" t="s">
        <v>802</v>
      </c>
    </row>
    <row r="77" spans="1:16" s="17" customFormat="1">
      <c r="A77" s="11">
        <f t="shared" si="0"/>
        <v>72</v>
      </c>
      <c r="B77" s="47" t="s">
        <v>754</v>
      </c>
      <c r="C77" s="11" t="s">
        <v>260</v>
      </c>
      <c r="D77" s="11" t="s">
        <v>30</v>
      </c>
      <c r="E77" s="92" t="s">
        <v>495</v>
      </c>
      <c r="F77" s="11" t="s">
        <v>14</v>
      </c>
      <c r="G77" s="43" t="s">
        <v>191</v>
      </c>
      <c r="H77" s="11" t="s">
        <v>39</v>
      </c>
      <c r="I77" s="24" t="s">
        <v>248</v>
      </c>
      <c r="J77" s="11" t="s">
        <v>703</v>
      </c>
      <c r="K77" s="11">
        <v>1</v>
      </c>
      <c r="L77" s="11" t="s">
        <v>800</v>
      </c>
      <c r="M77" s="11" t="s">
        <v>30</v>
      </c>
      <c r="N77" s="48" t="s">
        <v>207</v>
      </c>
      <c r="O77" s="11" t="s">
        <v>45</v>
      </c>
      <c r="P77" s="11" t="s">
        <v>802</v>
      </c>
    </row>
    <row r="78" spans="1:16" s="17" customFormat="1">
      <c r="A78" s="11">
        <f t="shared" si="0"/>
        <v>73</v>
      </c>
      <c r="B78" s="47" t="s">
        <v>755</v>
      </c>
      <c r="C78" s="11" t="s">
        <v>263</v>
      </c>
      <c r="D78" s="11" t="s">
        <v>30</v>
      </c>
      <c r="E78" s="92" t="s">
        <v>496</v>
      </c>
      <c r="F78" s="11" t="s">
        <v>14</v>
      </c>
      <c r="G78" s="43" t="s">
        <v>208</v>
      </c>
      <c r="H78" s="11" t="s">
        <v>39</v>
      </c>
      <c r="I78" s="24" t="s">
        <v>264</v>
      </c>
      <c r="J78" s="11" t="s">
        <v>703</v>
      </c>
      <c r="K78" s="11">
        <v>1</v>
      </c>
      <c r="L78" s="11" t="s">
        <v>800</v>
      </c>
      <c r="M78" s="11" t="s">
        <v>30</v>
      </c>
      <c r="N78" s="48" t="s">
        <v>215</v>
      </c>
      <c r="O78" s="11" t="s">
        <v>45</v>
      </c>
      <c r="P78" s="11" t="s">
        <v>802</v>
      </c>
    </row>
    <row r="79" spans="1:16" s="17" customFormat="1">
      <c r="A79" s="11">
        <f t="shared" si="0"/>
        <v>74</v>
      </c>
      <c r="B79" s="47" t="s">
        <v>791</v>
      </c>
      <c r="C79" s="52" t="s">
        <v>778</v>
      </c>
      <c r="D79" s="11" t="s">
        <v>30</v>
      </c>
      <c r="E79" s="91" t="s">
        <v>497</v>
      </c>
      <c r="F79" s="11" t="s">
        <v>14</v>
      </c>
      <c r="G79" s="13" t="s">
        <v>533</v>
      </c>
      <c r="H79" s="52" t="s">
        <v>585</v>
      </c>
      <c r="I79" s="55" t="s">
        <v>780</v>
      </c>
      <c r="J79" s="11" t="s">
        <v>30</v>
      </c>
      <c r="K79" s="11">
        <v>1</v>
      </c>
      <c r="L79" s="11" t="s">
        <v>800</v>
      </c>
      <c r="M79" s="11" t="s">
        <v>30</v>
      </c>
      <c r="N79" s="71" t="s">
        <v>461</v>
      </c>
      <c r="O79" s="11" t="s">
        <v>269</v>
      </c>
      <c r="P79" s="11" t="s">
        <v>802</v>
      </c>
    </row>
    <row r="80" spans="1:16" s="17" customFormat="1">
      <c r="A80" s="11">
        <f t="shared" si="0"/>
        <v>75</v>
      </c>
      <c r="B80" s="47"/>
      <c r="C80" s="52" t="s">
        <v>779</v>
      </c>
      <c r="D80" s="11" t="s">
        <v>30</v>
      </c>
      <c r="E80" s="91" t="s">
        <v>497</v>
      </c>
      <c r="F80" s="11" t="s">
        <v>14</v>
      </c>
      <c r="G80" s="13" t="s">
        <v>533</v>
      </c>
      <c r="H80" s="52" t="s">
        <v>586</v>
      </c>
      <c r="I80" s="55" t="s">
        <v>781</v>
      </c>
      <c r="J80" s="11" t="s">
        <v>30</v>
      </c>
      <c r="K80" s="11"/>
      <c r="L80" s="11" t="s">
        <v>800</v>
      </c>
      <c r="M80" s="11" t="s">
        <v>30</v>
      </c>
      <c r="N80" s="48"/>
      <c r="O80" s="11" t="s">
        <v>269</v>
      </c>
      <c r="P80" s="11" t="s">
        <v>802</v>
      </c>
    </row>
    <row r="81" spans="1:16" s="25" customFormat="1">
      <c r="A81" s="11">
        <v>63</v>
      </c>
      <c r="B81" s="47" t="s">
        <v>561</v>
      </c>
      <c r="C81" s="96" t="s">
        <v>564</v>
      </c>
      <c r="D81" s="11" t="s">
        <v>30</v>
      </c>
      <c r="E81" s="91" t="s">
        <v>34</v>
      </c>
      <c r="F81" s="11" t="s">
        <v>30</v>
      </c>
      <c r="G81" s="53" t="s">
        <v>565</v>
      </c>
      <c r="H81" s="11" t="s">
        <v>566</v>
      </c>
      <c r="I81" s="11" t="s">
        <v>762</v>
      </c>
      <c r="J81" s="50" t="s">
        <v>127</v>
      </c>
      <c r="K81" s="50">
        <v>1</v>
      </c>
      <c r="L81" s="11" t="s">
        <v>800</v>
      </c>
      <c r="M81" s="11" t="s">
        <v>30</v>
      </c>
      <c r="N81" s="48" t="s">
        <v>567</v>
      </c>
      <c r="O81" s="52" t="s">
        <v>562</v>
      </c>
      <c r="P81" s="11" t="s">
        <v>802</v>
      </c>
    </row>
    <row r="82" spans="1:16">
      <c r="A82" s="45">
        <f t="shared" ref="A82:A84" si="2">ROW(A82)-5</f>
        <v>77</v>
      </c>
      <c r="B82" s="47" t="s">
        <v>756</v>
      </c>
      <c r="C82" s="96" t="s">
        <v>569</v>
      </c>
      <c r="D82" s="99" t="s">
        <v>14</v>
      </c>
      <c r="E82" s="45" t="s">
        <v>34</v>
      </c>
      <c r="F82" s="45" t="s">
        <v>14</v>
      </c>
      <c r="G82" s="53" t="s">
        <v>570</v>
      </c>
      <c r="H82" s="11" t="s">
        <v>20</v>
      </c>
      <c r="I82" s="11" t="s">
        <v>763</v>
      </c>
      <c r="J82" s="99" t="s">
        <v>14</v>
      </c>
      <c r="K82" s="50">
        <v>3</v>
      </c>
      <c r="L82" s="11" t="s">
        <v>800</v>
      </c>
      <c r="M82" s="11" t="s">
        <v>30</v>
      </c>
      <c r="N82" s="48" t="s">
        <v>573</v>
      </c>
      <c r="O82" s="101" t="s">
        <v>129</v>
      </c>
      <c r="P82" s="11" t="s">
        <v>802</v>
      </c>
    </row>
    <row r="83" spans="1:16">
      <c r="A83" s="45">
        <f t="shared" si="2"/>
        <v>78</v>
      </c>
      <c r="B83" s="47" t="s">
        <v>759</v>
      </c>
      <c r="C83" s="96" t="s">
        <v>760</v>
      </c>
      <c r="D83" s="99" t="s">
        <v>14</v>
      </c>
      <c r="E83" s="45" t="s">
        <v>34</v>
      </c>
      <c r="F83" s="45" t="s">
        <v>14</v>
      </c>
      <c r="G83" s="53" t="s">
        <v>572</v>
      </c>
      <c r="H83" s="11" t="s">
        <v>20</v>
      </c>
      <c r="I83" s="11" t="s">
        <v>764</v>
      </c>
      <c r="J83" s="99" t="s">
        <v>14</v>
      </c>
      <c r="K83" s="50">
        <v>4</v>
      </c>
      <c r="L83" s="11" t="s">
        <v>800</v>
      </c>
      <c r="M83" s="11" t="s">
        <v>30</v>
      </c>
      <c r="N83" s="48" t="s">
        <v>804</v>
      </c>
      <c r="O83" s="101" t="s">
        <v>129</v>
      </c>
      <c r="P83" s="11" t="s">
        <v>802</v>
      </c>
    </row>
    <row r="84" spans="1:16">
      <c r="A84" s="11">
        <f t="shared" si="2"/>
        <v>79</v>
      </c>
      <c r="B84" s="47" t="s">
        <v>792</v>
      </c>
      <c r="C84" s="96" t="s">
        <v>761</v>
      </c>
      <c r="D84" s="11" t="s">
        <v>30</v>
      </c>
      <c r="E84" s="50" t="s">
        <v>34</v>
      </c>
      <c r="F84" s="11" t="s">
        <v>30</v>
      </c>
      <c r="G84" s="53" t="s">
        <v>230</v>
      </c>
      <c r="H84" s="11" t="s">
        <v>154</v>
      </c>
      <c r="I84" s="11" t="s">
        <v>765</v>
      </c>
      <c r="J84" s="50" t="s">
        <v>127</v>
      </c>
      <c r="K84" s="50">
        <v>1</v>
      </c>
      <c r="L84" s="11" t="s">
        <v>800</v>
      </c>
      <c r="M84" s="11" t="s">
        <v>30</v>
      </c>
      <c r="N84" s="48"/>
      <c r="O84" s="52" t="s">
        <v>129</v>
      </c>
      <c r="P84" s="11" t="s">
        <v>803</v>
      </c>
    </row>
    <row r="85" spans="1:16">
      <c r="B85" s="3"/>
      <c r="C85" s="2"/>
      <c r="H85" s="5"/>
      <c r="I85" s="2"/>
    </row>
    <row r="86" spans="1:16">
      <c r="A86" s="17"/>
      <c r="B86" s="1" t="s">
        <v>15</v>
      </c>
      <c r="C86" s="10" t="s">
        <v>16</v>
      </c>
      <c r="D86" s="18"/>
      <c r="E86" s="17"/>
      <c r="F86" s="17"/>
      <c r="G86" s="4"/>
      <c r="H86" s="17"/>
      <c r="I86" s="17"/>
      <c r="J86" s="17"/>
      <c r="O86" s="17"/>
      <c r="P86" s="17"/>
    </row>
    <row r="87" spans="1:16">
      <c r="A87" s="17"/>
      <c r="B87" s="17"/>
      <c r="C87" s="15" t="s">
        <v>5</v>
      </c>
      <c r="D87" s="17"/>
      <c r="E87" s="17"/>
      <c r="F87" s="17"/>
      <c r="G87" s="16"/>
      <c r="H87" s="17"/>
      <c r="I87" s="17"/>
      <c r="J87" s="17"/>
      <c r="O87" s="17"/>
      <c r="P87" s="17"/>
    </row>
    <row r="88" spans="1:16">
      <c r="A88" s="17"/>
      <c r="B88" s="17"/>
      <c r="C88" s="19" t="s">
        <v>6</v>
      </c>
      <c r="D88" s="17"/>
      <c r="E88" s="17"/>
      <c r="F88" s="17"/>
      <c r="G88" s="16"/>
      <c r="H88" s="17"/>
      <c r="I88" s="17"/>
      <c r="J88" s="17"/>
      <c r="O88" s="17"/>
      <c r="P88" s="17"/>
    </row>
    <row r="89" spans="1:16">
      <c r="C89" s="20" t="s">
        <v>52</v>
      </c>
      <c r="G89" s="18"/>
    </row>
    <row r="90" spans="1:16" ht="46.5">
      <c r="C90" s="29" t="s">
        <v>53</v>
      </c>
    </row>
    <row r="91" spans="1:16">
      <c r="K91" s="7"/>
      <c r="L91" s="7"/>
      <c r="M91" s="7"/>
    </row>
    <row r="92" spans="1:16">
      <c r="G92" s="22"/>
    </row>
  </sheetData>
  <autoFilter ref="A5:P5" xr:uid="{15F47EEF-8E2F-4BA4-82E3-247C873F8051}"/>
  <mergeCells count="4">
    <mergeCell ref="A3:B3"/>
    <mergeCell ref="A4:B4"/>
    <mergeCell ref="A1:P1"/>
    <mergeCell ref="A2:P2"/>
  </mergeCells>
  <phoneticPr fontId="18" type="noConversion"/>
  <conditionalFormatting sqref="A1:A2 N3:N5 O3:O50 A7:K10 N7:N27 L7:M84 F11:K19 H20:K21 N31:N32 N34:N35 N37:N42 A40:K40 J43:K53 A54:K55 N60:N78 H84:J84 A85:O1048576">
    <cfRule type="containsText" dxfId="198" priority="290" operator="containsText" text="TBD">
      <formula>NOT(ISERROR(SEARCH("TBD",A1)))</formula>
    </cfRule>
  </conditionalFormatting>
  <conditionalFormatting sqref="A21:B26">
    <cfRule type="containsText" dxfId="197" priority="280" operator="containsText" text="TBD">
      <formula>NOT(ISERROR(SEARCH("TBD",A21)))</formula>
    </cfRule>
  </conditionalFormatting>
  <conditionalFormatting sqref="A28:B28">
    <cfRule type="containsText" dxfId="196" priority="236" operator="containsText" text="TBD">
      <formula>NOT(ISERROR(SEARCH("TBD",A28)))</formula>
    </cfRule>
  </conditionalFormatting>
  <conditionalFormatting sqref="A43:B45">
    <cfRule type="containsText" dxfId="195" priority="131" operator="containsText" text="TBD">
      <formula>NOT(ISERROR(SEARCH("TBD",A43)))</formula>
    </cfRule>
  </conditionalFormatting>
  <conditionalFormatting sqref="A56:B59 D56:D59 F56:K78">
    <cfRule type="containsText" dxfId="194" priority="45" operator="containsText" text="TBD">
      <formula>NOT(ISERROR(SEARCH("TBD",A56)))</formula>
    </cfRule>
  </conditionalFormatting>
  <conditionalFormatting sqref="A50:C53">
    <cfRule type="containsText" dxfId="193" priority="37" operator="containsText" text="TBD">
      <formula>NOT(ISERROR(SEARCH("TBD",A50)))</formula>
    </cfRule>
  </conditionalFormatting>
  <conditionalFormatting sqref="A11:D20">
    <cfRule type="containsText" dxfId="192" priority="288" operator="containsText" text="TBD">
      <formula>NOT(ISERROR(SEARCH("TBD",A11)))</formula>
    </cfRule>
  </conditionalFormatting>
  <conditionalFormatting sqref="A60:D61">
    <cfRule type="containsText" dxfId="191" priority="274" operator="containsText" text="TBD">
      <formula>NOT(ISERROR(SEARCH("TBD",A60)))</formula>
    </cfRule>
  </conditionalFormatting>
  <conditionalFormatting sqref="A41:F42">
    <cfRule type="containsText" dxfId="190" priority="267" operator="containsText" text="TBD">
      <formula>NOT(ISERROR(SEARCH("TBD",A41)))</formula>
    </cfRule>
  </conditionalFormatting>
  <conditionalFormatting sqref="A27:G27">
    <cfRule type="containsText" dxfId="189" priority="265" operator="containsText" text="TBD">
      <formula>NOT(ISERROR(SEARCH("TBD",A27)))</formula>
    </cfRule>
  </conditionalFormatting>
  <conditionalFormatting sqref="A29:G30">
    <cfRule type="containsText" dxfId="188" priority="225" operator="containsText" text="TBD">
      <formula>NOT(ISERROR(SEARCH("TBD",A29)))</formula>
    </cfRule>
  </conditionalFormatting>
  <conditionalFormatting sqref="A82:G84">
    <cfRule type="containsText" dxfId="187" priority="54" operator="containsText" text="TBD">
      <formula>NOT(ISERROR(SEARCH("TBD",A82)))</formula>
    </cfRule>
  </conditionalFormatting>
  <conditionalFormatting sqref="A46:I49">
    <cfRule type="containsText" dxfId="186" priority="117" operator="containsText" text="TBD">
      <formula>NOT(ISERROR(SEARCH("TBD",A46)))</formula>
    </cfRule>
  </conditionalFormatting>
  <conditionalFormatting sqref="A81:K81">
    <cfRule type="containsText" dxfId="185" priority="147" operator="containsText" text="TBD">
      <formula>NOT(ISERROR(SEARCH("TBD",A81)))</formula>
    </cfRule>
  </conditionalFormatting>
  <conditionalFormatting sqref="A3:M4">
    <cfRule type="containsText" dxfId="184" priority="113" operator="containsText" text="TBD">
      <formula>NOT(ISERROR(SEARCH("TBD",A3)))</formula>
    </cfRule>
  </conditionalFormatting>
  <conditionalFormatting sqref="A5:O6">
    <cfRule type="containsText" dxfId="183" priority="109" operator="containsText" text="TBD">
      <formula>NOT(ISERROR(SEARCH("TBD",A5)))</formula>
    </cfRule>
  </conditionalFormatting>
  <conditionalFormatting sqref="B62:B79">
    <cfRule type="containsText" dxfId="182" priority="36" operator="containsText" text="TBD">
      <formula>NOT(ISERROR(SEARCH("TBD",B62)))</formula>
    </cfRule>
  </conditionalFormatting>
  <conditionalFormatting sqref="C27:C31">
    <cfRule type="containsText" dxfId="181" priority="226" operator="containsText" text="TBD">
      <formula>NOT(ISERROR(SEARCH("TBD",C27)))</formula>
    </cfRule>
  </conditionalFormatting>
  <conditionalFormatting sqref="C33:C40">
    <cfRule type="containsText" dxfId="180" priority="166" operator="containsText" text="TBD">
      <formula>NOT(ISERROR(SEARCH("TBD",C33)))</formula>
    </cfRule>
  </conditionalFormatting>
  <conditionalFormatting sqref="C42:C45">
    <cfRule type="containsText" dxfId="179" priority="119" operator="containsText" text="TBD">
      <formula>NOT(ISERROR(SEARCH("TBD",C42)))</formula>
    </cfRule>
  </conditionalFormatting>
  <conditionalFormatting sqref="C55:C60">
    <cfRule type="containsText" dxfId="178" priority="46" operator="containsText" text="TBD">
      <formula>NOT(ISERROR(SEARCH("TBD",C55)))</formula>
    </cfRule>
  </conditionalFormatting>
  <conditionalFormatting sqref="C86:C89">
    <cfRule type="containsText" dxfId="177" priority="295" operator="containsText" text="TBD">
      <formula>NOT(ISERROR(SEARCH("TBD",C86)))</formula>
    </cfRule>
  </conditionalFormatting>
  <conditionalFormatting sqref="C21:D24">
    <cfRule type="containsText" dxfId="176" priority="239" operator="containsText" text="TBD">
      <formula>NOT(ISERROR(SEARCH("TBD",C21)))</formula>
    </cfRule>
  </conditionalFormatting>
  <conditionalFormatting sqref="C61:D78">
    <cfRule type="containsText" dxfId="175" priority="63" operator="containsText" text="TBD">
      <formula>NOT(ISERROR(SEARCH("TBD",C61)))</formula>
    </cfRule>
  </conditionalFormatting>
  <conditionalFormatting sqref="C25:G26">
    <cfRule type="containsText" dxfId="174" priority="285" operator="containsText" text="TBD">
      <formula>NOT(ISERROR(SEARCH("TBD",C25)))</formula>
    </cfRule>
  </conditionalFormatting>
  <conditionalFormatting sqref="C79:K80">
    <cfRule type="containsText" dxfId="173" priority="47" operator="containsText" text="TBD">
      <formula>NOT(ISERROR(SEARCH("TBD",C79)))</formula>
    </cfRule>
  </conditionalFormatting>
  <conditionalFormatting sqref="D31:F31 C32:F32">
    <cfRule type="containsText" dxfId="172" priority="284" operator="containsText" text="TBD">
      <formula>NOT(ISERROR(SEARCH("TBD",C31)))</formula>
    </cfRule>
  </conditionalFormatting>
  <conditionalFormatting sqref="D33:F34">
    <cfRule type="containsText" dxfId="171" priority="178" operator="containsText" text="TBD">
      <formula>NOT(ISERROR(SEARCH("TBD",D33)))</formula>
    </cfRule>
  </conditionalFormatting>
  <conditionalFormatting sqref="D43:F45">
    <cfRule type="containsText" dxfId="170" priority="132" operator="containsText" text="TBD">
      <formula>NOT(ISERROR(SEARCH("TBD",D43)))</formula>
    </cfRule>
  </conditionalFormatting>
  <conditionalFormatting sqref="D52:F52">
    <cfRule type="containsText" dxfId="169" priority="76" operator="containsText" text="TBD">
      <formula>NOT(ISERROR(SEARCH("TBD",D52)))</formula>
    </cfRule>
  </conditionalFormatting>
  <conditionalFormatting sqref="D28:G28">
    <cfRule type="containsText" dxfId="168" priority="229" operator="containsText" text="TBD">
      <formula>NOT(ISERROR(SEARCH("TBD",D28)))</formula>
    </cfRule>
  </conditionalFormatting>
  <conditionalFormatting sqref="D35:G39">
    <cfRule type="containsText" dxfId="167" priority="163" operator="containsText" text="TBD">
      <formula>NOT(ISERROR(SEARCH("TBD",D35)))</formula>
    </cfRule>
  </conditionalFormatting>
  <conditionalFormatting sqref="D51:G51">
    <cfRule type="containsText" dxfId="166" priority="74" operator="containsText" text="TBD">
      <formula>NOT(ISERROR(SEARCH("TBD",D51)))</formula>
    </cfRule>
  </conditionalFormatting>
  <conditionalFormatting sqref="D53:H53">
    <cfRule type="containsText" dxfId="165" priority="42" operator="containsText" text="TBD">
      <formula>NOT(ISERROR(SEARCH("TBD",D53)))</formula>
    </cfRule>
  </conditionalFormatting>
  <conditionalFormatting sqref="E11:E23">
    <cfRule type="containsText" dxfId="164" priority="133" operator="containsText" text="TBD">
      <formula>NOT(ISERROR(SEARCH("TBD",E11)))</formula>
    </cfRule>
  </conditionalFormatting>
  <conditionalFormatting sqref="E33">
    <cfRule type="containsText" dxfId="163" priority="176" operator="containsText" text="TBD">
      <formula>NOT(ISERROR(SEARCH("TBD",E33)))</formula>
    </cfRule>
  </conditionalFormatting>
  <conditionalFormatting sqref="E50:E53">
    <cfRule type="containsText" dxfId="162" priority="40" operator="containsText" text="TBD">
      <formula>NOT(ISERROR(SEARCH("TBD",E50)))</formula>
    </cfRule>
  </conditionalFormatting>
  <conditionalFormatting sqref="E55:E78">
    <cfRule type="containsText" dxfId="161" priority="43" operator="containsText" text="TBD">
      <formula>NOT(ISERROR(SEARCH("TBD",E55)))</formula>
    </cfRule>
  </conditionalFormatting>
  <conditionalFormatting sqref="F20:F21">
    <cfRule type="containsText" dxfId="160" priority="294" operator="containsText" text="TBD">
      <formula>NOT(ISERROR(SEARCH("TBD",F20)))</formula>
    </cfRule>
  </conditionalFormatting>
  <conditionalFormatting sqref="F22:K24">
    <cfRule type="containsText" dxfId="159" priority="238" operator="containsText" text="TBD">
      <formula>NOT(ISERROR(SEARCH("TBD",F22)))</formula>
    </cfRule>
  </conditionalFormatting>
  <conditionalFormatting sqref="G31:G34">
    <cfRule type="containsText" dxfId="158" priority="171" operator="containsText" text="TBD">
      <formula>NOT(ISERROR(SEARCH("TBD",G31)))</formula>
    </cfRule>
  </conditionalFormatting>
  <conditionalFormatting sqref="G41:G45">
    <cfRule type="containsText" dxfId="157" priority="129" operator="containsText" text="TBD">
      <formula>NOT(ISERROR(SEARCH("TBD",G41)))</formula>
    </cfRule>
  </conditionalFormatting>
  <conditionalFormatting sqref="G50:G53">
    <cfRule type="containsText" dxfId="156" priority="39" operator="containsText" text="TBD">
      <formula>NOT(ISERROR(SEARCH("TBD",G50)))</formula>
    </cfRule>
  </conditionalFormatting>
  <conditionalFormatting sqref="H25:H39 A31:B39">
    <cfRule type="containsText" dxfId="155" priority="170" operator="containsText" text="TBD">
      <formula>NOT(ISERROR(SEARCH("TBD",A25)))</formula>
    </cfRule>
  </conditionalFormatting>
  <conditionalFormatting sqref="H50:H52">
    <cfRule type="containsText" dxfId="154" priority="71" operator="containsText" text="TBD">
      <formula>NOT(ISERROR(SEARCH("TBD",H50)))</formula>
    </cfRule>
  </conditionalFormatting>
  <conditionalFormatting sqref="H43:I45">
    <cfRule type="containsText" dxfId="153" priority="122" operator="containsText" text="TBD">
      <formula>NOT(ISERROR(SEARCH("TBD",H43)))</formula>
    </cfRule>
  </conditionalFormatting>
  <conditionalFormatting sqref="H81:I84">
    <cfRule type="containsText" dxfId="152" priority="139" operator="containsText" text="TBD">
      <formula>NOT(ISERROR(SEARCH("TBD",H81)))</formula>
    </cfRule>
  </conditionalFormatting>
  <conditionalFormatting sqref="H41:K42">
    <cfRule type="containsText" dxfId="151" priority="271" operator="containsText" text="TBD">
      <formula>NOT(ISERROR(SEARCH("TBD",H41)))</formula>
    </cfRule>
  </conditionalFormatting>
  <conditionalFormatting sqref="I33">
    <cfRule type="containsText" dxfId="150" priority="172" operator="containsText" text="TBD">
      <formula>NOT(ISERROR(SEARCH("TBD",I33)))</formula>
    </cfRule>
  </conditionalFormatting>
  <conditionalFormatting sqref="I50:I53">
    <cfRule type="containsText" dxfId="149" priority="38" operator="containsText" text="TBD">
      <formula>NOT(ISERROR(SEARCH("TBD",I50)))</formula>
    </cfRule>
  </conditionalFormatting>
  <conditionalFormatting sqref="I25:K32">
    <cfRule type="containsText" dxfId="148" priority="227" operator="containsText" text="TBD">
      <formula>NOT(ISERROR(SEARCH("TBD",I25)))</formula>
    </cfRule>
  </conditionalFormatting>
  <conditionalFormatting sqref="I36:K39">
    <cfRule type="containsText" dxfId="147" priority="164" operator="containsText" text="TBD">
      <formula>NOT(ISERROR(SEARCH("TBD",I36)))</formula>
    </cfRule>
  </conditionalFormatting>
  <conditionalFormatting sqref="J82:J83">
    <cfRule type="containsText" dxfId="146" priority="142" operator="containsText" text="TBD">
      <formula>NOT(ISERROR(SEARCH("TBD",J82)))</formula>
    </cfRule>
  </conditionalFormatting>
  <conditionalFormatting sqref="J33:K35">
    <cfRule type="containsText" dxfId="145" priority="162" operator="containsText" text="TBD">
      <formula>NOT(ISERROR(SEARCH("TBD",J33)))</formula>
    </cfRule>
  </conditionalFormatting>
  <conditionalFormatting sqref="K82:K84">
    <cfRule type="containsText" dxfId="144" priority="53" operator="containsText" text="TBD">
      <formula>NOT(ISERROR(SEARCH("TBD",K82)))</formula>
    </cfRule>
  </conditionalFormatting>
  <conditionalFormatting sqref="N80:N84">
    <cfRule type="containsText" dxfId="143" priority="2" operator="containsText" text="TBD">
      <formula>NOT(ISERROR(SEARCH("TBD",N80)))</formula>
    </cfRule>
  </conditionalFormatting>
  <conditionalFormatting sqref="N28:O30">
    <cfRule type="containsText" dxfId="142" priority="223" operator="containsText" text="TBD">
      <formula>NOT(ISERROR(SEARCH("TBD",N28)))</formula>
    </cfRule>
  </conditionalFormatting>
  <conditionalFormatting sqref="N33:O33">
    <cfRule type="containsText" dxfId="141" priority="173" operator="containsText" text="TBD">
      <formula>NOT(ISERROR(SEARCH("TBD",N33)))</formula>
    </cfRule>
  </conditionalFormatting>
  <conditionalFormatting sqref="N36:O36">
    <cfRule type="containsText" dxfId="140" priority="165" operator="containsText" text="TBD">
      <formula>NOT(ISERROR(SEARCH("TBD",N36)))</formula>
    </cfRule>
  </conditionalFormatting>
  <conditionalFormatting sqref="N43:O59">
    <cfRule type="containsText" dxfId="139" priority="92" operator="containsText" text="TBD">
      <formula>NOT(ISERROR(SEARCH("TBD",N43)))</formula>
    </cfRule>
  </conditionalFormatting>
  <conditionalFormatting sqref="N79:O79">
    <cfRule type="containsText" dxfId="138" priority="253" operator="containsText" text="TBD">
      <formula>NOT(ISERROR(SEARCH("TBD",N79)))</formula>
    </cfRule>
  </conditionalFormatting>
  <conditionalFormatting sqref="O60:O84">
    <cfRule type="containsText" dxfId="137" priority="140" operator="containsText" text="TBD">
      <formula>NOT(ISERROR(SEARCH("TBD",O60)))</formula>
    </cfRule>
  </conditionalFormatting>
  <conditionalFormatting sqref="O83">
    <cfRule type="containsText" dxfId="136" priority="136" operator="containsText" text="Group B">
      <formula>NOT(ISERROR(SEARCH("Group B",O83)))</formula>
    </cfRule>
    <cfRule type="containsText" dxfId="135" priority="135" operator="containsText" text="Group A">
      <formula>NOT(ISERROR(SEARCH("Group A",O83)))</formula>
    </cfRule>
    <cfRule type="containsText" dxfId="134" priority="137" operator="containsText" text="Group A">
      <formula>NOT(ISERROR(SEARCH("Group A",O83)))</formula>
    </cfRule>
    <cfRule type="containsText" dxfId="133" priority="138" operator="containsText" text="Group A">
      <formula>NOT(ISERROR(SEARCH("Group A",O83)))</formula>
    </cfRule>
  </conditionalFormatting>
  <conditionalFormatting sqref="P3:P1048576">
    <cfRule type="containsText" dxfId="132" priority="12" operator="containsText" text="TBD">
      <formula>NOT(ISERROR(SEARCH("TBD",P3)))</formula>
    </cfRule>
  </conditionalFormatting>
  <conditionalFormatting sqref="P7:P14">
    <cfRule type="containsText" dxfId="131" priority="5" operator="containsText" text="TBD">
      <formula>NOT(ISERROR(SEARCH("TBD",P7)))</formula>
    </cfRule>
  </conditionalFormatting>
  <conditionalFormatting sqref="P24">
    <cfRule type="containsText" dxfId="130" priority="4" operator="containsText" text="TBD">
      <formula>NOT(ISERROR(SEARCH("TBD",P24)))</formula>
    </cfRule>
  </conditionalFormatting>
  <conditionalFormatting sqref="P56:P60">
    <cfRule type="containsText" dxfId="129" priority="1" operator="containsText" text="TBD">
      <formula>NOT(ISERROR(SEARCH("TBD",P56)))</formula>
    </cfRule>
  </conditionalFormatting>
  <conditionalFormatting sqref="P81">
    <cfRule type="containsText" dxfId="128" priority="10" operator="containsText" text="Group A">
      <formula>NOT(ISERROR(SEARCH("Group A",P81)))</formula>
    </cfRule>
    <cfRule type="containsText" dxfId="127" priority="11" operator="containsText" text="Group A">
      <formula>NOT(ISERROR(SEARCH("Group A",P81)))</formula>
    </cfRule>
    <cfRule type="containsText" dxfId="126" priority="9" operator="containsText" text="Group B">
      <formula>NOT(ISERROR(SEARCH("Group B",P81)))</formula>
    </cfRule>
    <cfRule type="containsText" dxfId="125" priority="8" operator="containsText" text="Group A">
      <formula>NOT(ISERROR(SEARCH("Group A",P81)))</formula>
    </cfRule>
  </conditionalFormatting>
  <conditionalFormatting sqref="P84">
    <cfRule type="containsText" dxfId="124" priority="3" operator="containsText" text="TBD">
      <formula>NOT(ISERROR(SEARCH("TBD",P84)))</formula>
    </cfRule>
  </conditionalFormatting>
  <conditionalFormatting sqref="Q1:XFD58 D50:F50">
    <cfRule type="containsText" dxfId="123" priority="100" operator="containsText" text="TBD">
      <formula>NOT(ISERROR(SEARCH("TBD",D1)))</formula>
    </cfRule>
  </conditionalFormatting>
  <conditionalFormatting sqref="Q60:XFD1048576 A61:A79 A80:B80">
    <cfRule type="containsText" dxfId="122" priority="279" operator="containsText" text="TBD">
      <formula>NOT(ISERROR(SEARCH("TBD",A60)))</formula>
    </cfRule>
  </conditionalFormatting>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4360-4209-43DD-B422-95AAFC38553F}">
  <sheetPr>
    <tabColor rgb="FFFFFF00"/>
  </sheetPr>
  <dimension ref="A1:AS99"/>
  <sheetViews>
    <sheetView zoomScale="55" zoomScaleNormal="55" workbookViewId="0">
      <pane ySplit="5" topLeftCell="A6" activePane="bottomLeft" state="frozen"/>
      <selection activeCell="G26" sqref="G26"/>
      <selection pane="bottomLeft" activeCell="T13" sqref="T13"/>
    </sheetView>
  </sheetViews>
  <sheetFormatPr defaultColWidth="9" defaultRowHeight="15.5"/>
  <cols>
    <col min="1" max="1" width="9.90625" style="6" bestFit="1" customWidth="1"/>
    <col min="2" max="2" width="9" style="6" bestFit="1" customWidth="1"/>
    <col min="3" max="3" width="23.7265625" style="6" bestFit="1" customWidth="1"/>
    <col min="4" max="4" width="20.7265625" style="6" bestFit="1" customWidth="1"/>
    <col min="5" max="6" width="16" style="6" bestFit="1" customWidth="1"/>
    <col min="7" max="7" width="96.453125" style="6" bestFit="1" customWidth="1"/>
    <col min="8" max="8" width="15.7265625" style="6" bestFit="1" customWidth="1"/>
    <col min="9" max="9" width="21.08984375" style="6" bestFit="1" customWidth="1"/>
    <col min="10" max="10" width="20.7265625" style="6" customWidth="1"/>
    <col min="11" max="11" width="12.7265625" style="6" bestFit="1" customWidth="1"/>
    <col min="12" max="12" width="9.453125" style="6" bestFit="1" customWidth="1"/>
    <col min="13" max="13" width="7.7265625" style="6" bestFit="1" customWidth="1"/>
    <col min="14" max="14" width="39.7265625" style="6" customWidth="1"/>
    <col min="15" max="15" width="8.6328125" style="6" bestFit="1" customWidth="1"/>
    <col min="16" max="16" width="17.36328125" style="6" customWidth="1"/>
    <col min="17" max="16384" width="9" style="6"/>
  </cols>
  <sheetData>
    <row r="1" spans="1:45">
      <c r="A1" s="181" t="s">
        <v>21</v>
      </c>
      <c r="B1" s="182"/>
      <c r="C1" s="182"/>
      <c r="D1" s="182"/>
      <c r="E1" s="182"/>
      <c r="F1" s="182"/>
      <c r="G1" s="182"/>
      <c r="H1" s="182"/>
      <c r="I1" s="182"/>
      <c r="J1" s="182"/>
      <c r="K1" s="182"/>
      <c r="L1" s="182"/>
      <c r="M1" s="182"/>
      <c r="N1" s="182"/>
      <c r="O1" s="182"/>
      <c r="P1" s="183"/>
    </row>
    <row r="2" spans="1:45">
      <c r="A2" s="181" t="s">
        <v>805</v>
      </c>
      <c r="B2" s="182"/>
      <c r="C2" s="182"/>
      <c r="D2" s="182"/>
      <c r="E2" s="182"/>
      <c r="F2" s="182"/>
      <c r="G2" s="182"/>
      <c r="H2" s="182"/>
      <c r="I2" s="182"/>
      <c r="J2" s="182"/>
      <c r="K2" s="182"/>
      <c r="L2" s="182"/>
      <c r="M2" s="182"/>
      <c r="N2" s="182"/>
      <c r="O2" s="182"/>
      <c r="P2" s="183"/>
    </row>
    <row r="3" spans="1:45" s="8" customFormat="1">
      <c r="A3" s="180" t="s">
        <v>7</v>
      </c>
      <c r="B3" s="180"/>
      <c r="C3" s="76" t="str">
        <f>C6</f>
        <v>TEMP-S000227613</v>
      </c>
      <c r="D3" s="77" t="s">
        <v>1</v>
      </c>
      <c r="E3" s="78" t="s">
        <v>14</v>
      </c>
      <c r="F3" s="77"/>
      <c r="G3" s="77"/>
      <c r="H3" s="77"/>
      <c r="I3" s="77"/>
      <c r="J3" s="77"/>
      <c r="K3" s="77"/>
      <c r="L3" s="44"/>
      <c r="M3" s="44"/>
      <c r="N3" s="44"/>
      <c r="O3" s="44"/>
      <c r="P3" s="44"/>
    </row>
    <row r="4" spans="1:45" s="8" customFormat="1">
      <c r="A4" s="180" t="s">
        <v>8</v>
      </c>
      <c r="B4" s="180"/>
      <c r="C4" s="79" t="str">
        <f>E6</f>
        <v>TBD</v>
      </c>
      <c r="D4" s="77" t="s">
        <v>9</v>
      </c>
      <c r="E4" s="78" t="s">
        <v>14</v>
      </c>
      <c r="F4" s="77" t="s">
        <v>10</v>
      </c>
      <c r="G4" s="80" t="str">
        <f>G6</f>
        <v>Maxwell Mercury(GB300), CPL, Inner Manifold and Coldplate and SOCAMM HSK- CM</v>
      </c>
      <c r="H4" s="77"/>
      <c r="I4" s="77"/>
      <c r="J4" s="77"/>
      <c r="K4" s="77"/>
      <c r="L4" s="44"/>
      <c r="M4" s="44"/>
      <c r="N4" s="44"/>
      <c r="O4" s="44"/>
      <c r="P4" s="44"/>
    </row>
    <row r="5" spans="1:45" s="21" customFormat="1" ht="29">
      <c r="A5" s="28" t="s">
        <v>2</v>
      </c>
      <c r="B5" s="28" t="s">
        <v>3</v>
      </c>
      <c r="C5" s="28" t="s">
        <v>11</v>
      </c>
      <c r="D5" s="28" t="s">
        <v>12</v>
      </c>
      <c r="E5" s="28" t="s">
        <v>35</v>
      </c>
      <c r="F5" s="28" t="s">
        <v>13</v>
      </c>
      <c r="G5" s="28" t="s">
        <v>18</v>
      </c>
      <c r="H5" s="28" t="s">
        <v>31</v>
      </c>
      <c r="I5" s="28" t="s">
        <v>19</v>
      </c>
      <c r="J5" s="81" t="s">
        <v>4</v>
      </c>
      <c r="K5" s="28" t="s">
        <v>22</v>
      </c>
      <c r="L5" s="28" t="s">
        <v>798</v>
      </c>
      <c r="M5" s="28" t="s">
        <v>799</v>
      </c>
      <c r="N5" s="28" t="s">
        <v>15</v>
      </c>
      <c r="O5" s="28" t="s">
        <v>49</v>
      </c>
      <c r="P5" s="28" t="s">
        <v>801</v>
      </c>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row>
    <row r="6" spans="1:45" s="45" customFormat="1">
      <c r="A6" s="45">
        <v>1</v>
      </c>
      <c r="B6" s="82" t="s">
        <v>36</v>
      </c>
      <c r="C6" s="83" t="s">
        <v>456</v>
      </c>
      <c r="D6" s="45" t="s">
        <v>17</v>
      </c>
      <c r="E6" s="45" t="s">
        <v>34</v>
      </c>
      <c r="F6" s="45" t="s">
        <v>14</v>
      </c>
      <c r="G6" s="84" t="s">
        <v>424</v>
      </c>
      <c r="H6" s="45" t="s">
        <v>20</v>
      </c>
      <c r="I6" s="83" t="str">
        <f>C6</f>
        <v>TEMP-S000227613</v>
      </c>
      <c r="J6" s="45" t="s">
        <v>14</v>
      </c>
      <c r="K6" s="45">
        <v>1</v>
      </c>
      <c r="L6" s="45" t="s">
        <v>800</v>
      </c>
      <c r="M6" s="45" t="s">
        <v>30</v>
      </c>
      <c r="N6" s="44"/>
      <c r="O6" s="44" t="s">
        <v>50</v>
      </c>
      <c r="P6" s="44" t="s">
        <v>802</v>
      </c>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row>
    <row r="7" spans="1:45" s="45" customFormat="1">
      <c r="A7" s="45">
        <v>2</v>
      </c>
      <c r="B7" s="82" t="s">
        <v>420</v>
      </c>
      <c r="C7" s="83" t="s">
        <v>587</v>
      </c>
      <c r="D7" s="45" t="s">
        <v>17</v>
      </c>
      <c r="E7" s="87" t="s">
        <v>466</v>
      </c>
      <c r="F7" s="45" t="s">
        <v>14</v>
      </c>
      <c r="G7" s="84" t="s">
        <v>428</v>
      </c>
      <c r="H7" s="45" t="s">
        <v>421</v>
      </c>
      <c r="I7" s="45" t="s">
        <v>576</v>
      </c>
      <c r="J7" s="45" t="s">
        <v>14</v>
      </c>
      <c r="K7" s="45">
        <v>2</v>
      </c>
      <c r="L7" s="45" t="s">
        <v>800</v>
      </c>
      <c r="M7" s="45" t="s">
        <v>30</v>
      </c>
      <c r="N7" s="44"/>
      <c r="O7" s="44" t="s">
        <v>50</v>
      </c>
      <c r="P7" s="44" t="s">
        <v>803</v>
      </c>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row>
    <row r="8" spans="1:45" s="45" customFormat="1">
      <c r="A8" s="45">
        <v>3</v>
      </c>
      <c r="B8" s="82" t="s">
        <v>37</v>
      </c>
      <c r="C8" s="83" t="s">
        <v>588</v>
      </c>
      <c r="D8" s="45" t="s">
        <v>17</v>
      </c>
      <c r="E8" s="87" t="s">
        <v>467</v>
      </c>
      <c r="F8" s="45" t="s">
        <v>14</v>
      </c>
      <c r="G8" s="84" t="s">
        <v>429</v>
      </c>
      <c r="H8" s="45" t="s">
        <v>421</v>
      </c>
      <c r="I8" s="45" t="s">
        <v>580</v>
      </c>
      <c r="J8" s="45" t="s">
        <v>14</v>
      </c>
      <c r="K8" s="45">
        <v>4</v>
      </c>
      <c r="L8" s="45" t="s">
        <v>800</v>
      </c>
      <c r="M8" s="45" t="s">
        <v>30</v>
      </c>
      <c r="N8" s="44"/>
      <c r="O8" s="44" t="s">
        <v>50</v>
      </c>
      <c r="P8" s="44" t="s">
        <v>803</v>
      </c>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row>
    <row r="9" spans="1:45" s="45" customFormat="1">
      <c r="A9" s="45">
        <v>4</v>
      </c>
      <c r="B9" s="82" t="s">
        <v>117</v>
      </c>
      <c r="C9" s="83" t="s">
        <v>589</v>
      </c>
      <c r="D9" s="85" t="s">
        <v>30</v>
      </c>
      <c r="E9" s="45" t="s">
        <v>528</v>
      </c>
      <c r="F9" s="45" t="s">
        <v>14</v>
      </c>
      <c r="G9" s="84" t="s">
        <v>430</v>
      </c>
      <c r="H9" s="45" t="s">
        <v>421</v>
      </c>
      <c r="I9" s="45" t="s">
        <v>584</v>
      </c>
      <c r="J9" s="85" t="s">
        <v>30</v>
      </c>
      <c r="K9" s="45">
        <v>1</v>
      </c>
      <c r="L9" s="45" t="s">
        <v>800</v>
      </c>
      <c r="M9" s="45" t="s">
        <v>30</v>
      </c>
      <c r="N9" s="44"/>
      <c r="O9" s="44" t="s">
        <v>50</v>
      </c>
      <c r="P9" s="44" t="s">
        <v>803</v>
      </c>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row>
    <row r="10" spans="1:45" s="45" customFormat="1">
      <c r="A10" s="45">
        <v>5</v>
      </c>
      <c r="B10" s="82" t="s">
        <v>118</v>
      </c>
      <c r="C10" s="45" t="s">
        <v>445</v>
      </c>
      <c r="D10" s="85" t="s">
        <v>30</v>
      </c>
      <c r="E10" s="45" t="s">
        <v>591</v>
      </c>
      <c r="F10" s="45" t="s">
        <v>14</v>
      </c>
      <c r="G10" s="84" t="s">
        <v>431</v>
      </c>
      <c r="H10" s="45" t="s">
        <v>421</v>
      </c>
      <c r="I10" s="45" t="s">
        <v>443</v>
      </c>
      <c r="J10" s="85" t="s">
        <v>30</v>
      </c>
      <c r="K10" s="45">
        <v>2</v>
      </c>
      <c r="L10" s="45" t="s">
        <v>800</v>
      </c>
      <c r="M10" s="45" t="s">
        <v>30</v>
      </c>
      <c r="N10" s="44"/>
      <c r="O10" s="44" t="s">
        <v>50</v>
      </c>
      <c r="P10" s="44" t="s">
        <v>803</v>
      </c>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row>
    <row r="11" spans="1:45" s="45" customFormat="1">
      <c r="A11" s="45">
        <v>6</v>
      </c>
      <c r="B11" s="82" t="s">
        <v>119</v>
      </c>
      <c r="C11" s="45" t="s">
        <v>446</v>
      </c>
      <c r="D11" s="85" t="s">
        <v>30</v>
      </c>
      <c r="E11" s="45" t="s">
        <v>592</v>
      </c>
      <c r="F11" s="45" t="s">
        <v>14</v>
      </c>
      <c r="G11" s="84" t="s">
        <v>432</v>
      </c>
      <c r="H11" s="45" t="s">
        <v>421</v>
      </c>
      <c r="I11" s="45" t="s">
        <v>444</v>
      </c>
      <c r="J11" s="85" t="s">
        <v>30</v>
      </c>
      <c r="K11" s="45">
        <v>2</v>
      </c>
      <c r="L11" s="45" t="s">
        <v>800</v>
      </c>
      <c r="M11" s="45" t="s">
        <v>30</v>
      </c>
      <c r="N11" s="44"/>
      <c r="O11" s="44" t="s">
        <v>50</v>
      </c>
      <c r="P11" s="44" t="s">
        <v>803</v>
      </c>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row>
    <row r="12" spans="1:45">
      <c r="B12" s="3"/>
      <c r="C12" s="2"/>
      <c r="H12" s="5"/>
      <c r="I12" s="2"/>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row>
    <row r="13" spans="1:45" s="8" customFormat="1">
      <c r="A13" s="180" t="s">
        <v>7</v>
      </c>
      <c r="B13" s="180"/>
      <c r="C13" s="76" t="str">
        <f>C16</f>
        <v>TEMP-S000227634</v>
      </c>
      <c r="D13" s="77" t="s">
        <v>1</v>
      </c>
      <c r="E13" s="78" t="s">
        <v>14</v>
      </c>
      <c r="F13" s="77"/>
      <c r="G13" s="77"/>
      <c r="H13" s="77"/>
      <c r="I13" s="77"/>
      <c r="J13" s="77"/>
      <c r="K13" s="77"/>
      <c r="L13" s="44"/>
      <c r="M13" s="44"/>
      <c r="N13" s="44"/>
      <c r="O13" s="44"/>
      <c r="P13" s="44"/>
    </row>
    <row r="14" spans="1:45" s="8" customFormat="1">
      <c r="A14" s="180" t="s">
        <v>8</v>
      </c>
      <c r="B14" s="180"/>
      <c r="C14" s="79" t="str">
        <f>E16</f>
        <v>TBD</v>
      </c>
      <c r="D14" s="77" t="s">
        <v>9</v>
      </c>
      <c r="E14" s="78" t="s">
        <v>14</v>
      </c>
      <c r="F14" s="77" t="s">
        <v>10</v>
      </c>
      <c r="G14" s="80" t="s">
        <v>423</v>
      </c>
      <c r="H14" s="77"/>
      <c r="I14" s="77"/>
      <c r="J14" s="77"/>
      <c r="K14" s="77"/>
      <c r="L14" s="44"/>
      <c r="M14" s="44"/>
      <c r="N14" s="44"/>
      <c r="O14" s="44"/>
      <c r="P14" s="44"/>
    </row>
    <row r="15" spans="1:45" s="21" customFormat="1" ht="31">
      <c r="A15" s="81" t="s">
        <v>2</v>
      </c>
      <c r="B15" s="81" t="s">
        <v>3</v>
      </c>
      <c r="C15" s="81" t="s">
        <v>11</v>
      </c>
      <c r="D15" s="81" t="s">
        <v>12</v>
      </c>
      <c r="E15" s="81" t="s">
        <v>35</v>
      </c>
      <c r="F15" s="81" t="s">
        <v>13</v>
      </c>
      <c r="G15" s="81" t="s">
        <v>18</v>
      </c>
      <c r="H15" s="81" t="s">
        <v>31</v>
      </c>
      <c r="I15" s="81" t="s">
        <v>19</v>
      </c>
      <c r="J15" s="81" t="s">
        <v>4</v>
      </c>
      <c r="K15" s="81" t="s">
        <v>22</v>
      </c>
      <c r="L15" s="28" t="s">
        <v>798</v>
      </c>
      <c r="M15" s="28" t="s">
        <v>799</v>
      </c>
      <c r="N15" s="28" t="s">
        <v>15</v>
      </c>
      <c r="O15" s="28" t="s">
        <v>49</v>
      </c>
      <c r="P15" s="28" t="s">
        <v>801</v>
      </c>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row>
    <row r="16" spans="1:45" s="45" customFormat="1">
      <c r="A16" s="45">
        <v>1</v>
      </c>
      <c r="B16" s="82" t="s">
        <v>36</v>
      </c>
      <c r="C16" s="83" t="s">
        <v>457</v>
      </c>
      <c r="D16" s="45" t="s">
        <v>17</v>
      </c>
      <c r="E16" s="45" t="s">
        <v>34</v>
      </c>
      <c r="F16" s="45" t="s">
        <v>14</v>
      </c>
      <c r="G16" s="84" t="s">
        <v>425</v>
      </c>
      <c r="H16" s="45" t="s">
        <v>20</v>
      </c>
      <c r="I16" s="83" t="str">
        <f>C16</f>
        <v>TEMP-S000227634</v>
      </c>
      <c r="J16" s="45" t="s">
        <v>14</v>
      </c>
      <c r="K16" s="45">
        <v>1</v>
      </c>
      <c r="L16" s="45" t="s">
        <v>800</v>
      </c>
      <c r="M16" s="45" t="s">
        <v>30</v>
      </c>
      <c r="N16" s="44"/>
      <c r="O16" s="44" t="s">
        <v>50</v>
      </c>
      <c r="P16" s="44" t="s">
        <v>802</v>
      </c>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row>
    <row r="17" spans="1:45" s="45" customFormat="1">
      <c r="A17" s="45">
        <v>2</v>
      </c>
      <c r="B17" s="82" t="s">
        <v>420</v>
      </c>
      <c r="C17" s="86" t="s">
        <v>574</v>
      </c>
      <c r="D17" s="45" t="s">
        <v>17</v>
      </c>
      <c r="E17" s="87" t="s">
        <v>466</v>
      </c>
      <c r="F17" s="45" t="s">
        <v>14</v>
      </c>
      <c r="G17" s="84" t="s">
        <v>433</v>
      </c>
      <c r="H17" s="45" t="s">
        <v>210</v>
      </c>
      <c r="I17" s="86" t="s">
        <v>453</v>
      </c>
      <c r="J17" s="45" t="s">
        <v>14</v>
      </c>
      <c r="K17" s="45">
        <v>2</v>
      </c>
      <c r="L17" s="45" t="s">
        <v>800</v>
      </c>
      <c r="M17" s="45" t="s">
        <v>30</v>
      </c>
      <c r="N17" s="44"/>
      <c r="O17" s="44" t="s">
        <v>50</v>
      </c>
      <c r="P17" s="44" t="s">
        <v>803</v>
      </c>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row>
    <row r="18" spans="1:45" s="45" customFormat="1">
      <c r="A18" s="45">
        <v>3</v>
      </c>
      <c r="B18" s="82" t="s">
        <v>37</v>
      </c>
      <c r="C18" s="86" t="s">
        <v>578</v>
      </c>
      <c r="D18" s="45" t="s">
        <v>17</v>
      </c>
      <c r="E18" s="87" t="s">
        <v>467</v>
      </c>
      <c r="F18" s="45" t="s">
        <v>14</v>
      </c>
      <c r="G18" s="84" t="s">
        <v>434</v>
      </c>
      <c r="H18" s="45" t="s">
        <v>210</v>
      </c>
      <c r="I18" s="86" t="s">
        <v>581</v>
      </c>
      <c r="J18" s="45" t="s">
        <v>14</v>
      </c>
      <c r="K18" s="45">
        <v>4</v>
      </c>
      <c r="L18" s="45" t="s">
        <v>800</v>
      </c>
      <c r="M18" s="45" t="s">
        <v>30</v>
      </c>
      <c r="N18" s="44"/>
      <c r="O18" s="44" t="s">
        <v>50</v>
      </c>
      <c r="P18" s="44" t="s">
        <v>803</v>
      </c>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row>
    <row r="19" spans="1:45" s="45" customFormat="1">
      <c r="A19" s="45">
        <v>4</v>
      </c>
      <c r="B19" s="82" t="s">
        <v>117</v>
      </c>
      <c r="C19" s="86" t="s">
        <v>450</v>
      </c>
      <c r="D19" s="85" t="s">
        <v>30</v>
      </c>
      <c r="E19" s="45" t="s">
        <v>528</v>
      </c>
      <c r="F19" s="45" t="s">
        <v>14</v>
      </c>
      <c r="G19" s="84" t="s">
        <v>435</v>
      </c>
      <c r="H19" s="45" t="s">
        <v>210</v>
      </c>
      <c r="I19" s="86" t="s">
        <v>447</v>
      </c>
      <c r="J19" s="85" t="s">
        <v>30</v>
      </c>
      <c r="K19" s="45">
        <v>1</v>
      </c>
      <c r="L19" s="45" t="s">
        <v>800</v>
      </c>
      <c r="M19" s="45" t="s">
        <v>30</v>
      </c>
      <c r="N19" s="44"/>
      <c r="O19" s="44" t="s">
        <v>50</v>
      </c>
      <c r="P19" s="44" t="s">
        <v>803</v>
      </c>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row>
    <row r="20" spans="1:45" s="45" customFormat="1">
      <c r="A20" s="45">
        <v>5</v>
      </c>
      <c r="B20" s="82" t="s">
        <v>118</v>
      </c>
      <c r="C20" s="86" t="s">
        <v>451</v>
      </c>
      <c r="D20" s="85" t="s">
        <v>30</v>
      </c>
      <c r="E20" s="45" t="s">
        <v>591</v>
      </c>
      <c r="F20" s="45" t="s">
        <v>14</v>
      </c>
      <c r="G20" s="84" t="s">
        <v>436</v>
      </c>
      <c r="H20" s="45" t="s">
        <v>210</v>
      </c>
      <c r="I20" s="86" t="s">
        <v>448</v>
      </c>
      <c r="J20" s="85" t="s">
        <v>30</v>
      </c>
      <c r="K20" s="45">
        <v>2</v>
      </c>
      <c r="L20" s="45" t="s">
        <v>800</v>
      </c>
      <c r="M20" s="45" t="s">
        <v>30</v>
      </c>
      <c r="N20" s="44"/>
      <c r="O20" s="44" t="s">
        <v>50</v>
      </c>
      <c r="P20" s="44" t="s">
        <v>803</v>
      </c>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row>
    <row r="21" spans="1:45" s="45" customFormat="1">
      <c r="A21" s="45">
        <v>6</v>
      </c>
      <c r="B21" s="82" t="s">
        <v>119</v>
      </c>
      <c r="C21" s="86" t="s">
        <v>452</v>
      </c>
      <c r="D21" s="85" t="s">
        <v>30</v>
      </c>
      <c r="E21" s="45" t="s">
        <v>592</v>
      </c>
      <c r="F21" s="45" t="s">
        <v>14</v>
      </c>
      <c r="G21" s="84" t="s">
        <v>437</v>
      </c>
      <c r="H21" s="45" t="s">
        <v>210</v>
      </c>
      <c r="I21" s="86" t="s">
        <v>449</v>
      </c>
      <c r="J21" s="85" t="s">
        <v>30</v>
      </c>
      <c r="K21" s="45">
        <v>2</v>
      </c>
      <c r="L21" s="45" t="s">
        <v>800</v>
      </c>
      <c r="M21" s="45" t="s">
        <v>30</v>
      </c>
      <c r="N21" s="44"/>
      <c r="O21" s="44" t="s">
        <v>50</v>
      </c>
      <c r="P21" s="44" t="s">
        <v>803</v>
      </c>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row>
    <row r="22" spans="1:45">
      <c r="B22" s="3"/>
      <c r="C22" s="2"/>
      <c r="H22" s="5"/>
      <c r="I22" s="2"/>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row>
    <row r="23" spans="1:45" s="8" customFormat="1">
      <c r="A23" s="180" t="s">
        <v>7</v>
      </c>
      <c r="B23" s="180"/>
      <c r="C23" s="76" t="str">
        <f>C26</f>
        <v>TEMP-S000227635</v>
      </c>
      <c r="D23" s="77" t="s">
        <v>1</v>
      </c>
      <c r="E23" s="78" t="s">
        <v>14</v>
      </c>
      <c r="F23" s="77"/>
      <c r="G23" s="77"/>
      <c r="H23" s="77"/>
      <c r="I23" s="77"/>
      <c r="J23" s="77"/>
      <c r="K23" s="77"/>
      <c r="L23" s="44"/>
      <c r="M23" s="44"/>
      <c r="N23" s="44"/>
      <c r="O23" s="44"/>
      <c r="P23" s="44"/>
    </row>
    <row r="24" spans="1:45" s="8" customFormat="1">
      <c r="A24" s="180" t="s">
        <v>8</v>
      </c>
      <c r="B24" s="180"/>
      <c r="C24" s="79" t="str">
        <f>E26</f>
        <v>TBD</v>
      </c>
      <c r="D24" s="77" t="s">
        <v>9</v>
      </c>
      <c r="E24" s="78" t="s">
        <v>14</v>
      </c>
      <c r="F24" s="77" t="s">
        <v>10</v>
      </c>
      <c r="G24" s="80" t="str">
        <f>G26</f>
        <v>Maxwell Mercury(GB300), CPL, Inner Manifold and Coldplate and SOCAMM HSK-Auras</v>
      </c>
      <c r="H24" s="77"/>
      <c r="I24" s="77"/>
      <c r="J24" s="77"/>
      <c r="K24" s="77"/>
      <c r="L24" s="44"/>
      <c r="M24" s="44"/>
      <c r="N24" s="44"/>
      <c r="O24" s="44"/>
      <c r="P24" s="44"/>
    </row>
    <row r="25" spans="1:45" s="21" customFormat="1" ht="31">
      <c r="A25" s="81" t="s">
        <v>2</v>
      </c>
      <c r="B25" s="81" t="s">
        <v>3</v>
      </c>
      <c r="C25" s="81" t="s">
        <v>11</v>
      </c>
      <c r="D25" s="81" t="s">
        <v>12</v>
      </c>
      <c r="E25" s="81" t="s">
        <v>35</v>
      </c>
      <c r="F25" s="81" t="s">
        <v>13</v>
      </c>
      <c r="G25" s="81" t="s">
        <v>18</v>
      </c>
      <c r="H25" s="81" t="s">
        <v>31</v>
      </c>
      <c r="I25" s="81" t="s">
        <v>19</v>
      </c>
      <c r="J25" s="81" t="s">
        <v>4</v>
      </c>
      <c r="K25" s="81" t="s">
        <v>22</v>
      </c>
      <c r="L25" s="28" t="s">
        <v>798</v>
      </c>
      <c r="M25" s="28" t="s">
        <v>799</v>
      </c>
      <c r="N25" s="28" t="s">
        <v>15</v>
      </c>
      <c r="O25" s="28" t="s">
        <v>49</v>
      </c>
      <c r="P25" s="28" t="s">
        <v>801</v>
      </c>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row>
    <row r="26" spans="1:45" s="45" customFormat="1">
      <c r="A26" s="45">
        <v>1</v>
      </c>
      <c r="B26" s="82" t="s">
        <v>36</v>
      </c>
      <c r="C26" s="83" t="s">
        <v>458</v>
      </c>
      <c r="D26" s="45" t="s">
        <v>17</v>
      </c>
      <c r="E26" s="45" t="s">
        <v>34</v>
      </c>
      <c r="F26" s="45" t="s">
        <v>14</v>
      </c>
      <c r="G26" s="84" t="s">
        <v>426</v>
      </c>
      <c r="H26" s="45" t="s">
        <v>20</v>
      </c>
      <c r="I26" s="83" t="str">
        <f>C26</f>
        <v>TEMP-S000227635</v>
      </c>
      <c r="J26" s="45" t="s">
        <v>14</v>
      </c>
      <c r="K26" s="45">
        <v>1</v>
      </c>
      <c r="L26" s="45" t="s">
        <v>800</v>
      </c>
      <c r="M26" s="45" t="s">
        <v>30</v>
      </c>
      <c r="N26" s="44"/>
      <c r="O26" s="44" t="s">
        <v>50</v>
      </c>
      <c r="P26" s="44" t="s">
        <v>802</v>
      </c>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row>
    <row r="27" spans="1:45" s="45" customFormat="1">
      <c r="A27" s="45">
        <v>2</v>
      </c>
      <c r="B27" s="82" t="s">
        <v>420</v>
      </c>
      <c r="C27" s="86" t="s">
        <v>575</v>
      </c>
      <c r="D27" s="45" t="s">
        <v>17</v>
      </c>
      <c r="E27" s="87" t="s">
        <v>466</v>
      </c>
      <c r="F27" s="45" t="s">
        <v>14</v>
      </c>
      <c r="G27" s="84" t="s">
        <v>438</v>
      </c>
      <c r="H27" s="45" t="s">
        <v>427</v>
      </c>
      <c r="I27" s="86" t="s">
        <v>577</v>
      </c>
      <c r="J27" s="45" t="s">
        <v>14</v>
      </c>
      <c r="K27" s="45">
        <v>2</v>
      </c>
      <c r="L27" s="45" t="s">
        <v>800</v>
      </c>
      <c r="M27" s="45" t="s">
        <v>30</v>
      </c>
      <c r="N27" s="44"/>
      <c r="O27" s="44" t="s">
        <v>50</v>
      </c>
      <c r="P27" s="44" t="s">
        <v>803</v>
      </c>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row>
    <row r="28" spans="1:45" s="45" customFormat="1">
      <c r="A28" s="45">
        <v>3</v>
      </c>
      <c r="B28" s="82" t="s">
        <v>37</v>
      </c>
      <c r="C28" s="86" t="s">
        <v>579</v>
      </c>
      <c r="D28" s="45" t="s">
        <v>17</v>
      </c>
      <c r="E28" s="87" t="s">
        <v>467</v>
      </c>
      <c r="F28" s="45" t="s">
        <v>14</v>
      </c>
      <c r="G28" s="84" t="s">
        <v>439</v>
      </c>
      <c r="H28" s="45" t="s">
        <v>427</v>
      </c>
      <c r="I28" s="86" t="s">
        <v>582</v>
      </c>
      <c r="J28" s="45" t="s">
        <v>14</v>
      </c>
      <c r="K28" s="45">
        <v>4</v>
      </c>
      <c r="L28" s="45" t="s">
        <v>800</v>
      </c>
      <c r="M28" s="45" t="s">
        <v>30</v>
      </c>
      <c r="N28" s="44"/>
      <c r="O28" s="44" t="s">
        <v>50</v>
      </c>
      <c r="P28" s="44" t="s">
        <v>803</v>
      </c>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row>
    <row r="29" spans="1:45" s="45" customFormat="1">
      <c r="A29" s="45">
        <v>4</v>
      </c>
      <c r="B29" s="82" t="s">
        <v>117</v>
      </c>
      <c r="C29" s="86" t="s">
        <v>454</v>
      </c>
      <c r="D29" s="85" t="s">
        <v>30</v>
      </c>
      <c r="E29" s="45" t="s">
        <v>528</v>
      </c>
      <c r="F29" s="45" t="s">
        <v>14</v>
      </c>
      <c r="G29" s="84" t="s">
        <v>440</v>
      </c>
      <c r="H29" s="45" t="s">
        <v>427</v>
      </c>
      <c r="I29" s="86" t="s">
        <v>455</v>
      </c>
      <c r="J29" s="85" t="s">
        <v>30</v>
      </c>
      <c r="K29" s="83">
        <v>1</v>
      </c>
      <c r="L29" s="45" t="s">
        <v>800</v>
      </c>
      <c r="M29" s="45" t="s">
        <v>30</v>
      </c>
      <c r="N29" s="44"/>
      <c r="O29" s="44" t="s">
        <v>50</v>
      </c>
      <c r="P29" s="44" t="s">
        <v>803</v>
      </c>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row>
    <row r="30" spans="1:45" s="45" customFormat="1">
      <c r="A30" s="45">
        <v>5</v>
      </c>
      <c r="B30" s="82" t="s">
        <v>118</v>
      </c>
      <c r="C30" s="83" t="s">
        <v>499</v>
      </c>
      <c r="D30" s="85" t="s">
        <v>30</v>
      </c>
      <c r="E30" s="45" t="s">
        <v>591</v>
      </c>
      <c r="F30" s="45" t="s">
        <v>14</v>
      </c>
      <c r="G30" s="84" t="s">
        <v>441</v>
      </c>
      <c r="H30" s="45" t="s">
        <v>427</v>
      </c>
      <c r="I30" s="83" t="s">
        <v>583</v>
      </c>
      <c r="J30" s="85" t="s">
        <v>30</v>
      </c>
      <c r="K30" s="45">
        <v>2</v>
      </c>
      <c r="L30" s="45" t="s">
        <v>800</v>
      </c>
      <c r="M30" s="45" t="s">
        <v>30</v>
      </c>
      <c r="N30" s="44"/>
      <c r="O30" s="44" t="s">
        <v>50</v>
      </c>
      <c r="P30" s="44" t="s">
        <v>803</v>
      </c>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row>
    <row r="31" spans="1:45" s="45" customFormat="1">
      <c r="A31" s="45">
        <v>6</v>
      </c>
      <c r="B31" s="82" t="s">
        <v>119</v>
      </c>
      <c r="C31" s="83" t="s">
        <v>500</v>
      </c>
      <c r="D31" s="85" t="s">
        <v>30</v>
      </c>
      <c r="E31" s="45" t="s">
        <v>592</v>
      </c>
      <c r="F31" s="45" t="s">
        <v>14</v>
      </c>
      <c r="G31" s="84" t="s">
        <v>442</v>
      </c>
      <c r="H31" s="45" t="s">
        <v>427</v>
      </c>
      <c r="I31" s="83" t="s">
        <v>501</v>
      </c>
      <c r="J31" s="85" t="s">
        <v>30</v>
      </c>
      <c r="K31" s="45">
        <v>2</v>
      </c>
      <c r="L31" s="45" t="s">
        <v>800</v>
      </c>
      <c r="M31" s="45" t="s">
        <v>30</v>
      </c>
      <c r="N31" s="44"/>
      <c r="O31" s="44" t="s">
        <v>50</v>
      </c>
      <c r="P31" s="44" t="s">
        <v>803</v>
      </c>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row>
    <row r="32" spans="1:45">
      <c r="B32" s="3"/>
      <c r="C32" s="2"/>
      <c r="H32" s="5"/>
      <c r="I32" s="2"/>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row>
    <row r="33" spans="1:45" s="8" customFormat="1">
      <c r="A33" s="180" t="s">
        <v>7</v>
      </c>
      <c r="B33" s="180"/>
      <c r="C33" s="76" t="str">
        <f>C36</f>
        <v>TEMP-S000229174</v>
      </c>
      <c r="D33" s="77" t="s">
        <v>1</v>
      </c>
      <c r="E33" s="78" t="s">
        <v>14</v>
      </c>
      <c r="F33" s="77"/>
      <c r="G33" s="77"/>
      <c r="H33" s="77"/>
      <c r="I33" s="77"/>
      <c r="J33" s="77"/>
      <c r="K33" s="77"/>
      <c r="L33" s="44"/>
      <c r="M33" s="44"/>
      <c r="N33" s="44"/>
      <c r="O33" s="44"/>
      <c r="P33" s="44"/>
    </row>
    <row r="34" spans="1:45" s="8" customFormat="1">
      <c r="A34" s="180" t="s">
        <v>8</v>
      </c>
      <c r="B34" s="180"/>
      <c r="C34" s="79" t="str">
        <f>E36</f>
        <v>TBD</v>
      </c>
      <c r="D34" s="77" t="s">
        <v>9</v>
      </c>
      <c r="E34" s="78" t="s">
        <v>14</v>
      </c>
      <c r="F34" s="77" t="s">
        <v>10</v>
      </c>
      <c r="G34" s="80" t="str">
        <f>G36</f>
        <v>Maxwell Mercury(GB300), CPL, Inner Manifold and Coldplate and SOCAMM HSK-BOYD</v>
      </c>
      <c r="H34" s="77"/>
      <c r="I34" s="77"/>
      <c r="J34" s="77"/>
      <c r="K34" s="77"/>
      <c r="L34" s="44"/>
      <c r="M34" s="44"/>
      <c r="N34" s="44"/>
      <c r="O34" s="44"/>
      <c r="P34" s="44"/>
    </row>
    <row r="35" spans="1:45" s="21" customFormat="1" ht="31">
      <c r="A35" s="81" t="s">
        <v>2</v>
      </c>
      <c r="B35" s="81" t="s">
        <v>3</v>
      </c>
      <c r="C35" s="81" t="s">
        <v>11</v>
      </c>
      <c r="D35" s="81" t="s">
        <v>12</v>
      </c>
      <c r="E35" s="81" t="s">
        <v>35</v>
      </c>
      <c r="F35" s="81" t="s">
        <v>13</v>
      </c>
      <c r="G35" s="81" t="s">
        <v>18</v>
      </c>
      <c r="H35" s="81" t="s">
        <v>31</v>
      </c>
      <c r="I35" s="81" t="s">
        <v>19</v>
      </c>
      <c r="J35" s="81" t="s">
        <v>4</v>
      </c>
      <c r="K35" s="81" t="s">
        <v>22</v>
      </c>
      <c r="L35" s="28" t="s">
        <v>798</v>
      </c>
      <c r="M35" s="28" t="s">
        <v>799</v>
      </c>
      <c r="N35" s="28" t="s">
        <v>15</v>
      </c>
      <c r="O35" s="28" t="s">
        <v>49</v>
      </c>
      <c r="P35" s="28" t="s">
        <v>801</v>
      </c>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row>
    <row r="36" spans="1:45" s="45" customFormat="1">
      <c r="A36" s="45">
        <v>1</v>
      </c>
      <c r="B36" s="82" t="s">
        <v>36</v>
      </c>
      <c r="C36" s="83" t="s">
        <v>727</v>
      </c>
      <c r="D36" s="45" t="s">
        <v>17</v>
      </c>
      <c r="E36" s="45" t="s">
        <v>34</v>
      </c>
      <c r="F36" s="45" t="s">
        <v>14</v>
      </c>
      <c r="G36" s="84" t="s">
        <v>726</v>
      </c>
      <c r="H36" s="45" t="s">
        <v>20</v>
      </c>
      <c r="I36" s="83" t="str">
        <f>C36</f>
        <v>TEMP-S000229174</v>
      </c>
      <c r="J36" s="45" t="s">
        <v>14</v>
      </c>
      <c r="K36" s="45">
        <v>1</v>
      </c>
      <c r="L36" s="45" t="s">
        <v>800</v>
      </c>
      <c r="M36" s="45" t="s">
        <v>30</v>
      </c>
      <c r="N36" s="44"/>
      <c r="O36" s="44" t="s">
        <v>50</v>
      </c>
      <c r="P36" s="44" t="s">
        <v>802</v>
      </c>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row>
    <row r="37" spans="1:45" s="45" customFormat="1">
      <c r="A37" s="45">
        <v>2</v>
      </c>
      <c r="B37" s="82" t="s">
        <v>420</v>
      </c>
      <c r="C37" s="86" t="s">
        <v>734</v>
      </c>
      <c r="D37" s="45" t="s">
        <v>17</v>
      </c>
      <c r="E37" s="87" t="s">
        <v>466</v>
      </c>
      <c r="F37" s="45" t="s">
        <v>14</v>
      </c>
      <c r="G37" s="84" t="s">
        <v>728</v>
      </c>
      <c r="H37" s="45" t="s">
        <v>733</v>
      </c>
      <c r="I37" s="86">
        <v>119851</v>
      </c>
      <c r="J37" s="45" t="s">
        <v>14</v>
      </c>
      <c r="K37" s="45">
        <v>2</v>
      </c>
      <c r="L37" s="45" t="s">
        <v>800</v>
      </c>
      <c r="M37" s="45" t="s">
        <v>30</v>
      </c>
      <c r="N37" s="44"/>
      <c r="O37" s="44" t="s">
        <v>50</v>
      </c>
      <c r="P37" s="44" t="s">
        <v>803</v>
      </c>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row>
    <row r="38" spans="1:45" s="45" customFormat="1">
      <c r="A38" s="45">
        <v>3</v>
      </c>
      <c r="B38" s="82" t="s">
        <v>37</v>
      </c>
      <c r="C38" s="86" t="s">
        <v>735</v>
      </c>
      <c r="D38" s="45" t="s">
        <v>17</v>
      </c>
      <c r="E38" s="87" t="s">
        <v>467</v>
      </c>
      <c r="F38" s="45" t="s">
        <v>14</v>
      </c>
      <c r="G38" s="84" t="s">
        <v>729</v>
      </c>
      <c r="H38" s="45" t="s">
        <v>733</v>
      </c>
      <c r="I38" s="86">
        <v>119850</v>
      </c>
      <c r="J38" s="45" t="s">
        <v>14</v>
      </c>
      <c r="K38" s="45">
        <v>4</v>
      </c>
      <c r="L38" s="45" t="s">
        <v>800</v>
      </c>
      <c r="M38" s="45" t="s">
        <v>30</v>
      </c>
      <c r="N38" s="44"/>
      <c r="O38" s="44" t="s">
        <v>50</v>
      </c>
      <c r="P38" s="44" t="s">
        <v>803</v>
      </c>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row>
    <row r="39" spans="1:45" s="45" customFormat="1">
      <c r="A39" s="45">
        <v>4</v>
      </c>
      <c r="B39" s="82" t="s">
        <v>117</v>
      </c>
      <c r="C39" s="86" t="s">
        <v>736</v>
      </c>
      <c r="D39" s="85" t="s">
        <v>30</v>
      </c>
      <c r="E39" s="45" t="s">
        <v>528</v>
      </c>
      <c r="F39" s="45" t="s">
        <v>14</v>
      </c>
      <c r="G39" s="84" t="s">
        <v>730</v>
      </c>
      <c r="H39" s="45" t="s">
        <v>733</v>
      </c>
      <c r="I39" s="86">
        <v>119852</v>
      </c>
      <c r="J39" s="85" t="s">
        <v>30</v>
      </c>
      <c r="K39" s="83">
        <v>1</v>
      </c>
      <c r="L39" s="45" t="s">
        <v>800</v>
      </c>
      <c r="M39" s="45" t="s">
        <v>30</v>
      </c>
      <c r="N39" s="44"/>
      <c r="O39" s="44" t="s">
        <v>50</v>
      </c>
      <c r="P39" s="44" t="s">
        <v>803</v>
      </c>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row>
    <row r="40" spans="1:45" s="45" customFormat="1">
      <c r="A40" s="45">
        <v>5</v>
      </c>
      <c r="B40" s="82" t="s">
        <v>118</v>
      </c>
      <c r="C40" s="83" t="s">
        <v>737</v>
      </c>
      <c r="D40" s="85" t="s">
        <v>30</v>
      </c>
      <c r="E40" s="45" t="s">
        <v>591</v>
      </c>
      <c r="F40" s="45" t="s">
        <v>14</v>
      </c>
      <c r="G40" s="84" t="s">
        <v>731</v>
      </c>
      <c r="H40" s="45" t="s">
        <v>733</v>
      </c>
      <c r="I40" s="83">
        <v>119853</v>
      </c>
      <c r="J40" s="85" t="s">
        <v>30</v>
      </c>
      <c r="K40" s="45">
        <v>2</v>
      </c>
      <c r="L40" s="45" t="s">
        <v>800</v>
      </c>
      <c r="M40" s="45" t="s">
        <v>30</v>
      </c>
      <c r="N40" s="44"/>
      <c r="O40" s="44" t="s">
        <v>50</v>
      </c>
      <c r="P40" s="44" t="s">
        <v>803</v>
      </c>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row>
    <row r="41" spans="1:45" s="45" customFormat="1">
      <c r="A41" s="45">
        <v>6</v>
      </c>
      <c r="B41" s="82" t="s">
        <v>119</v>
      </c>
      <c r="C41" s="83" t="s">
        <v>738</v>
      </c>
      <c r="D41" s="85" t="s">
        <v>30</v>
      </c>
      <c r="E41" s="45" t="s">
        <v>592</v>
      </c>
      <c r="F41" s="45" t="s">
        <v>14</v>
      </c>
      <c r="G41" s="84" t="s">
        <v>732</v>
      </c>
      <c r="H41" s="45" t="s">
        <v>733</v>
      </c>
      <c r="I41" s="83">
        <v>119854</v>
      </c>
      <c r="J41" s="85" t="s">
        <v>30</v>
      </c>
      <c r="K41" s="45">
        <v>2</v>
      </c>
      <c r="L41" s="45" t="s">
        <v>800</v>
      </c>
      <c r="M41" s="45" t="s">
        <v>30</v>
      </c>
      <c r="N41" s="44"/>
      <c r="O41" s="44" t="s">
        <v>50</v>
      </c>
      <c r="P41" s="44" t="s">
        <v>803</v>
      </c>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row>
    <row r="42" spans="1:45">
      <c r="B42" s="3"/>
      <c r="C42" s="2"/>
      <c r="H42" s="5"/>
      <c r="I42" s="2"/>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row>
    <row r="43" spans="1:45" s="8" customFormat="1">
      <c r="A43" s="180" t="s">
        <v>7</v>
      </c>
      <c r="B43" s="180"/>
      <c r="C43" s="76" t="str">
        <f>C46</f>
        <v>TEMP-S000227613NG</v>
      </c>
      <c r="D43" s="77" t="s">
        <v>1</v>
      </c>
      <c r="E43" s="78" t="s">
        <v>14</v>
      </c>
      <c r="F43" s="77"/>
      <c r="G43" s="77"/>
      <c r="H43" s="77"/>
      <c r="I43" s="77"/>
      <c r="J43" s="77"/>
      <c r="K43" s="77"/>
      <c r="L43" s="44"/>
      <c r="M43" s="44"/>
      <c r="N43" s="44"/>
      <c r="O43" s="44"/>
      <c r="P43" s="44"/>
    </row>
    <row r="44" spans="1:45" s="8" customFormat="1">
      <c r="A44" s="180" t="s">
        <v>8</v>
      </c>
      <c r="B44" s="180"/>
      <c r="C44" s="79" t="str">
        <f>E46</f>
        <v>TBD</v>
      </c>
      <c r="D44" s="77" t="s">
        <v>9</v>
      </c>
      <c r="E44" s="78" t="s">
        <v>14</v>
      </c>
      <c r="F44" s="77" t="s">
        <v>10</v>
      </c>
      <c r="G44" s="80" t="str">
        <f>G46</f>
        <v>Maxwell Mercury(GB300), CPL, Inner Manifold and Coldplate and SOCAMM HSK- CM, w/o GPU CP</v>
      </c>
      <c r="H44" s="77"/>
      <c r="I44" s="77"/>
      <c r="J44" s="77"/>
      <c r="K44" s="77"/>
      <c r="L44" s="44"/>
      <c r="M44" s="44"/>
      <c r="N44" s="44"/>
      <c r="O44" s="44"/>
      <c r="P44" s="44"/>
    </row>
    <row r="45" spans="1:45" s="21" customFormat="1" ht="31">
      <c r="A45" s="81" t="s">
        <v>2</v>
      </c>
      <c r="B45" s="81" t="s">
        <v>3</v>
      </c>
      <c r="C45" s="81" t="s">
        <v>11</v>
      </c>
      <c r="D45" s="81" t="s">
        <v>12</v>
      </c>
      <c r="E45" s="81" t="s">
        <v>35</v>
      </c>
      <c r="F45" s="81" t="s">
        <v>13</v>
      </c>
      <c r="G45" s="81" t="s">
        <v>18</v>
      </c>
      <c r="H45" s="81" t="s">
        <v>31</v>
      </c>
      <c r="I45" s="81" t="s">
        <v>19</v>
      </c>
      <c r="J45" s="81" t="s">
        <v>4</v>
      </c>
      <c r="K45" s="81" t="s">
        <v>22</v>
      </c>
      <c r="L45" s="28" t="s">
        <v>798</v>
      </c>
      <c r="M45" s="28" t="s">
        <v>799</v>
      </c>
      <c r="N45" s="28" t="s">
        <v>15</v>
      </c>
      <c r="O45" s="28" t="s">
        <v>49</v>
      </c>
      <c r="P45" s="28" t="s">
        <v>801</v>
      </c>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row>
    <row r="46" spans="1:45" s="45" customFormat="1">
      <c r="A46" s="45">
        <v>1</v>
      </c>
      <c r="B46" s="82" t="s">
        <v>36</v>
      </c>
      <c r="C46" s="83" t="s">
        <v>718</v>
      </c>
      <c r="D46" s="45" t="s">
        <v>17</v>
      </c>
      <c r="E46" s="45" t="s">
        <v>34</v>
      </c>
      <c r="F46" s="45" t="s">
        <v>14</v>
      </c>
      <c r="G46" s="84" t="s">
        <v>721</v>
      </c>
      <c r="H46" s="45" t="s">
        <v>20</v>
      </c>
      <c r="I46" s="83" t="str">
        <f>C46</f>
        <v>TEMP-S000227613NG</v>
      </c>
      <c r="J46" s="45" t="s">
        <v>14</v>
      </c>
      <c r="K46" s="45">
        <v>1</v>
      </c>
      <c r="L46" s="45" t="s">
        <v>800</v>
      </c>
      <c r="M46" s="45" t="s">
        <v>30</v>
      </c>
      <c r="N46" s="44"/>
      <c r="O46" s="44" t="s">
        <v>50</v>
      </c>
      <c r="P46" s="44" t="s">
        <v>802</v>
      </c>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row>
    <row r="47" spans="1:45" s="45" customFormat="1">
      <c r="A47" s="45">
        <v>2</v>
      </c>
      <c r="B47" s="82" t="s">
        <v>420</v>
      </c>
      <c r="C47" s="83" t="s">
        <v>587</v>
      </c>
      <c r="D47" s="45" t="s">
        <v>17</v>
      </c>
      <c r="E47" s="87" t="s">
        <v>466</v>
      </c>
      <c r="F47" s="45" t="s">
        <v>14</v>
      </c>
      <c r="G47" s="84" t="s">
        <v>428</v>
      </c>
      <c r="H47" s="45" t="s">
        <v>421</v>
      </c>
      <c r="I47" s="45" t="s">
        <v>576</v>
      </c>
      <c r="J47" s="45" t="s">
        <v>14</v>
      </c>
      <c r="K47" s="45">
        <v>2</v>
      </c>
      <c r="L47" s="45" t="s">
        <v>800</v>
      </c>
      <c r="M47" s="45" t="s">
        <v>30</v>
      </c>
      <c r="N47" s="44"/>
      <c r="O47" s="44" t="s">
        <v>50</v>
      </c>
      <c r="P47" s="44" t="s">
        <v>803</v>
      </c>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row>
    <row r="48" spans="1:45" s="45" customFormat="1">
      <c r="A48" s="134">
        <v>3</v>
      </c>
      <c r="B48" s="149" t="s">
        <v>37</v>
      </c>
      <c r="C48" s="129" t="s">
        <v>588</v>
      </c>
      <c r="D48" s="134" t="s">
        <v>17</v>
      </c>
      <c r="E48" s="150" t="s">
        <v>467</v>
      </c>
      <c r="F48" s="134" t="s">
        <v>14</v>
      </c>
      <c r="G48" s="151" t="s">
        <v>429</v>
      </c>
      <c r="H48" s="134" t="s">
        <v>421</v>
      </c>
      <c r="I48" s="134" t="s">
        <v>580</v>
      </c>
      <c r="J48" s="134" t="s">
        <v>14</v>
      </c>
      <c r="K48" s="134">
        <v>4</v>
      </c>
      <c r="L48" s="134" t="s">
        <v>800</v>
      </c>
      <c r="M48" s="134" t="s">
        <v>30</v>
      </c>
      <c r="N48" s="134"/>
      <c r="O48" s="134" t="s">
        <v>50</v>
      </c>
      <c r="P48" s="134" t="s">
        <v>803</v>
      </c>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row>
    <row r="49" spans="1:45" s="45" customFormat="1">
      <c r="A49" s="45">
        <v>4</v>
      </c>
      <c r="B49" s="82" t="s">
        <v>117</v>
      </c>
      <c r="C49" s="83" t="s">
        <v>589</v>
      </c>
      <c r="D49" s="85" t="s">
        <v>30</v>
      </c>
      <c r="E49" s="45" t="s">
        <v>528</v>
      </c>
      <c r="F49" s="45" t="s">
        <v>14</v>
      </c>
      <c r="G49" s="84" t="s">
        <v>430</v>
      </c>
      <c r="H49" s="45" t="s">
        <v>421</v>
      </c>
      <c r="I49" s="45" t="s">
        <v>584</v>
      </c>
      <c r="J49" s="85" t="s">
        <v>30</v>
      </c>
      <c r="K49" s="83">
        <v>1</v>
      </c>
      <c r="L49" s="45" t="s">
        <v>800</v>
      </c>
      <c r="M49" s="45" t="s">
        <v>30</v>
      </c>
      <c r="N49" s="44"/>
      <c r="O49" s="44" t="s">
        <v>50</v>
      </c>
      <c r="P49" s="44" t="s">
        <v>803</v>
      </c>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row>
    <row r="50" spans="1:45" s="45" customFormat="1">
      <c r="A50" s="45">
        <v>5</v>
      </c>
      <c r="B50" s="82" t="s">
        <v>118</v>
      </c>
      <c r="C50" s="45" t="s">
        <v>445</v>
      </c>
      <c r="D50" s="85" t="s">
        <v>30</v>
      </c>
      <c r="E50" s="45" t="s">
        <v>591</v>
      </c>
      <c r="F50" s="45" t="s">
        <v>14</v>
      </c>
      <c r="G50" s="84" t="s">
        <v>431</v>
      </c>
      <c r="H50" s="45" t="s">
        <v>421</v>
      </c>
      <c r="I50" s="45" t="s">
        <v>443</v>
      </c>
      <c r="J50" s="85" t="s">
        <v>30</v>
      </c>
      <c r="K50" s="45">
        <v>2</v>
      </c>
      <c r="L50" s="45" t="s">
        <v>800</v>
      </c>
      <c r="M50" s="45" t="s">
        <v>30</v>
      </c>
      <c r="N50" s="44"/>
      <c r="O50" s="44" t="s">
        <v>50</v>
      </c>
      <c r="P50" s="44" t="s">
        <v>803</v>
      </c>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row>
    <row r="51" spans="1:45" s="45" customFormat="1">
      <c r="A51" s="45">
        <v>6</v>
      </c>
      <c r="B51" s="82" t="s">
        <v>119</v>
      </c>
      <c r="C51" s="45" t="s">
        <v>446</v>
      </c>
      <c r="D51" s="85" t="s">
        <v>30</v>
      </c>
      <c r="E51" s="45" t="s">
        <v>592</v>
      </c>
      <c r="F51" s="45" t="s">
        <v>14</v>
      </c>
      <c r="G51" s="84" t="s">
        <v>432</v>
      </c>
      <c r="H51" s="45" t="s">
        <v>421</v>
      </c>
      <c r="I51" s="45" t="s">
        <v>444</v>
      </c>
      <c r="J51" s="85" t="s">
        <v>30</v>
      </c>
      <c r="K51" s="45">
        <v>2</v>
      </c>
      <c r="L51" s="45" t="s">
        <v>800</v>
      </c>
      <c r="M51" s="45" t="s">
        <v>30</v>
      </c>
      <c r="N51" s="44"/>
      <c r="O51" s="44" t="s">
        <v>50</v>
      </c>
      <c r="P51" s="44" t="s">
        <v>803</v>
      </c>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row>
    <row r="52" spans="1:45">
      <c r="B52" s="3"/>
      <c r="C52" s="2"/>
      <c r="H52" s="5"/>
      <c r="I52" s="2"/>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row>
    <row r="53" spans="1:45" s="8" customFormat="1">
      <c r="A53" s="180" t="s">
        <v>7</v>
      </c>
      <c r="B53" s="180"/>
      <c r="C53" s="76" t="str">
        <f>C56</f>
        <v>TEMP-S000227634NG</v>
      </c>
      <c r="D53" s="77" t="s">
        <v>1</v>
      </c>
      <c r="E53" s="78" t="s">
        <v>14</v>
      </c>
      <c r="F53" s="77"/>
      <c r="G53" s="77"/>
      <c r="H53" s="77"/>
      <c r="I53" s="77"/>
      <c r="J53" s="77"/>
      <c r="K53" s="77"/>
      <c r="L53" s="44"/>
      <c r="M53" s="44"/>
      <c r="N53" s="44"/>
      <c r="O53" s="44"/>
      <c r="P53" s="44"/>
    </row>
    <row r="54" spans="1:45" s="8" customFormat="1">
      <c r="A54" s="180" t="s">
        <v>8</v>
      </c>
      <c r="B54" s="180"/>
      <c r="C54" s="79" t="str">
        <f>E56</f>
        <v>TBD</v>
      </c>
      <c r="D54" s="77" t="s">
        <v>9</v>
      </c>
      <c r="E54" s="78" t="s">
        <v>14</v>
      </c>
      <c r="F54" s="77" t="s">
        <v>10</v>
      </c>
      <c r="G54" s="80" t="s">
        <v>423</v>
      </c>
      <c r="H54" s="77"/>
      <c r="I54" s="77"/>
      <c r="J54" s="77"/>
      <c r="K54" s="77"/>
      <c r="L54" s="44"/>
      <c r="M54" s="44"/>
      <c r="N54" s="44"/>
      <c r="O54" s="44"/>
      <c r="P54" s="44"/>
    </row>
    <row r="55" spans="1:45" s="21" customFormat="1" ht="31">
      <c r="A55" s="81" t="s">
        <v>2</v>
      </c>
      <c r="B55" s="81" t="s">
        <v>3</v>
      </c>
      <c r="C55" s="81" t="s">
        <v>11</v>
      </c>
      <c r="D55" s="81" t="s">
        <v>12</v>
      </c>
      <c r="E55" s="81" t="s">
        <v>35</v>
      </c>
      <c r="F55" s="81" t="s">
        <v>13</v>
      </c>
      <c r="G55" s="81" t="s">
        <v>18</v>
      </c>
      <c r="H55" s="81" t="s">
        <v>31</v>
      </c>
      <c r="I55" s="81" t="s">
        <v>19</v>
      </c>
      <c r="J55" s="81" t="s">
        <v>4</v>
      </c>
      <c r="K55" s="81" t="s">
        <v>22</v>
      </c>
      <c r="L55" s="28" t="s">
        <v>798</v>
      </c>
      <c r="M55" s="28" t="s">
        <v>799</v>
      </c>
      <c r="N55" s="28" t="s">
        <v>15</v>
      </c>
      <c r="O55" s="28" t="s">
        <v>49</v>
      </c>
      <c r="P55" s="28" t="s">
        <v>801</v>
      </c>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row>
    <row r="56" spans="1:45" s="45" customFormat="1">
      <c r="A56" s="45">
        <v>1</v>
      </c>
      <c r="B56" s="82" t="s">
        <v>36</v>
      </c>
      <c r="C56" s="83" t="s">
        <v>719</v>
      </c>
      <c r="D56" s="45" t="s">
        <v>17</v>
      </c>
      <c r="E56" s="45" t="s">
        <v>34</v>
      </c>
      <c r="F56" s="45" t="s">
        <v>14</v>
      </c>
      <c r="G56" s="84" t="s">
        <v>722</v>
      </c>
      <c r="H56" s="45" t="s">
        <v>20</v>
      </c>
      <c r="I56" s="83" t="str">
        <f>C56</f>
        <v>TEMP-S000227634NG</v>
      </c>
      <c r="J56" s="45" t="s">
        <v>14</v>
      </c>
      <c r="K56" s="45">
        <v>1</v>
      </c>
      <c r="L56" s="45" t="s">
        <v>800</v>
      </c>
      <c r="M56" s="45" t="s">
        <v>30</v>
      </c>
      <c r="N56" s="44"/>
      <c r="O56" s="44" t="s">
        <v>50</v>
      </c>
      <c r="P56" s="44" t="s">
        <v>802</v>
      </c>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row>
    <row r="57" spans="1:45" s="45" customFormat="1">
      <c r="A57" s="45">
        <v>2</v>
      </c>
      <c r="B57" s="82" t="s">
        <v>420</v>
      </c>
      <c r="C57" s="86" t="s">
        <v>574</v>
      </c>
      <c r="D57" s="45" t="s">
        <v>17</v>
      </c>
      <c r="E57" s="87" t="s">
        <v>466</v>
      </c>
      <c r="F57" s="45" t="s">
        <v>14</v>
      </c>
      <c r="G57" s="84" t="s">
        <v>433</v>
      </c>
      <c r="H57" s="45" t="s">
        <v>210</v>
      </c>
      <c r="I57" s="86" t="s">
        <v>453</v>
      </c>
      <c r="J57" s="45" t="s">
        <v>14</v>
      </c>
      <c r="K57" s="45">
        <v>2</v>
      </c>
      <c r="L57" s="45" t="s">
        <v>800</v>
      </c>
      <c r="M57" s="45" t="s">
        <v>30</v>
      </c>
      <c r="N57" s="44"/>
      <c r="O57" s="44" t="s">
        <v>50</v>
      </c>
      <c r="P57" s="44" t="s">
        <v>803</v>
      </c>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row>
    <row r="58" spans="1:45" s="45" customFormat="1">
      <c r="A58" s="134">
        <v>3</v>
      </c>
      <c r="B58" s="149" t="s">
        <v>37</v>
      </c>
      <c r="C58" s="152" t="s">
        <v>578</v>
      </c>
      <c r="D58" s="134" t="s">
        <v>17</v>
      </c>
      <c r="E58" s="150" t="s">
        <v>467</v>
      </c>
      <c r="F58" s="134" t="s">
        <v>14</v>
      </c>
      <c r="G58" s="151" t="s">
        <v>434</v>
      </c>
      <c r="H58" s="134" t="s">
        <v>210</v>
      </c>
      <c r="I58" s="152" t="s">
        <v>581</v>
      </c>
      <c r="J58" s="134" t="s">
        <v>14</v>
      </c>
      <c r="K58" s="134">
        <v>4</v>
      </c>
      <c r="L58" s="134" t="s">
        <v>800</v>
      </c>
      <c r="M58" s="134" t="s">
        <v>30</v>
      </c>
      <c r="N58" s="134"/>
      <c r="O58" s="134" t="s">
        <v>50</v>
      </c>
      <c r="P58" s="134" t="s">
        <v>803</v>
      </c>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row>
    <row r="59" spans="1:45" s="45" customFormat="1">
      <c r="A59" s="45">
        <v>4</v>
      </c>
      <c r="B59" s="82" t="s">
        <v>117</v>
      </c>
      <c r="C59" s="86" t="s">
        <v>450</v>
      </c>
      <c r="D59" s="85" t="s">
        <v>30</v>
      </c>
      <c r="E59" s="45" t="s">
        <v>528</v>
      </c>
      <c r="F59" s="45" t="s">
        <v>14</v>
      </c>
      <c r="G59" s="84" t="s">
        <v>435</v>
      </c>
      <c r="H59" s="45" t="s">
        <v>210</v>
      </c>
      <c r="I59" s="86" t="s">
        <v>447</v>
      </c>
      <c r="J59" s="85" t="s">
        <v>30</v>
      </c>
      <c r="K59" s="83">
        <v>1</v>
      </c>
      <c r="L59" s="45" t="s">
        <v>800</v>
      </c>
      <c r="M59" s="45" t="s">
        <v>30</v>
      </c>
      <c r="N59" s="44"/>
      <c r="O59" s="44" t="s">
        <v>50</v>
      </c>
      <c r="P59" s="44" t="s">
        <v>803</v>
      </c>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row>
    <row r="60" spans="1:45" s="45" customFormat="1">
      <c r="A60" s="45">
        <v>5</v>
      </c>
      <c r="B60" s="82" t="s">
        <v>118</v>
      </c>
      <c r="C60" s="86" t="s">
        <v>451</v>
      </c>
      <c r="D60" s="85" t="s">
        <v>30</v>
      </c>
      <c r="E60" s="45" t="s">
        <v>591</v>
      </c>
      <c r="F60" s="45" t="s">
        <v>14</v>
      </c>
      <c r="G60" s="84" t="s">
        <v>436</v>
      </c>
      <c r="H60" s="45" t="s">
        <v>210</v>
      </c>
      <c r="I60" s="86" t="s">
        <v>448</v>
      </c>
      <c r="J60" s="85" t="s">
        <v>30</v>
      </c>
      <c r="K60" s="45">
        <v>2</v>
      </c>
      <c r="L60" s="45" t="s">
        <v>800</v>
      </c>
      <c r="M60" s="45" t="s">
        <v>30</v>
      </c>
      <c r="N60" s="44"/>
      <c r="O60" s="44" t="s">
        <v>50</v>
      </c>
      <c r="P60" s="44" t="s">
        <v>803</v>
      </c>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row>
    <row r="61" spans="1:45" s="45" customFormat="1">
      <c r="A61" s="45">
        <v>6</v>
      </c>
      <c r="B61" s="82" t="s">
        <v>119</v>
      </c>
      <c r="C61" s="86" t="s">
        <v>452</v>
      </c>
      <c r="D61" s="85" t="s">
        <v>30</v>
      </c>
      <c r="E61" s="45" t="s">
        <v>592</v>
      </c>
      <c r="F61" s="45" t="s">
        <v>14</v>
      </c>
      <c r="G61" s="84" t="s">
        <v>437</v>
      </c>
      <c r="H61" s="45" t="s">
        <v>210</v>
      </c>
      <c r="I61" s="86" t="s">
        <v>449</v>
      </c>
      <c r="J61" s="85" t="s">
        <v>30</v>
      </c>
      <c r="K61" s="45">
        <v>2</v>
      </c>
      <c r="L61" s="45" t="s">
        <v>800</v>
      </c>
      <c r="M61" s="45" t="s">
        <v>30</v>
      </c>
      <c r="N61" s="44"/>
      <c r="O61" s="44" t="s">
        <v>50</v>
      </c>
      <c r="P61" s="44" t="s">
        <v>803</v>
      </c>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row>
    <row r="62" spans="1:45">
      <c r="B62" s="3"/>
      <c r="C62" s="2"/>
      <c r="H62" s="5"/>
      <c r="I62" s="2"/>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row>
    <row r="63" spans="1:45" s="8" customFormat="1">
      <c r="A63" s="180" t="s">
        <v>7</v>
      </c>
      <c r="B63" s="180"/>
      <c r="C63" s="76" t="str">
        <f>C66</f>
        <v>TEMP-S000227635NG</v>
      </c>
      <c r="D63" s="77" t="s">
        <v>1</v>
      </c>
      <c r="E63" s="78" t="s">
        <v>14</v>
      </c>
      <c r="F63" s="77"/>
      <c r="G63" s="77"/>
      <c r="H63" s="77"/>
      <c r="I63" s="77"/>
      <c r="J63" s="77"/>
      <c r="K63" s="77"/>
      <c r="L63" s="44"/>
      <c r="M63" s="44"/>
      <c r="N63" s="44"/>
      <c r="O63" s="44"/>
      <c r="P63" s="44"/>
    </row>
    <row r="64" spans="1:45" s="8" customFormat="1">
      <c r="A64" s="180" t="s">
        <v>8</v>
      </c>
      <c r="B64" s="180"/>
      <c r="C64" s="79" t="str">
        <f>E66</f>
        <v>TBD</v>
      </c>
      <c r="D64" s="77" t="s">
        <v>9</v>
      </c>
      <c r="E64" s="78" t="s">
        <v>14</v>
      </c>
      <c r="F64" s="77" t="s">
        <v>10</v>
      </c>
      <c r="G64" s="80" t="str">
        <f>G66</f>
        <v>Maxwell Mercury(GB300), CPL, Inner Manifold and Coldplate and SOCAMM HSK-Auras, w/o GPU CP</v>
      </c>
      <c r="H64" s="77"/>
      <c r="I64" s="77"/>
      <c r="J64" s="77"/>
      <c r="K64" s="77"/>
      <c r="L64" s="44"/>
      <c r="M64" s="44"/>
      <c r="N64" s="44"/>
      <c r="O64" s="44"/>
      <c r="P64" s="44"/>
    </row>
    <row r="65" spans="1:45" s="21" customFormat="1" ht="31">
      <c r="A65" s="81" t="s">
        <v>2</v>
      </c>
      <c r="B65" s="81" t="s">
        <v>3</v>
      </c>
      <c r="C65" s="81" t="s">
        <v>11</v>
      </c>
      <c r="D65" s="81" t="s">
        <v>12</v>
      </c>
      <c r="E65" s="81" t="s">
        <v>35</v>
      </c>
      <c r="F65" s="81" t="s">
        <v>13</v>
      </c>
      <c r="G65" s="81" t="s">
        <v>18</v>
      </c>
      <c r="H65" s="81" t="s">
        <v>31</v>
      </c>
      <c r="I65" s="81" t="s">
        <v>19</v>
      </c>
      <c r="J65" s="81" t="s">
        <v>4</v>
      </c>
      <c r="K65" s="81" t="s">
        <v>22</v>
      </c>
      <c r="L65" s="28" t="s">
        <v>798</v>
      </c>
      <c r="M65" s="28" t="s">
        <v>799</v>
      </c>
      <c r="N65" s="28" t="s">
        <v>15</v>
      </c>
      <c r="O65" s="28" t="s">
        <v>49</v>
      </c>
      <c r="P65" s="28" t="s">
        <v>801</v>
      </c>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row>
    <row r="66" spans="1:45" s="45" customFormat="1">
      <c r="A66" s="45">
        <v>1</v>
      </c>
      <c r="B66" s="82" t="s">
        <v>36</v>
      </c>
      <c r="C66" s="83" t="s">
        <v>720</v>
      </c>
      <c r="D66" s="45" t="s">
        <v>17</v>
      </c>
      <c r="E66" s="45" t="s">
        <v>34</v>
      </c>
      <c r="F66" s="45" t="s">
        <v>14</v>
      </c>
      <c r="G66" s="84" t="s">
        <v>724</v>
      </c>
      <c r="H66" s="45" t="s">
        <v>20</v>
      </c>
      <c r="I66" s="83" t="str">
        <f>C66</f>
        <v>TEMP-S000227635NG</v>
      </c>
      <c r="J66" s="45" t="s">
        <v>14</v>
      </c>
      <c r="K66" s="45">
        <v>1</v>
      </c>
      <c r="L66" s="45" t="s">
        <v>800</v>
      </c>
      <c r="M66" s="45" t="s">
        <v>30</v>
      </c>
      <c r="N66" s="44"/>
      <c r="O66" s="44" t="s">
        <v>50</v>
      </c>
      <c r="P66" s="44" t="s">
        <v>802</v>
      </c>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row>
    <row r="67" spans="1:45" s="45" customFormat="1">
      <c r="A67" s="45">
        <v>2</v>
      </c>
      <c r="B67" s="82" t="s">
        <v>420</v>
      </c>
      <c r="C67" s="86" t="s">
        <v>575</v>
      </c>
      <c r="D67" s="45" t="s">
        <v>17</v>
      </c>
      <c r="E67" s="87" t="s">
        <v>466</v>
      </c>
      <c r="F67" s="45" t="s">
        <v>14</v>
      </c>
      <c r="G67" s="84" t="s">
        <v>438</v>
      </c>
      <c r="H67" s="45" t="s">
        <v>427</v>
      </c>
      <c r="I67" s="86" t="s">
        <v>577</v>
      </c>
      <c r="J67" s="45" t="s">
        <v>14</v>
      </c>
      <c r="K67" s="45">
        <v>2</v>
      </c>
      <c r="L67" s="45" t="s">
        <v>800</v>
      </c>
      <c r="M67" s="45" t="s">
        <v>30</v>
      </c>
      <c r="N67" s="44"/>
      <c r="O67" s="44" t="s">
        <v>50</v>
      </c>
      <c r="P67" s="44" t="s">
        <v>803</v>
      </c>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row>
    <row r="68" spans="1:45" s="45" customFormat="1">
      <c r="A68" s="134">
        <v>3</v>
      </c>
      <c r="B68" s="149" t="s">
        <v>37</v>
      </c>
      <c r="C68" s="152" t="s">
        <v>579</v>
      </c>
      <c r="D68" s="134" t="s">
        <v>17</v>
      </c>
      <c r="E68" s="150" t="s">
        <v>467</v>
      </c>
      <c r="F68" s="134" t="s">
        <v>14</v>
      </c>
      <c r="G68" s="151" t="s">
        <v>439</v>
      </c>
      <c r="H68" s="134" t="s">
        <v>427</v>
      </c>
      <c r="I68" s="152" t="s">
        <v>582</v>
      </c>
      <c r="J68" s="134" t="s">
        <v>14</v>
      </c>
      <c r="K68" s="134">
        <v>4</v>
      </c>
      <c r="L68" s="134" t="s">
        <v>800</v>
      </c>
      <c r="M68" s="134" t="s">
        <v>30</v>
      </c>
      <c r="N68" s="134"/>
      <c r="O68" s="134" t="s">
        <v>50</v>
      </c>
      <c r="P68" s="134" t="s">
        <v>803</v>
      </c>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row>
    <row r="69" spans="1:45" s="45" customFormat="1">
      <c r="A69" s="45">
        <v>4</v>
      </c>
      <c r="B69" s="82" t="s">
        <v>117</v>
      </c>
      <c r="C69" s="86" t="s">
        <v>454</v>
      </c>
      <c r="D69" s="85" t="s">
        <v>30</v>
      </c>
      <c r="E69" s="45" t="s">
        <v>528</v>
      </c>
      <c r="F69" s="45" t="s">
        <v>14</v>
      </c>
      <c r="G69" s="84" t="s">
        <v>440</v>
      </c>
      <c r="H69" s="45" t="s">
        <v>427</v>
      </c>
      <c r="I69" s="86" t="s">
        <v>455</v>
      </c>
      <c r="J69" s="85" t="s">
        <v>30</v>
      </c>
      <c r="K69" s="83">
        <v>1</v>
      </c>
      <c r="L69" s="45" t="s">
        <v>800</v>
      </c>
      <c r="M69" s="45" t="s">
        <v>30</v>
      </c>
      <c r="N69" s="44"/>
      <c r="O69" s="44" t="s">
        <v>50</v>
      </c>
      <c r="P69" s="44" t="s">
        <v>803</v>
      </c>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row>
    <row r="70" spans="1:45" s="45" customFormat="1">
      <c r="A70" s="45">
        <v>5</v>
      </c>
      <c r="B70" s="82" t="s">
        <v>118</v>
      </c>
      <c r="C70" s="83" t="s">
        <v>499</v>
      </c>
      <c r="D70" s="85" t="s">
        <v>30</v>
      </c>
      <c r="E70" s="45" t="s">
        <v>591</v>
      </c>
      <c r="F70" s="45" t="s">
        <v>14</v>
      </c>
      <c r="G70" s="84" t="s">
        <v>441</v>
      </c>
      <c r="H70" s="45" t="s">
        <v>427</v>
      </c>
      <c r="I70" s="83" t="s">
        <v>583</v>
      </c>
      <c r="J70" s="85" t="s">
        <v>30</v>
      </c>
      <c r="K70" s="45">
        <v>2</v>
      </c>
      <c r="L70" s="45" t="s">
        <v>800</v>
      </c>
      <c r="M70" s="45" t="s">
        <v>30</v>
      </c>
      <c r="N70" s="44"/>
      <c r="O70" s="44" t="s">
        <v>50</v>
      </c>
      <c r="P70" s="44" t="s">
        <v>803</v>
      </c>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row>
    <row r="71" spans="1:45" s="45" customFormat="1">
      <c r="A71" s="45">
        <v>6</v>
      </c>
      <c r="B71" s="82" t="s">
        <v>119</v>
      </c>
      <c r="C71" s="83" t="s">
        <v>500</v>
      </c>
      <c r="D71" s="85" t="s">
        <v>30</v>
      </c>
      <c r="E71" s="45" t="s">
        <v>592</v>
      </c>
      <c r="F71" s="45" t="s">
        <v>14</v>
      </c>
      <c r="G71" s="84" t="s">
        <v>442</v>
      </c>
      <c r="H71" s="45" t="s">
        <v>427</v>
      </c>
      <c r="I71" s="83" t="s">
        <v>501</v>
      </c>
      <c r="J71" s="85" t="s">
        <v>30</v>
      </c>
      <c r="K71" s="45">
        <v>2</v>
      </c>
      <c r="L71" s="45" t="s">
        <v>800</v>
      </c>
      <c r="M71" s="45" t="s">
        <v>30</v>
      </c>
      <c r="N71" s="44"/>
      <c r="O71" s="44" t="s">
        <v>50</v>
      </c>
      <c r="P71" s="44" t="s">
        <v>803</v>
      </c>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row>
    <row r="72" spans="1:45">
      <c r="B72" s="3"/>
      <c r="C72" s="2"/>
      <c r="H72" s="5"/>
      <c r="I72" s="2"/>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row>
    <row r="73" spans="1:45" s="8" customFormat="1">
      <c r="A73" s="180" t="s">
        <v>7</v>
      </c>
      <c r="B73" s="180"/>
      <c r="C73" s="76" t="str">
        <f>C76</f>
        <v>TEMP-S000229174NG</v>
      </c>
      <c r="D73" s="77" t="s">
        <v>1</v>
      </c>
      <c r="E73" s="78" t="s">
        <v>14</v>
      </c>
      <c r="F73" s="77"/>
      <c r="G73" s="77"/>
      <c r="H73" s="77"/>
      <c r="I73" s="77"/>
      <c r="J73" s="77"/>
      <c r="K73" s="77"/>
      <c r="L73" s="44"/>
      <c r="M73" s="44"/>
      <c r="N73" s="44"/>
      <c r="O73" s="44"/>
      <c r="P73" s="44"/>
    </row>
    <row r="74" spans="1:45" s="8" customFormat="1">
      <c r="A74" s="180" t="s">
        <v>8</v>
      </c>
      <c r="B74" s="180"/>
      <c r="C74" s="79" t="str">
        <f>E76</f>
        <v>TBD</v>
      </c>
      <c r="D74" s="77" t="s">
        <v>9</v>
      </c>
      <c r="E74" s="78" t="s">
        <v>14</v>
      </c>
      <c r="F74" s="77" t="s">
        <v>10</v>
      </c>
      <c r="G74" s="80" t="str">
        <f>G76</f>
        <v>Maxwell Mercury(GB300), CPL, Inner Manifold and Coldplate and SOCAMM HSK-BOYD, w/o GPU CP</v>
      </c>
      <c r="H74" s="77"/>
      <c r="I74" s="77"/>
      <c r="J74" s="77"/>
      <c r="K74" s="77"/>
      <c r="L74" s="44"/>
      <c r="M74" s="44"/>
      <c r="N74" s="44"/>
      <c r="O74" s="44"/>
      <c r="P74" s="44"/>
    </row>
    <row r="75" spans="1:45" s="21" customFormat="1" ht="31">
      <c r="A75" s="81" t="s">
        <v>2</v>
      </c>
      <c r="B75" s="81" t="s">
        <v>3</v>
      </c>
      <c r="C75" s="81" t="s">
        <v>11</v>
      </c>
      <c r="D75" s="81" t="s">
        <v>12</v>
      </c>
      <c r="E75" s="81" t="s">
        <v>35</v>
      </c>
      <c r="F75" s="81" t="s">
        <v>13</v>
      </c>
      <c r="G75" s="81" t="s">
        <v>18</v>
      </c>
      <c r="H75" s="81" t="s">
        <v>31</v>
      </c>
      <c r="I75" s="81" t="s">
        <v>19</v>
      </c>
      <c r="J75" s="81" t="s">
        <v>4</v>
      </c>
      <c r="K75" s="81" t="s">
        <v>22</v>
      </c>
      <c r="L75" s="28" t="s">
        <v>798</v>
      </c>
      <c r="M75" s="28" t="s">
        <v>799</v>
      </c>
      <c r="N75" s="28" t="s">
        <v>15</v>
      </c>
      <c r="O75" s="28" t="s">
        <v>49</v>
      </c>
      <c r="P75" s="28" t="s">
        <v>801</v>
      </c>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row>
    <row r="76" spans="1:45" s="45" customFormat="1">
      <c r="A76" s="45">
        <v>1</v>
      </c>
      <c r="B76" s="82" t="s">
        <v>36</v>
      </c>
      <c r="C76" s="83" t="s">
        <v>739</v>
      </c>
      <c r="D76" s="45" t="s">
        <v>17</v>
      </c>
      <c r="E76" s="45" t="s">
        <v>34</v>
      </c>
      <c r="F76" s="45" t="s">
        <v>14</v>
      </c>
      <c r="G76" s="84" t="s">
        <v>740</v>
      </c>
      <c r="H76" s="45" t="s">
        <v>20</v>
      </c>
      <c r="I76" s="83" t="str">
        <f>C76</f>
        <v>TEMP-S000229174NG</v>
      </c>
      <c r="J76" s="45" t="s">
        <v>14</v>
      </c>
      <c r="K76" s="45">
        <v>1</v>
      </c>
      <c r="L76" s="45" t="s">
        <v>800</v>
      </c>
      <c r="M76" s="45" t="s">
        <v>30</v>
      </c>
      <c r="N76" s="44"/>
      <c r="O76" s="44" t="s">
        <v>50</v>
      </c>
      <c r="P76" s="44" t="s">
        <v>802</v>
      </c>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row>
    <row r="77" spans="1:45" s="45" customFormat="1">
      <c r="A77" s="45">
        <v>2</v>
      </c>
      <c r="B77" s="82" t="s">
        <v>420</v>
      </c>
      <c r="C77" s="86" t="s">
        <v>734</v>
      </c>
      <c r="D77" s="45" t="s">
        <v>17</v>
      </c>
      <c r="E77" s="87" t="s">
        <v>466</v>
      </c>
      <c r="F77" s="45" t="s">
        <v>14</v>
      </c>
      <c r="G77" s="84" t="s">
        <v>728</v>
      </c>
      <c r="H77" s="45" t="s">
        <v>733</v>
      </c>
      <c r="I77" s="86">
        <v>119851</v>
      </c>
      <c r="J77" s="45" t="s">
        <v>14</v>
      </c>
      <c r="K77" s="45">
        <v>2</v>
      </c>
      <c r="L77" s="45" t="s">
        <v>800</v>
      </c>
      <c r="M77" s="45" t="s">
        <v>30</v>
      </c>
      <c r="N77" s="44"/>
      <c r="O77" s="44" t="s">
        <v>50</v>
      </c>
      <c r="P77" s="44" t="s">
        <v>803</v>
      </c>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row>
    <row r="78" spans="1:45" s="45" customFormat="1">
      <c r="A78" s="134">
        <v>3</v>
      </c>
      <c r="B78" s="149" t="s">
        <v>37</v>
      </c>
      <c r="C78" s="152" t="s">
        <v>735</v>
      </c>
      <c r="D78" s="134" t="s">
        <v>17</v>
      </c>
      <c r="E78" s="150" t="s">
        <v>467</v>
      </c>
      <c r="F78" s="134" t="s">
        <v>14</v>
      </c>
      <c r="G78" s="151" t="s">
        <v>729</v>
      </c>
      <c r="H78" s="134" t="s">
        <v>733</v>
      </c>
      <c r="I78" s="152">
        <v>119850</v>
      </c>
      <c r="J78" s="134" t="s">
        <v>14</v>
      </c>
      <c r="K78" s="134">
        <v>4</v>
      </c>
      <c r="L78" s="134" t="s">
        <v>800</v>
      </c>
      <c r="M78" s="134" t="s">
        <v>30</v>
      </c>
      <c r="N78" s="134"/>
      <c r="O78" s="134" t="s">
        <v>50</v>
      </c>
      <c r="P78" s="134" t="s">
        <v>803</v>
      </c>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row>
    <row r="79" spans="1:45" s="45" customFormat="1">
      <c r="A79" s="45">
        <v>4</v>
      </c>
      <c r="B79" s="82" t="s">
        <v>117</v>
      </c>
      <c r="C79" s="86" t="s">
        <v>736</v>
      </c>
      <c r="D79" s="85" t="s">
        <v>30</v>
      </c>
      <c r="E79" s="45" t="s">
        <v>528</v>
      </c>
      <c r="F79" s="45" t="s">
        <v>14</v>
      </c>
      <c r="G79" s="84" t="s">
        <v>730</v>
      </c>
      <c r="H79" s="45" t="s">
        <v>733</v>
      </c>
      <c r="I79" s="86">
        <v>119852</v>
      </c>
      <c r="J79" s="85" t="s">
        <v>30</v>
      </c>
      <c r="K79" s="83">
        <v>1</v>
      </c>
      <c r="L79" s="45" t="s">
        <v>800</v>
      </c>
      <c r="M79" s="45" t="s">
        <v>30</v>
      </c>
      <c r="N79" s="44"/>
      <c r="O79" s="44" t="s">
        <v>50</v>
      </c>
      <c r="P79" s="44" t="s">
        <v>803</v>
      </c>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row>
    <row r="80" spans="1:45" s="45" customFormat="1">
      <c r="A80" s="45">
        <v>5</v>
      </c>
      <c r="B80" s="82" t="s">
        <v>118</v>
      </c>
      <c r="C80" s="83" t="s">
        <v>737</v>
      </c>
      <c r="D80" s="85" t="s">
        <v>30</v>
      </c>
      <c r="E80" s="45" t="s">
        <v>591</v>
      </c>
      <c r="F80" s="45" t="s">
        <v>14</v>
      </c>
      <c r="G80" s="84" t="s">
        <v>731</v>
      </c>
      <c r="H80" s="45" t="s">
        <v>733</v>
      </c>
      <c r="I80" s="83">
        <v>119853</v>
      </c>
      <c r="J80" s="85" t="s">
        <v>30</v>
      </c>
      <c r="K80" s="45">
        <v>2</v>
      </c>
      <c r="L80" s="45" t="s">
        <v>800</v>
      </c>
      <c r="M80" s="45" t="s">
        <v>30</v>
      </c>
      <c r="N80" s="44"/>
      <c r="O80" s="44" t="s">
        <v>50</v>
      </c>
      <c r="P80" s="44" t="s">
        <v>803</v>
      </c>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row>
    <row r="81" spans="1:45" s="45" customFormat="1">
      <c r="A81" s="45">
        <v>6</v>
      </c>
      <c r="B81" s="82" t="s">
        <v>119</v>
      </c>
      <c r="C81" s="83" t="s">
        <v>738</v>
      </c>
      <c r="D81" s="85" t="s">
        <v>30</v>
      </c>
      <c r="E81" s="45" t="s">
        <v>592</v>
      </c>
      <c r="F81" s="45" t="s">
        <v>14</v>
      </c>
      <c r="G81" s="84" t="s">
        <v>732</v>
      </c>
      <c r="H81" s="45" t="s">
        <v>733</v>
      </c>
      <c r="I81" s="83">
        <v>119854</v>
      </c>
      <c r="J81" s="85" t="s">
        <v>30</v>
      </c>
      <c r="K81" s="45">
        <v>2</v>
      </c>
      <c r="L81" s="45" t="s">
        <v>800</v>
      </c>
      <c r="M81" s="45" t="s">
        <v>30</v>
      </c>
      <c r="N81" s="44"/>
      <c r="O81" s="44" t="s">
        <v>50</v>
      </c>
      <c r="P81" s="44" t="s">
        <v>803</v>
      </c>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row>
    <row r="82" spans="1:45">
      <c r="B82" s="3"/>
      <c r="C82" s="2"/>
      <c r="H82" s="5"/>
      <c r="I82" s="2"/>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row>
    <row r="83" spans="1:45">
      <c r="B83" s="3"/>
      <c r="C83" s="2"/>
      <c r="H83" s="5"/>
      <c r="I83" s="2"/>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row>
    <row r="84" spans="1:45">
      <c r="A84" s="17"/>
      <c r="B84" s="1" t="s">
        <v>15</v>
      </c>
      <c r="C84" s="10" t="s">
        <v>16</v>
      </c>
      <c r="D84" s="18"/>
      <c r="E84" s="17"/>
      <c r="F84" s="17"/>
      <c r="G84" s="4"/>
      <c r="H84" s="17"/>
      <c r="I84" s="17"/>
      <c r="J84" s="17"/>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row>
    <row r="85" spans="1:45">
      <c r="A85" s="17"/>
      <c r="B85" s="17"/>
      <c r="C85" s="15" t="s">
        <v>5</v>
      </c>
      <c r="D85" s="17"/>
      <c r="E85" s="17"/>
      <c r="F85" s="17"/>
      <c r="G85" s="16"/>
      <c r="H85" s="17"/>
      <c r="I85" s="17"/>
      <c r="J85" s="17"/>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row>
    <row r="86" spans="1:45">
      <c r="A86" s="17"/>
      <c r="B86" s="17"/>
      <c r="C86" s="19" t="s">
        <v>6</v>
      </c>
      <c r="D86" s="17"/>
      <c r="E86" s="17"/>
      <c r="F86" s="17"/>
      <c r="G86" s="16"/>
      <c r="H86" s="17"/>
      <c r="I86" s="17"/>
      <c r="J86" s="17"/>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row>
    <row r="87" spans="1:45">
      <c r="C87" s="20" t="s">
        <v>52</v>
      </c>
      <c r="G87" s="16"/>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row>
    <row r="88" spans="1:45" ht="46.5">
      <c r="C88" s="29" t="s">
        <v>53</v>
      </c>
      <c r="G88" s="16"/>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row>
    <row r="89" spans="1:45">
      <c r="G89" s="16"/>
      <c r="K89" s="7"/>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row>
    <row r="90" spans="1:45">
      <c r="G90" s="16"/>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row>
    <row r="91" spans="1:45">
      <c r="G91" s="16"/>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row>
    <row r="92" spans="1:45">
      <c r="G92" s="16"/>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row>
    <row r="93" spans="1:45">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row>
    <row r="94" spans="1:45">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row>
    <row r="95" spans="1:45">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row>
    <row r="96" spans="1:45">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row>
    <row r="97" spans="13:45">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row>
    <row r="98" spans="13:45">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row>
    <row r="99" spans="13:45">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row>
  </sheetData>
  <autoFilter ref="A5:P5" xr:uid="{ADC94360-4209-43DD-B422-95AAFC38553F}"/>
  <mergeCells count="18">
    <mergeCell ref="A1:P1"/>
    <mergeCell ref="A2:P2"/>
    <mergeCell ref="A23:B23"/>
    <mergeCell ref="A24:B24"/>
    <mergeCell ref="A3:B3"/>
    <mergeCell ref="A4:B4"/>
    <mergeCell ref="A13:B13"/>
    <mergeCell ref="A14:B14"/>
    <mergeCell ref="A64:B64"/>
    <mergeCell ref="A33:B33"/>
    <mergeCell ref="A34:B34"/>
    <mergeCell ref="A73:B73"/>
    <mergeCell ref="A74:B74"/>
    <mergeCell ref="A43:B43"/>
    <mergeCell ref="A44:B44"/>
    <mergeCell ref="A53:B53"/>
    <mergeCell ref="A54:B54"/>
    <mergeCell ref="A63:B63"/>
  </mergeCells>
  <phoneticPr fontId="18" type="noConversion"/>
  <conditionalFormatting sqref="A1:A2">
    <cfRule type="containsText" dxfId="121" priority="2" operator="containsText" text="TBD">
      <formula>NOT(ISERROR(SEARCH("TBD",A1)))</formula>
    </cfRule>
  </conditionalFormatting>
  <conditionalFormatting sqref="A7:B11 J7:K11">
    <cfRule type="containsText" dxfId="120" priority="162" operator="containsText" text="TBD">
      <formula>NOT(ISERROR(SEARCH("TBD",A7)))</formula>
    </cfRule>
  </conditionalFormatting>
  <conditionalFormatting sqref="A17:B21 J17:K21">
    <cfRule type="containsText" dxfId="119" priority="161" operator="containsText" text="TBD">
      <formula>NOT(ISERROR(SEARCH("TBD",A17)))</formula>
    </cfRule>
  </conditionalFormatting>
  <conditionalFormatting sqref="A47:B51 J47:K51">
    <cfRule type="containsText" dxfId="118" priority="145" operator="containsText" text="TBD">
      <formula>NOT(ISERROR(SEARCH("TBD",A47)))</formula>
    </cfRule>
  </conditionalFormatting>
  <conditionalFormatting sqref="A57:B61 J57:K61">
    <cfRule type="containsText" dxfId="117" priority="144" operator="containsText" text="TBD">
      <formula>NOT(ISERROR(SEARCH("TBD",A57)))</formula>
    </cfRule>
  </conditionalFormatting>
  <conditionalFormatting sqref="A30:D31">
    <cfRule type="containsText" dxfId="116" priority="153" operator="containsText" text="TBD">
      <formula>NOT(ISERROR(SEARCH("TBD",A30)))</formula>
    </cfRule>
  </conditionalFormatting>
  <conditionalFormatting sqref="A40:D41">
    <cfRule type="containsText" dxfId="115" priority="128" operator="containsText" text="TBD">
      <formula>NOT(ISERROR(SEARCH("TBD",A40)))</formula>
    </cfRule>
  </conditionalFormatting>
  <conditionalFormatting sqref="A70:D71">
    <cfRule type="containsText" dxfId="114" priority="136" operator="containsText" text="TBD">
      <formula>NOT(ISERROR(SEARCH("TBD",A70)))</formula>
    </cfRule>
  </conditionalFormatting>
  <conditionalFormatting sqref="A80:D81">
    <cfRule type="containsText" dxfId="113" priority="118" operator="containsText" text="TBD">
      <formula>NOT(ISERROR(SEARCH("TBD",A80)))</formula>
    </cfRule>
  </conditionalFormatting>
  <conditionalFormatting sqref="A3:K4 A6:K6 A12:K16 A22:K26 D27:F28 A27:B29 D29 D84:K86 A84:B88 D87:F88 G87:K92 A89:F92 A93:K1048576">
    <cfRule type="containsText" dxfId="112" priority="164" operator="containsText" text="TBD">
      <formula>NOT(ISERROR(SEARCH("TBD",A3)))</formula>
    </cfRule>
  </conditionalFormatting>
  <conditionalFormatting sqref="A32:K36 D37:F38 A37:B39 D39">
    <cfRule type="containsText" dxfId="111" priority="132" operator="containsText" text="TBD">
      <formula>NOT(ISERROR(SEARCH("TBD",A32)))</formula>
    </cfRule>
  </conditionalFormatting>
  <conditionalFormatting sqref="A42:K46">
    <cfRule type="containsText" dxfId="110" priority="125" operator="containsText" text="TBD">
      <formula>NOT(ISERROR(SEARCH("TBD",A42)))</formula>
    </cfRule>
  </conditionalFormatting>
  <conditionalFormatting sqref="A52:K56 A62:K66 D67:F68 A67:B69 D69">
    <cfRule type="containsText" dxfId="109" priority="146" operator="containsText" text="TBD">
      <formula>NOT(ISERROR(SEARCH("TBD",A52)))</formula>
    </cfRule>
  </conditionalFormatting>
  <conditionalFormatting sqref="A72:K76 D77:F78 A77:B79 D79">
    <cfRule type="containsText" dxfId="108" priority="122" operator="containsText" text="TBD">
      <formula>NOT(ISERROR(SEARCH("TBD",A72)))</formula>
    </cfRule>
  </conditionalFormatting>
  <conditionalFormatting sqref="A82:K83">
    <cfRule type="containsText" dxfId="107" priority="115" operator="containsText" text="TBD">
      <formula>NOT(ISERROR(SEARCH("TBD",A82)))</formula>
    </cfRule>
  </conditionalFormatting>
  <conditionalFormatting sqref="A5:P5">
    <cfRule type="containsText" dxfId="106" priority="1" operator="containsText" text="TBD">
      <formula>NOT(ISERROR(SEARCH("TBD",A5)))</formula>
    </cfRule>
  </conditionalFormatting>
  <conditionalFormatting sqref="C84:C87">
    <cfRule type="containsText" dxfId="105" priority="163" operator="containsText" text="TBD">
      <formula>NOT(ISERROR(SEARCH("TBD",C84)))</formula>
    </cfRule>
  </conditionalFormatting>
  <conditionalFormatting sqref="D7:H11">
    <cfRule type="containsText" dxfId="104" priority="158" operator="containsText" text="TBD">
      <formula>NOT(ISERROR(SEARCH("TBD",D7)))</formula>
    </cfRule>
  </conditionalFormatting>
  <conditionalFormatting sqref="D17:H21">
    <cfRule type="containsText" dxfId="103" priority="149" operator="containsText" text="TBD">
      <formula>NOT(ISERROR(SEARCH("TBD",D17)))</formula>
    </cfRule>
  </conditionalFormatting>
  <conditionalFormatting sqref="D47:H51">
    <cfRule type="containsText" dxfId="102" priority="141" operator="containsText" text="TBD">
      <formula>NOT(ISERROR(SEARCH("TBD",D47)))</formula>
    </cfRule>
  </conditionalFormatting>
  <conditionalFormatting sqref="D57:H61">
    <cfRule type="containsText" dxfId="101" priority="134" operator="containsText" text="TBD">
      <formula>NOT(ISERROR(SEARCH("TBD",D57)))</formula>
    </cfRule>
  </conditionalFormatting>
  <conditionalFormatting sqref="E29:F31">
    <cfRule type="containsText" dxfId="100" priority="148" operator="containsText" text="TBD">
      <formula>NOT(ISERROR(SEARCH("TBD",E29)))</formula>
    </cfRule>
  </conditionalFormatting>
  <conditionalFormatting sqref="E39:F41">
    <cfRule type="containsText" dxfId="99" priority="126" operator="containsText" text="TBD">
      <formula>NOT(ISERROR(SEARCH("TBD",E39)))</formula>
    </cfRule>
  </conditionalFormatting>
  <conditionalFormatting sqref="E69:F71">
    <cfRule type="containsText" dxfId="98" priority="133" operator="containsText" text="TBD">
      <formula>NOT(ISERROR(SEARCH("TBD",E69)))</formula>
    </cfRule>
  </conditionalFormatting>
  <conditionalFormatting sqref="E79:F81">
    <cfRule type="containsText" dxfId="97" priority="116" operator="containsText" text="TBD">
      <formula>NOT(ISERROR(SEARCH("TBD",E79)))</formula>
    </cfRule>
  </conditionalFormatting>
  <conditionalFormatting sqref="G27:H31">
    <cfRule type="containsText" dxfId="96" priority="154" operator="containsText" text="TBD">
      <formula>NOT(ISERROR(SEARCH("TBD",G27)))</formula>
    </cfRule>
  </conditionalFormatting>
  <conditionalFormatting sqref="G37:H41">
    <cfRule type="containsText" dxfId="95" priority="124" operator="containsText" text="TBD">
      <formula>NOT(ISERROR(SEARCH("TBD",G37)))</formula>
    </cfRule>
  </conditionalFormatting>
  <conditionalFormatting sqref="G67:H71">
    <cfRule type="containsText" dxfId="94" priority="137" operator="containsText" text="TBD">
      <formula>NOT(ISERROR(SEARCH("TBD",G67)))</formula>
    </cfRule>
  </conditionalFormatting>
  <conditionalFormatting sqref="G77:H81">
    <cfRule type="containsText" dxfId="93" priority="114" operator="containsText" text="TBD">
      <formula>NOT(ISERROR(SEARCH("TBD",G77)))</formula>
    </cfRule>
  </conditionalFormatting>
  <conditionalFormatting sqref="I30:I31">
    <cfRule type="containsText" dxfId="92" priority="152" operator="containsText" text="TBD">
      <formula>NOT(ISERROR(SEARCH("TBD",I30)))</formula>
    </cfRule>
  </conditionalFormatting>
  <conditionalFormatting sqref="I40:I41">
    <cfRule type="containsText" dxfId="91" priority="127" operator="containsText" text="TBD">
      <formula>NOT(ISERROR(SEARCH("TBD",I40)))</formula>
    </cfRule>
  </conditionalFormatting>
  <conditionalFormatting sqref="I70:I71">
    <cfRule type="containsText" dxfId="90" priority="135" operator="containsText" text="TBD">
      <formula>NOT(ISERROR(SEARCH("TBD",I70)))</formula>
    </cfRule>
  </conditionalFormatting>
  <conditionalFormatting sqref="I80:I81">
    <cfRule type="containsText" dxfId="89" priority="117" operator="containsText" text="TBD">
      <formula>NOT(ISERROR(SEARCH("TBD",I80)))</formula>
    </cfRule>
  </conditionalFormatting>
  <conditionalFormatting sqref="J27:K31">
    <cfRule type="containsText" dxfId="88" priority="160" operator="containsText" text="TBD">
      <formula>NOT(ISERROR(SEARCH("TBD",J27)))</formula>
    </cfRule>
  </conditionalFormatting>
  <conditionalFormatting sqref="J37:K41">
    <cfRule type="containsText" dxfId="87" priority="131" operator="containsText" text="TBD">
      <formula>NOT(ISERROR(SEARCH("TBD",J37)))</formula>
    </cfRule>
  </conditionalFormatting>
  <conditionalFormatting sqref="J67:K71">
    <cfRule type="containsText" dxfId="86" priority="143" operator="containsText" text="TBD">
      <formula>NOT(ISERROR(SEARCH("TBD",J67)))</formula>
    </cfRule>
  </conditionalFormatting>
  <conditionalFormatting sqref="J77:K81">
    <cfRule type="containsText" dxfId="85" priority="121" operator="containsText" text="TBD">
      <formula>NOT(ISERROR(SEARCH("TBD",J77)))</formula>
    </cfRule>
  </conditionalFormatting>
  <conditionalFormatting sqref="L6:M11">
    <cfRule type="containsText" dxfId="84" priority="105" operator="containsText" text="TBD">
      <formula>NOT(ISERROR(SEARCH("TBD",L6)))</formula>
    </cfRule>
  </conditionalFormatting>
  <conditionalFormatting sqref="L16:M21">
    <cfRule type="containsText" dxfId="83" priority="61" operator="containsText" text="TBD">
      <formula>NOT(ISERROR(SEARCH("TBD",L16)))</formula>
    </cfRule>
  </conditionalFormatting>
  <conditionalFormatting sqref="L26:M31">
    <cfRule type="containsText" dxfId="82" priority="52" operator="containsText" text="TBD">
      <formula>NOT(ISERROR(SEARCH("TBD",L26)))</formula>
    </cfRule>
  </conditionalFormatting>
  <conditionalFormatting sqref="L36:M41">
    <cfRule type="containsText" dxfId="81" priority="43" operator="containsText" text="TBD">
      <formula>NOT(ISERROR(SEARCH("TBD",L36)))</formula>
    </cfRule>
  </conditionalFormatting>
  <conditionalFormatting sqref="L46:M47 L49:M51">
    <cfRule type="containsText" dxfId="80" priority="34" operator="containsText" text="TBD">
      <formula>NOT(ISERROR(SEARCH("TBD",L46)))</formula>
    </cfRule>
  </conditionalFormatting>
  <conditionalFormatting sqref="L56:M57 L59:M61">
    <cfRule type="containsText" dxfId="79" priority="25" operator="containsText" text="TBD">
      <formula>NOT(ISERROR(SEARCH("TBD",L56)))</formula>
    </cfRule>
  </conditionalFormatting>
  <conditionalFormatting sqref="L66:M67 L69:M71">
    <cfRule type="containsText" dxfId="78" priority="16" operator="containsText" text="TBD">
      <formula>NOT(ISERROR(SEARCH("TBD",L66)))</formula>
    </cfRule>
  </conditionalFormatting>
  <conditionalFormatting sqref="L76:M77 L79:M81">
    <cfRule type="containsText" dxfId="77" priority="7" operator="containsText" text="TBD">
      <formula>NOT(ISERROR(SEARCH("TBD",L76)))</formula>
    </cfRule>
  </conditionalFormatting>
  <conditionalFormatting sqref="L15:P15">
    <cfRule type="containsText" dxfId="76" priority="66" operator="containsText" text="TBD">
      <formula>NOT(ISERROR(SEARCH("TBD",L15)))</formula>
    </cfRule>
  </conditionalFormatting>
  <conditionalFormatting sqref="L25:P25">
    <cfRule type="containsText" dxfId="75" priority="57" operator="containsText" text="TBD">
      <formula>NOT(ISERROR(SEARCH("TBD",L25)))</formula>
    </cfRule>
  </conditionalFormatting>
  <conditionalFormatting sqref="L35:P35">
    <cfRule type="containsText" dxfId="74" priority="48" operator="containsText" text="TBD">
      <formula>NOT(ISERROR(SEARCH("TBD",L35)))</formula>
    </cfRule>
  </conditionalFormatting>
  <conditionalFormatting sqref="L45:P45">
    <cfRule type="containsText" dxfId="73" priority="39" operator="containsText" text="TBD">
      <formula>NOT(ISERROR(SEARCH("TBD",L45)))</formula>
    </cfRule>
  </conditionalFormatting>
  <conditionalFormatting sqref="L48:P48">
    <cfRule type="containsText" dxfId="72" priority="6" operator="containsText" text="TBD">
      <formula>NOT(ISERROR(SEARCH("TBD",L48)))</formula>
    </cfRule>
  </conditionalFormatting>
  <conditionalFormatting sqref="L55:P55">
    <cfRule type="containsText" dxfId="71" priority="30" operator="containsText" text="TBD">
      <formula>NOT(ISERROR(SEARCH("TBD",L55)))</formula>
    </cfRule>
  </conditionalFormatting>
  <conditionalFormatting sqref="L58:P58">
    <cfRule type="containsText" dxfId="70" priority="5" operator="containsText" text="TBD">
      <formula>NOT(ISERROR(SEARCH("TBD",L58)))</formula>
    </cfRule>
  </conditionalFormatting>
  <conditionalFormatting sqref="L65:P65">
    <cfRule type="containsText" dxfId="69" priority="21" operator="containsText" text="TBD">
      <formula>NOT(ISERROR(SEARCH("TBD",L65)))</formula>
    </cfRule>
  </conditionalFormatting>
  <conditionalFormatting sqref="L68:P68">
    <cfRule type="containsText" dxfId="68" priority="4" operator="containsText" text="TBD">
      <formula>NOT(ISERROR(SEARCH("TBD",L68)))</formula>
    </cfRule>
  </conditionalFormatting>
  <conditionalFormatting sqref="L75:P75">
    <cfRule type="containsText" dxfId="67" priority="12" operator="containsText" text="TBD">
      <formula>NOT(ISERROR(SEARCH("TBD",L75)))</formula>
    </cfRule>
  </conditionalFormatting>
  <conditionalFormatting sqref="L78:P78">
    <cfRule type="containsText" dxfId="66" priority="3" operator="containsText" text="TBD">
      <formula>NOT(ISERROR(SEARCH("TBD",L78)))</formula>
    </cfRule>
  </conditionalFormatting>
  <pageMargins left="0.7" right="0.7" top="0.75" bottom="0.75" header="0.3" footer="0.3"/>
  <pageSetup paperSize="9" orientation="portrait"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28231-0E24-4297-AC4E-3BB60D8DBE45}">
  <sheetPr>
    <tabColor rgb="FF00B0F0"/>
  </sheetPr>
  <dimension ref="A1:P47"/>
  <sheetViews>
    <sheetView topLeftCell="A2" zoomScale="70" zoomScaleNormal="70" workbookViewId="0">
      <selection activeCell="K20" sqref="K20"/>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6" width="15.7265625" style="6" bestFit="1" customWidth="1"/>
    <col min="7" max="7" width="76.453125" style="6" bestFit="1" customWidth="1"/>
    <col min="8" max="8" width="15.6328125" style="6" bestFit="1" customWidth="1"/>
    <col min="9" max="9" width="25.453125" style="6" bestFit="1" customWidth="1"/>
    <col min="10" max="10" width="21.08984375" style="6" customWidth="1"/>
    <col min="11" max="11" width="12.26953125" style="6" bestFit="1" customWidth="1"/>
    <col min="12" max="12" width="8.26953125" style="6" customWidth="1"/>
    <col min="13" max="13" width="10" style="6" customWidth="1"/>
    <col min="14" max="14" width="24.26953125" style="6" customWidth="1"/>
    <col min="15" max="15" width="9" style="6"/>
    <col min="16" max="16" width="17.08984375" style="6" customWidth="1"/>
    <col min="17" max="16384" width="9" style="6"/>
  </cols>
  <sheetData>
    <row r="1" spans="1:16">
      <c r="A1" s="177" t="s">
        <v>21</v>
      </c>
      <c r="B1" s="178"/>
      <c r="C1" s="178"/>
      <c r="D1" s="178"/>
      <c r="E1" s="178"/>
      <c r="F1" s="178"/>
      <c r="G1" s="178"/>
      <c r="H1" s="178"/>
      <c r="I1" s="178"/>
      <c r="J1" s="178"/>
      <c r="K1" s="178"/>
      <c r="L1" s="178"/>
      <c r="M1" s="178"/>
      <c r="N1" s="178"/>
      <c r="O1" s="178"/>
      <c r="P1" s="184"/>
    </row>
    <row r="2" spans="1:16">
      <c r="A2" s="177" t="s">
        <v>0</v>
      </c>
      <c r="B2" s="178"/>
      <c r="C2" s="178"/>
      <c r="D2" s="178"/>
      <c r="E2" s="178"/>
      <c r="F2" s="178"/>
      <c r="G2" s="178"/>
      <c r="H2" s="178"/>
      <c r="I2" s="178"/>
      <c r="J2" s="178"/>
      <c r="K2" s="178"/>
      <c r="L2" s="178"/>
      <c r="M2" s="178"/>
      <c r="N2" s="178"/>
      <c r="O2" s="178"/>
      <c r="P2" s="184"/>
    </row>
    <row r="3" spans="1:16" s="8" customFormat="1">
      <c r="A3" s="176" t="s">
        <v>7</v>
      </c>
      <c r="B3" s="176"/>
      <c r="C3" s="30" t="str">
        <f>C6</f>
        <v>TEMP-S000227142</v>
      </c>
      <c r="D3" s="26" t="s">
        <v>1</v>
      </c>
      <c r="E3" s="27" t="s">
        <v>14</v>
      </c>
      <c r="F3" s="26"/>
      <c r="G3" s="26"/>
      <c r="H3" s="26"/>
      <c r="I3" s="26"/>
      <c r="J3" s="26"/>
      <c r="K3" s="26"/>
      <c r="L3" s="26"/>
      <c r="M3" s="44"/>
      <c r="N3" s="44"/>
      <c r="O3" s="44"/>
      <c r="P3" s="44"/>
    </row>
    <row r="4" spans="1:16" s="8" customFormat="1">
      <c r="A4" s="179" t="s">
        <v>8</v>
      </c>
      <c r="B4" s="179"/>
      <c r="C4" s="40" t="str">
        <f>E6</f>
        <v>TBD</v>
      </c>
      <c r="D4" s="41" t="s">
        <v>9</v>
      </c>
      <c r="E4" s="42" t="s">
        <v>14</v>
      </c>
      <c r="F4" s="41" t="s">
        <v>10</v>
      </c>
      <c r="G4" s="13" t="str">
        <f>G6</f>
        <v>TIM Pack</v>
      </c>
      <c r="H4" s="41"/>
      <c r="I4" s="41"/>
      <c r="J4" s="41"/>
      <c r="K4" s="41"/>
      <c r="L4" s="41"/>
      <c r="M4" s="44"/>
      <c r="N4" s="44"/>
      <c r="O4" s="44"/>
      <c r="P4" s="44"/>
    </row>
    <row r="5" spans="1:16" s="21" customFormat="1" ht="29">
      <c r="A5" s="28" t="s">
        <v>2</v>
      </c>
      <c r="B5" s="28" t="s">
        <v>3</v>
      </c>
      <c r="C5" s="28" t="s">
        <v>11</v>
      </c>
      <c r="D5" s="28" t="s">
        <v>12</v>
      </c>
      <c r="E5" s="28" t="s">
        <v>35</v>
      </c>
      <c r="F5" s="28" t="s">
        <v>13</v>
      </c>
      <c r="G5" s="28" t="s">
        <v>18</v>
      </c>
      <c r="H5" s="28" t="s">
        <v>31</v>
      </c>
      <c r="I5" s="28" t="s">
        <v>19</v>
      </c>
      <c r="J5" s="81" t="s">
        <v>4</v>
      </c>
      <c r="K5" s="28" t="s">
        <v>22</v>
      </c>
      <c r="L5" s="28" t="s">
        <v>798</v>
      </c>
      <c r="M5" s="28" t="s">
        <v>799</v>
      </c>
      <c r="N5" s="28" t="s">
        <v>15</v>
      </c>
      <c r="O5" s="28" t="s">
        <v>49</v>
      </c>
      <c r="P5" s="28" t="s">
        <v>801</v>
      </c>
    </row>
    <row r="6" spans="1:16" s="25" customFormat="1" ht="14.5">
      <c r="A6" s="11">
        <f>ROW(A6)-5</f>
        <v>1</v>
      </c>
      <c r="B6" s="47" t="s">
        <v>384</v>
      </c>
      <c r="C6" s="11" t="s">
        <v>383</v>
      </c>
      <c r="D6" s="11" t="s">
        <v>30</v>
      </c>
      <c r="E6" s="24" t="s">
        <v>34</v>
      </c>
      <c r="F6" s="11" t="s">
        <v>30</v>
      </c>
      <c r="G6" s="53" t="s">
        <v>312</v>
      </c>
      <c r="H6" s="11" t="s">
        <v>51</v>
      </c>
      <c r="I6" s="11" t="s">
        <v>383</v>
      </c>
      <c r="J6" s="50" t="s">
        <v>127</v>
      </c>
      <c r="K6" s="50">
        <v>1</v>
      </c>
      <c r="L6" s="69" t="s">
        <v>800</v>
      </c>
      <c r="M6" s="69" t="s">
        <v>30</v>
      </c>
      <c r="N6" s="164"/>
      <c r="O6" s="52" t="s">
        <v>50</v>
      </c>
      <c r="P6" s="52" t="s">
        <v>802</v>
      </c>
    </row>
    <row r="7" spans="1:16">
      <c r="A7" s="11">
        <f t="shared" ref="A7" si="0">ROW(A7)-5</f>
        <v>2</v>
      </c>
      <c r="B7" s="58" t="s">
        <v>29</v>
      </c>
      <c r="C7" s="11" t="s">
        <v>353</v>
      </c>
      <c r="D7" s="11" t="s">
        <v>14</v>
      </c>
      <c r="E7" s="11" t="s">
        <v>34</v>
      </c>
      <c r="F7" s="11" t="s">
        <v>14</v>
      </c>
      <c r="G7" s="43" t="s">
        <v>388</v>
      </c>
      <c r="H7" s="11" t="s">
        <v>367</v>
      </c>
      <c r="I7" s="11" t="s">
        <v>353</v>
      </c>
      <c r="J7" s="11" t="s">
        <v>14</v>
      </c>
      <c r="K7" s="50">
        <v>2</v>
      </c>
      <c r="L7" s="69" t="s">
        <v>800</v>
      </c>
      <c r="M7" s="69" t="s">
        <v>30</v>
      </c>
      <c r="N7" s="164"/>
      <c r="O7" s="52" t="s">
        <v>50</v>
      </c>
      <c r="P7" s="52" t="s">
        <v>807</v>
      </c>
    </row>
    <row r="8" spans="1:16" s="17" customFormat="1">
      <c r="A8" s="11">
        <f>ROW(A8)-5</f>
        <v>3</v>
      </c>
      <c r="B8" s="49" t="s">
        <v>37</v>
      </c>
      <c r="C8" s="11" t="s">
        <v>354</v>
      </c>
      <c r="D8" s="11" t="s">
        <v>30</v>
      </c>
      <c r="E8" s="11" t="s">
        <v>34</v>
      </c>
      <c r="F8" s="11" t="s">
        <v>14</v>
      </c>
      <c r="G8" s="43" t="s">
        <v>389</v>
      </c>
      <c r="H8" s="11" t="s">
        <v>368</v>
      </c>
      <c r="I8" s="11" t="s">
        <v>354</v>
      </c>
      <c r="J8" s="11" t="s">
        <v>30</v>
      </c>
      <c r="K8" s="50">
        <v>0.6</v>
      </c>
      <c r="L8" s="69" t="s">
        <v>806</v>
      </c>
      <c r="M8" s="69" t="s">
        <v>30</v>
      </c>
      <c r="N8" s="164"/>
      <c r="O8" s="52" t="s">
        <v>50</v>
      </c>
      <c r="P8" s="52" t="s">
        <v>807</v>
      </c>
    </row>
    <row r="9" spans="1:16" s="17" customFormat="1">
      <c r="A9" s="11">
        <f>ROW(A9)-5</f>
        <v>4</v>
      </c>
      <c r="B9" s="58" t="s">
        <v>371</v>
      </c>
      <c r="C9" s="11" t="s">
        <v>355</v>
      </c>
      <c r="D9" s="11" t="s">
        <v>30</v>
      </c>
      <c r="E9" s="11" t="s">
        <v>34</v>
      </c>
      <c r="F9" s="11" t="s">
        <v>14</v>
      </c>
      <c r="G9" s="43" t="s">
        <v>390</v>
      </c>
      <c r="H9" s="11" t="s">
        <v>367</v>
      </c>
      <c r="I9" s="11" t="s">
        <v>355</v>
      </c>
      <c r="J9" s="11" t="s">
        <v>30</v>
      </c>
      <c r="K9" s="50">
        <v>16</v>
      </c>
      <c r="L9" s="69" t="s">
        <v>800</v>
      </c>
      <c r="M9" s="69" t="s">
        <v>30</v>
      </c>
      <c r="N9" s="164"/>
      <c r="O9" s="52" t="s">
        <v>50</v>
      </c>
      <c r="P9" s="52" t="s">
        <v>807</v>
      </c>
    </row>
    <row r="10" spans="1:16" s="17" customFormat="1">
      <c r="A10" s="11">
        <f t="shared" ref="A10" si="1">ROW(A10)-5</f>
        <v>5</v>
      </c>
      <c r="B10" s="49" t="s">
        <v>372</v>
      </c>
      <c r="C10" s="11" t="s">
        <v>356</v>
      </c>
      <c r="D10" s="11" t="s">
        <v>30</v>
      </c>
      <c r="E10" s="24" t="s">
        <v>34</v>
      </c>
      <c r="F10" s="11" t="s">
        <v>14</v>
      </c>
      <c r="G10" s="43" t="s">
        <v>391</v>
      </c>
      <c r="H10" s="11" t="s">
        <v>367</v>
      </c>
      <c r="I10" s="11" t="s">
        <v>356</v>
      </c>
      <c r="J10" s="11" t="s">
        <v>30</v>
      </c>
      <c r="K10" s="50">
        <v>4</v>
      </c>
      <c r="L10" s="69" t="s">
        <v>800</v>
      </c>
      <c r="M10" s="69" t="s">
        <v>30</v>
      </c>
      <c r="N10" s="164"/>
      <c r="O10" s="52" t="s">
        <v>50</v>
      </c>
      <c r="P10" s="52" t="s">
        <v>807</v>
      </c>
    </row>
    <row r="11" spans="1:16">
      <c r="A11" s="11">
        <f>ROW(A11)-5</f>
        <v>6</v>
      </c>
      <c r="B11" s="58" t="s">
        <v>373</v>
      </c>
      <c r="C11" s="11" t="s">
        <v>357</v>
      </c>
      <c r="D11" s="11" t="s">
        <v>17</v>
      </c>
      <c r="E11" s="11" t="s">
        <v>34</v>
      </c>
      <c r="F11" s="11" t="s">
        <v>14</v>
      </c>
      <c r="G11" s="43" t="s">
        <v>392</v>
      </c>
      <c r="H11" s="11" t="s">
        <v>367</v>
      </c>
      <c r="I11" s="11" t="s">
        <v>357</v>
      </c>
      <c r="J11" s="11" t="s">
        <v>14</v>
      </c>
      <c r="K11" s="50">
        <v>2</v>
      </c>
      <c r="L11" s="69" t="s">
        <v>800</v>
      </c>
      <c r="M11" s="69" t="s">
        <v>30</v>
      </c>
      <c r="N11" s="164"/>
      <c r="O11" s="52" t="s">
        <v>50</v>
      </c>
      <c r="P11" s="52" t="s">
        <v>807</v>
      </c>
    </row>
    <row r="12" spans="1:16">
      <c r="A12" s="11">
        <f t="shared" ref="A12" si="2">ROW(A12)-5</f>
        <v>7</v>
      </c>
      <c r="B12" s="49" t="s">
        <v>374</v>
      </c>
      <c r="C12" s="11" t="s">
        <v>358</v>
      </c>
      <c r="D12" s="11" t="s">
        <v>14</v>
      </c>
      <c r="E12" s="11" t="s">
        <v>34</v>
      </c>
      <c r="F12" s="11" t="s">
        <v>14</v>
      </c>
      <c r="G12" s="43" t="s">
        <v>393</v>
      </c>
      <c r="H12" s="11" t="s">
        <v>367</v>
      </c>
      <c r="I12" s="11" t="s">
        <v>358</v>
      </c>
      <c r="J12" s="11" t="s">
        <v>14</v>
      </c>
      <c r="K12" s="50">
        <v>4</v>
      </c>
      <c r="L12" s="69" t="s">
        <v>800</v>
      </c>
      <c r="M12" s="69" t="s">
        <v>30</v>
      </c>
      <c r="N12" s="164"/>
      <c r="O12" s="52" t="s">
        <v>50</v>
      </c>
      <c r="P12" s="52" t="s">
        <v>807</v>
      </c>
    </row>
    <row r="13" spans="1:16" s="17" customFormat="1">
      <c r="A13" s="11">
        <f>ROW(A13)-5</f>
        <v>8</v>
      </c>
      <c r="B13" s="58" t="s">
        <v>375</v>
      </c>
      <c r="C13" s="11" t="s">
        <v>359</v>
      </c>
      <c r="D13" s="11" t="s">
        <v>30</v>
      </c>
      <c r="E13" s="11" t="s">
        <v>34</v>
      </c>
      <c r="F13" s="11" t="s">
        <v>14</v>
      </c>
      <c r="G13" s="43" t="s">
        <v>394</v>
      </c>
      <c r="H13" s="11" t="s">
        <v>367</v>
      </c>
      <c r="I13" s="11" t="s">
        <v>359</v>
      </c>
      <c r="J13" s="11" t="s">
        <v>30</v>
      </c>
      <c r="K13" s="50">
        <v>2</v>
      </c>
      <c r="L13" s="69" t="s">
        <v>800</v>
      </c>
      <c r="M13" s="69" t="s">
        <v>30</v>
      </c>
      <c r="N13" s="164"/>
      <c r="O13" s="52" t="s">
        <v>50</v>
      </c>
      <c r="P13" s="52" t="s">
        <v>807</v>
      </c>
    </row>
    <row r="14" spans="1:16" s="17" customFormat="1">
      <c r="A14" s="11">
        <f>ROW(A14)-5</f>
        <v>9</v>
      </c>
      <c r="B14" s="49" t="s">
        <v>376</v>
      </c>
      <c r="C14" s="11" t="s">
        <v>360</v>
      </c>
      <c r="D14" s="11" t="s">
        <v>30</v>
      </c>
      <c r="E14" s="11" t="s">
        <v>34</v>
      </c>
      <c r="F14" s="11" t="s">
        <v>14</v>
      </c>
      <c r="G14" s="43" t="s">
        <v>392</v>
      </c>
      <c r="H14" s="11" t="s">
        <v>369</v>
      </c>
      <c r="I14" s="11" t="s">
        <v>360</v>
      </c>
      <c r="J14" s="11" t="s">
        <v>30</v>
      </c>
      <c r="K14" s="50">
        <v>8</v>
      </c>
      <c r="L14" s="69" t="s">
        <v>800</v>
      </c>
      <c r="M14" s="69" t="s">
        <v>30</v>
      </c>
      <c r="N14" s="164"/>
      <c r="O14" s="52" t="s">
        <v>50</v>
      </c>
      <c r="P14" s="52" t="s">
        <v>807</v>
      </c>
    </row>
    <row r="15" spans="1:16" s="17" customFormat="1">
      <c r="A15" s="11">
        <f t="shared" ref="A15" si="3">ROW(A15)-5</f>
        <v>10</v>
      </c>
      <c r="B15" s="58" t="s">
        <v>377</v>
      </c>
      <c r="C15" s="11" t="s">
        <v>361</v>
      </c>
      <c r="D15" s="11" t="s">
        <v>30</v>
      </c>
      <c r="E15" s="24" t="s">
        <v>34</v>
      </c>
      <c r="F15" s="11" t="s">
        <v>14</v>
      </c>
      <c r="G15" s="74" t="s">
        <v>385</v>
      </c>
      <c r="H15" s="11" t="s">
        <v>370</v>
      </c>
      <c r="I15" s="11" t="s">
        <v>361</v>
      </c>
      <c r="J15" s="11" t="s">
        <v>30</v>
      </c>
      <c r="K15" s="50">
        <v>8</v>
      </c>
      <c r="L15" s="69" t="s">
        <v>800</v>
      </c>
      <c r="M15" s="69" t="s">
        <v>30</v>
      </c>
      <c r="N15" s="164"/>
      <c r="O15" s="52" t="s">
        <v>50</v>
      </c>
      <c r="P15" s="52" t="s">
        <v>807</v>
      </c>
    </row>
    <row r="16" spans="1:16">
      <c r="A16" s="11">
        <f>ROW(A16)-5</f>
        <v>11</v>
      </c>
      <c r="B16" s="49" t="s">
        <v>378</v>
      </c>
      <c r="C16" s="11" t="s">
        <v>362</v>
      </c>
      <c r="D16" s="11" t="s">
        <v>17</v>
      </c>
      <c r="E16" s="11" t="s">
        <v>34</v>
      </c>
      <c r="F16" s="11" t="s">
        <v>14</v>
      </c>
      <c r="G16" s="13" t="s">
        <v>386</v>
      </c>
      <c r="H16" s="11" t="s">
        <v>370</v>
      </c>
      <c r="I16" s="11" t="s">
        <v>362</v>
      </c>
      <c r="J16" s="11" t="s">
        <v>14</v>
      </c>
      <c r="K16" s="50">
        <v>4</v>
      </c>
      <c r="L16" s="69" t="s">
        <v>800</v>
      </c>
      <c r="M16" s="69" t="s">
        <v>30</v>
      </c>
      <c r="N16" s="164"/>
      <c r="O16" s="52" t="s">
        <v>50</v>
      </c>
      <c r="P16" s="52" t="s">
        <v>807</v>
      </c>
    </row>
    <row r="17" spans="1:16">
      <c r="A17" s="11">
        <f t="shared" ref="A17" si="4">ROW(A17)-5</f>
        <v>12</v>
      </c>
      <c r="B17" s="58" t="s">
        <v>379</v>
      </c>
      <c r="C17" s="11" t="s">
        <v>363</v>
      </c>
      <c r="D17" s="11" t="s">
        <v>14</v>
      </c>
      <c r="E17" s="11" t="s">
        <v>34</v>
      </c>
      <c r="F17" s="11" t="s">
        <v>14</v>
      </c>
      <c r="G17" s="13" t="s">
        <v>395</v>
      </c>
      <c r="H17" s="11" t="s">
        <v>370</v>
      </c>
      <c r="I17" s="11" t="s">
        <v>363</v>
      </c>
      <c r="J17" s="11" t="s">
        <v>14</v>
      </c>
      <c r="K17" s="50">
        <v>2</v>
      </c>
      <c r="L17" s="69" t="s">
        <v>800</v>
      </c>
      <c r="M17" s="69" t="s">
        <v>30</v>
      </c>
      <c r="N17" s="164"/>
      <c r="O17" s="52" t="s">
        <v>50</v>
      </c>
      <c r="P17" s="52" t="s">
        <v>807</v>
      </c>
    </row>
    <row r="18" spans="1:16" s="17" customFormat="1">
      <c r="A18" s="11">
        <f>ROW(A18)-5</f>
        <v>13</v>
      </c>
      <c r="B18" s="49" t="s">
        <v>380</v>
      </c>
      <c r="C18" s="11" t="s">
        <v>364</v>
      </c>
      <c r="D18" s="11" t="s">
        <v>30</v>
      </c>
      <c r="E18" s="11" t="s">
        <v>34</v>
      </c>
      <c r="F18" s="11" t="s">
        <v>14</v>
      </c>
      <c r="G18" s="13" t="s">
        <v>387</v>
      </c>
      <c r="H18" s="11" t="s">
        <v>367</v>
      </c>
      <c r="I18" s="11" t="s">
        <v>364</v>
      </c>
      <c r="J18" s="11" t="s">
        <v>30</v>
      </c>
      <c r="K18" s="50">
        <v>4</v>
      </c>
      <c r="L18" s="69" t="s">
        <v>800</v>
      </c>
      <c r="M18" s="69" t="s">
        <v>30</v>
      </c>
      <c r="N18" s="164"/>
      <c r="O18" s="52" t="s">
        <v>50</v>
      </c>
      <c r="P18" s="52" t="s">
        <v>807</v>
      </c>
    </row>
    <row r="19" spans="1:16" s="17" customFormat="1">
      <c r="A19" s="11">
        <f>ROW(A19)-5</f>
        <v>14</v>
      </c>
      <c r="B19" s="58" t="s">
        <v>381</v>
      </c>
      <c r="C19" s="11" t="s">
        <v>365</v>
      </c>
      <c r="D19" s="11" t="s">
        <v>30</v>
      </c>
      <c r="E19" s="11" t="s">
        <v>34</v>
      </c>
      <c r="F19" s="11" t="s">
        <v>14</v>
      </c>
      <c r="G19" s="13" t="s">
        <v>396</v>
      </c>
      <c r="H19" s="11" t="s">
        <v>367</v>
      </c>
      <c r="I19" s="11" t="s">
        <v>365</v>
      </c>
      <c r="J19" s="11" t="s">
        <v>30</v>
      </c>
      <c r="K19" s="50">
        <v>32</v>
      </c>
      <c r="L19" s="69" t="s">
        <v>800</v>
      </c>
      <c r="M19" s="69" t="s">
        <v>30</v>
      </c>
      <c r="N19" s="164"/>
      <c r="O19" s="52" t="s">
        <v>50</v>
      </c>
      <c r="P19" s="52" t="s">
        <v>807</v>
      </c>
    </row>
    <row r="20" spans="1:16" s="17" customFormat="1">
      <c r="A20" s="11">
        <f t="shared" ref="A20" si="5">ROW(A20)-5</f>
        <v>15</v>
      </c>
      <c r="B20" s="49" t="s">
        <v>382</v>
      </c>
      <c r="C20" s="11" t="s">
        <v>366</v>
      </c>
      <c r="D20" s="11" t="s">
        <v>30</v>
      </c>
      <c r="E20" s="24" t="s">
        <v>34</v>
      </c>
      <c r="F20" s="11" t="s">
        <v>14</v>
      </c>
      <c r="G20" s="13" t="s">
        <v>397</v>
      </c>
      <c r="H20" s="11" t="s">
        <v>367</v>
      </c>
      <c r="I20" s="11" t="s">
        <v>366</v>
      </c>
      <c r="J20" s="11" t="s">
        <v>30</v>
      </c>
      <c r="K20" s="50">
        <v>24</v>
      </c>
      <c r="L20" s="69" t="s">
        <v>800</v>
      </c>
      <c r="M20" s="69" t="s">
        <v>30</v>
      </c>
      <c r="N20" s="164"/>
      <c r="O20" s="52" t="s">
        <v>50</v>
      </c>
      <c r="P20" s="52" t="s">
        <v>807</v>
      </c>
    </row>
    <row r="21" spans="1:16">
      <c r="B21" s="3"/>
      <c r="C21" s="2"/>
      <c r="H21" s="5"/>
      <c r="I21" s="2"/>
    </row>
    <row r="22" spans="1:16" s="8" customFormat="1">
      <c r="A22" s="176" t="s">
        <v>7</v>
      </c>
      <c r="B22" s="176"/>
      <c r="C22" s="30" t="str">
        <f>C25</f>
        <v>TEMP-S000227142NG</v>
      </c>
      <c r="D22" s="26" t="s">
        <v>1</v>
      </c>
      <c r="E22" s="27" t="s">
        <v>14</v>
      </c>
      <c r="F22" s="26"/>
      <c r="G22" s="26"/>
      <c r="H22" s="26"/>
      <c r="I22" s="26"/>
      <c r="J22" s="26"/>
      <c r="K22" s="26"/>
      <c r="L22" s="26"/>
      <c r="M22" s="44"/>
      <c r="N22" s="44"/>
      <c r="O22" s="44"/>
      <c r="P22" s="44"/>
    </row>
    <row r="23" spans="1:16" s="8" customFormat="1">
      <c r="A23" s="179" t="s">
        <v>8</v>
      </c>
      <c r="B23" s="179"/>
      <c r="C23" s="40" t="str">
        <f>E25</f>
        <v>TBD</v>
      </c>
      <c r="D23" s="41" t="s">
        <v>9</v>
      </c>
      <c r="E23" s="42" t="s">
        <v>14</v>
      </c>
      <c r="F23" s="41" t="s">
        <v>10</v>
      </c>
      <c r="G23" s="13" t="str">
        <f>G25</f>
        <v>TIM Pack</v>
      </c>
      <c r="H23" s="41"/>
      <c r="I23" s="41"/>
      <c r="J23" s="41"/>
      <c r="K23" s="41"/>
      <c r="L23" s="41"/>
      <c r="M23" s="44"/>
      <c r="N23" s="44"/>
      <c r="O23" s="44"/>
      <c r="P23" s="44"/>
    </row>
    <row r="24" spans="1:16" s="21" customFormat="1" ht="29">
      <c r="A24" s="28" t="s">
        <v>2</v>
      </c>
      <c r="B24" s="28" t="s">
        <v>3</v>
      </c>
      <c r="C24" s="28" t="s">
        <v>11</v>
      </c>
      <c r="D24" s="28" t="s">
        <v>12</v>
      </c>
      <c r="E24" s="28" t="s">
        <v>35</v>
      </c>
      <c r="F24" s="28" t="s">
        <v>13</v>
      </c>
      <c r="G24" s="28" t="s">
        <v>18</v>
      </c>
      <c r="H24" s="28" t="s">
        <v>31</v>
      </c>
      <c r="I24" s="28" t="s">
        <v>19</v>
      </c>
      <c r="J24" s="28" t="s">
        <v>4</v>
      </c>
      <c r="K24" s="28" t="s">
        <v>22</v>
      </c>
      <c r="L24" s="28" t="s">
        <v>798</v>
      </c>
      <c r="M24" s="28" t="s">
        <v>799</v>
      </c>
      <c r="N24" s="28" t="s">
        <v>15</v>
      </c>
      <c r="O24" s="28" t="s">
        <v>49</v>
      </c>
      <c r="P24" s="28" t="s">
        <v>801</v>
      </c>
    </row>
    <row r="25" spans="1:16" s="25" customFormat="1" ht="14.5">
      <c r="A25" s="11">
        <v>1</v>
      </c>
      <c r="B25" s="47" t="s">
        <v>384</v>
      </c>
      <c r="C25" s="11" t="s">
        <v>725</v>
      </c>
      <c r="D25" s="11" t="s">
        <v>30</v>
      </c>
      <c r="E25" s="24" t="s">
        <v>34</v>
      </c>
      <c r="F25" s="11" t="s">
        <v>30</v>
      </c>
      <c r="G25" s="53" t="s">
        <v>312</v>
      </c>
      <c r="H25" s="11" t="s">
        <v>51</v>
      </c>
      <c r="I25" s="11" t="s">
        <v>383</v>
      </c>
      <c r="J25" s="50" t="s">
        <v>127</v>
      </c>
      <c r="K25" s="50">
        <v>1</v>
      </c>
      <c r="L25" s="69" t="s">
        <v>800</v>
      </c>
      <c r="M25" s="69" t="s">
        <v>30</v>
      </c>
      <c r="N25" s="164"/>
      <c r="O25" s="52" t="s">
        <v>50</v>
      </c>
      <c r="P25" s="52" t="s">
        <v>802</v>
      </c>
    </row>
    <row r="26" spans="1:16">
      <c r="A26" s="11">
        <v>2</v>
      </c>
      <c r="B26" s="58" t="s">
        <v>29</v>
      </c>
      <c r="C26" s="11" t="s">
        <v>353</v>
      </c>
      <c r="D26" s="11" t="s">
        <v>14</v>
      </c>
      <c r="E26" s="11" t="s">
        <v>34</v>
      </c>
      <c r="F26" s="11" t="s">
        <v>14</v>
      </c>
      <c r="G26" s="43" t="s">
        <v>388</v>
      </c>
      <c r="H26" s="11" t="s">
        <v>367</v>
      </c>
      <c r="I26" s="11" t="s">
        <v>353</v>
      </c>
      <c r="J26" s="11" t="s">
        <v>14</v>
      </c>
      <c r="K26" s="50">
        <v>2</v>
      </c>
      <c r="L26" s="69" t="s">
        <v>800</v>
      </c>
      <c r="M26" s="69" t="s">
        <v>30</v>
      </c>
      <c r="N26" s="164"/>
      <c r="O26" s="52" t="s">
        <v>50</v>
      </c>
      <c r="P26" s="52" t="s">
        <v>807</v>
      </c>
    </row>
    <row r="27" spans="1:16" s="17" customFormat="1">
      <c r="A27" s="11">
        <v>3</v>
      </c>
      <c r="B27" s="49" t="s">
        <v>37</v>
      </c>
      <c r="C27" s="11" t="s">
        <v>354</v>
      </c>
      <c r="D27" s="11" t="s">
        <v>30</v>
      </c>
      <c r="E27" s="11" t="s">
        <v>34</v>
      </c>
      <c r="F27" s="11" t="s">
        <v>14</v>
      </c>
      <c r="G27" s="43" t="s">
        <v>389</v>
      </c>
      <c r="H27" s="11" t="s">
        <v>368</v>
      </c>
      <c r="I27" s="11" t="s">
        <v>354</v>
      </c>
      <c r="J27" s="11" t="s">
        <v>30</v>
      </c>
      <c r="K27" s="50">
        <v>0.6</v>
      </c>
      <c r="L27" s="69" t="s">
        <v>806</v>
      </c>
      <c r="M27" s="69" t="s">
        <v>30</v>
      </c>
      <c r="N27" s="164"/>
      <c r="O27" s="52" t="s">
        <v>50</v>
      </c>
      <c r="P27" s="52" t="s">
        <v>807</v>
      </c>
    </row>
    <row r="28" spans="1:16" s="17" customFormat="1">
      <c r="A28" s="11">
        <v>4</v>
      </c>
      <c r="B28" s="58" t="s">
        <v>371</v>
      </c>
      <c r="C28" s="11" t="s">
        <v>355</v>
      </c>
      <c r="D28" s="11" t="s">
        <v>30</v>
      </c>
      <c r="E28" s="11" t="s">
        <v>34</v>
      </c>
      <c r="F28" s="11" t="s">
        <v>14</v>
      </c>
      <c r="G28" s="43" t="s">
        <v>390</v>
      </c>
      <c r="H28" s="11" t="s">
        <v>367</v>
      </c>
      <c r="I28" s="11" t="s">
        <v>355</v>
      </c>
      <c r="J28" s="11" t="s">
        <v>30</v>
      </c>
      <c r="K28" s="50">
        <v>16</v>
      </c>
      <c r="L28" s="69" t="s">
        <v>800</v>
      </c>
      <c r="M28" s="69" t="s">
        <v>30</v>
      </c>
      <c r="N28" s="164"/>
      <c r="O28" s="52" t="s">
        <v>50</v>
      </c>
      <c r="P28" s="52" t="s">
        <v>807</v>
      </c>
    </row>
    <row r="29" spans="1:16" s="17" customFormat="1">
      <c r="A29" s="11">
        <v>5</v>
      </c>
      <c r="B29" s="49" t="s">
        <v>372</v>
      </c>
      <c r="C29" s="11" t="s">
        <v>356</v>
      </c>
      <c r="D29" s="11" t="s">
        <v>30</v>
      </c>
      <c r="E29" s="24" t="s">
        <v>34</v>
      </c>
      <c r="F29" s="11" t="s">
        <v>14</v>
      </c>
      <c r="G29" s="43" t="s">
        <v>391</v>
      </c>
      <c r="H29" s="11" t="s">
        <v>367</v>
      </c>
      <c r="I29" s="11" t="s">
        <v>356</v>
      </c>
      <c r="J29" s="11" t="s">
        <v>30</v>
      </c>
      <c r="K29" s="50">
        <v>4</v>
      </c>
      <c r="L29" s="69" t="s">
        <v>800</v>
      </c>
      <c r="M29" s="69" t="s">
        <v>30</v>
      </c>
      <c r="N29" s="164"/>
      <c r="O29" s="52" t="s">
        <v>50</v>
      </c>
      <c r="P29" s="52" t="s">
        <v>807</v>
      </c>
    </row>
    <row r="30" spans="1:16">
      <c r="A30" s="11">
        <v>6</v>
      </c>
      <c r="B30" s="58" t="s">
        <v>373</v>
      </c>
      <c r="C30" s="11" t="s">
        <v>357</v>
      </c>
      <c r="D30" s="11" t="s">
        <v>17</v>
      </c>
      <c r="E30" s="11" t="s">
        <v>34</v>
      </c>
      <c r="F30" s="11" t="s">
        <v>14</v>
      </c>
      <c r="G30" s="43" t="s">
        <v>392</v>
      </c>
      <c r="H30" s="11" t="s">
        <v>367</v>
      </c>
      <c r="I30" s="11" t="s">
        <v>357</v>
      </c>
      <c r="J30" s="11" t="s">
        <v>14</v>
      </c>
      <c r="K30" s="50">
        <v>2</v>
      </c>
      <c r="L30" s="69" t="s">
        <v>800</v>
      </c>
      <c r="M30" s="69" t="s">
        <v>30</v>
      </c>
      <c r="N30" s="164"/>
      <c r="O30" s="52" t="s">
        <v>50</v>
      </c>
      <c r="P30" s="52" t="s">
        <v>807</v>
      </c>
    </row>
    <row r="31" spans="1:16">
      <c r="A31" s="11">
        <v>7</v>
      </c>
      <c r="B31" s="49" t="s">
        <v>374</v>
      </c>
      <c r="C31" s="11" t="s">
        <v>358</v>
      </c>
      <c r="D31" s="11" t="s">
        <v>14</v>
      </c>
      <c r="E31" s="11" t="s">
        <v>34</v>
      </c>
      <c r="F31" s="11" t="s">
        <v>14</v>
      </c>
      <c r="G31" s="43" t="s">
        <v>393</v>
      </c>
      <c r="H31" s="11" t="s">
        <v>367</v>
      </c>
      <c r="I31" s="11" t="s">
        <v>358</v>
      </c>
      <c r="J31" s="11" t="s">
        <v>14</v>
      </c>
      <c r="K31" s="50">
        <v>4</v>
      </c>
      <c r="L31" s="69" t="s">
        <v>800</v>
      </c>
      <c r="M31" s="69" t="s">
        <v>30</v>
      </c>
      <c r="N31" s="164"/>
      <c r="O31" s="52" t="s">
        <v>50</v>
      </c>
      <c r="P31" s="52" t="s">
        <v>807</v>
      </c>
    </row>
    <row r="32" spans="1:16" s="17" customFormat="1">
      <c r="A32" s="11">
        <v>8</v>
      </c>
      <c r="B32" s="58" t="s">
        <v>375</v>
      </c>
      <c r="C32" s="11" t="s">
        <v>359</v>
      </c>
      <c r="D32" s="11" t="s">
        <v>30</v>
      </c>
      <c r="E32" s="11" t="s">
        <v>34</v>
      </c>
      <c r="F32" s="11" t="s">
        <v>14</v>
      </c>
      <c r="G32" s="43" t="s">
        <v>394</v>
      </c>
      <c r="H32" s="11" t="s">
        <v>367</v>
      </c>
      <c r="I32" s="11" t="s">
        <v>359</v>
      </c>
      <c r="J32" s="11" t="s">
        <v>30</v>
      </c>
      <c r="K32" s="50">
        <v>2</v>
      </c>
      <c r="L32" s="69" t="s">
        <v>800</v>
      </c>
      <c r="M32" s="69" t="s">
        <v>30</v>
      </c>
      <c r="N32" s="164"/>
      <c r="O32" s="52" t="s">
        <v>50</v>
      </c>
      <c r="P32" s="52" t="s">
        <v>807</v>
      </c>
    </row>
    <row r="33" spans="1:16" s="17" customFormat="1">
      <c r="A33" s="11">
        <v>9</v>
      </c>
      <c r="B33" s="49" t="s">
        <v>376</v>
      </c>
      <c r="C33" s="11" t="s">
        <v>360</v>
      </c>
      <c r="D33" s="11" t="s">
        <v>30</v>
      </c>
      <c r="E33" s="11" t="s">
        <v>34</v>
      </c>
      <c r="F33" s="11" t="s">
        <v>14</v>
      </c>
      <c r="G33" s="43" t="s">
        <v>392</v>
      </c>
      <c r="H33" s="11" t="s">
        <v>369</v>
      </c>
      <c r="I33" s="11" t="s">
        <v>360</v>
      </c>
      <c r="J33" s="11" t="s">
        <v>30</v>
      </c>
      <c r="K33" s="50">
        <v>8</v>
      </c>
      <c r="L33" s="69" t="s">
        <v>800</v>
      </c>
      <c r="M33" s="69" t="s">
        <v>30</v>
      </c>
      <c r="N33" s="164"/>
      <c r="O33" s="52" t="s">
        <v>50</v>
      </c>
      <c r="P33" s="52" t="s">
        <v>807</v>
      </c>
    </row>
    <row r="34" spans="1:16" s="17" customFormat="1">
      <c r="A34" s="11">
        <v>10</v>
      </c>
      <c r="B34" s="58" t="s">
        <v>377</v>
      </c>
      <c r="C34" s="11" t="s">
        <v>361</v>
      </c>
      <c r="D34" s="11" t="s">
        <v>30</v>
      </c>
      <c r="E34" s="24" t="s">
        <v>34</v>
      </c>
      <c r="F34" s="11" t="s">
        <v>14</v>
      </c>
      <c r="G34" s="74" t="s">
        <v>385</v>
      </c>
      <c r="H34" s="11" t="s">
        <v>370</v>
      </c>
      <c r="I34" s="11" t="s">
        <v>361</v>
      </c>
      <c r="J34" s="11" t="s">
        <v>30</v>
      </c>
      <c r="K34" s="50">
        <v>8</v>
      </c>
      <c r="L34" s="69" t="s">
        <v>800</v>
      </c>
      <c r="M34" s="69" t="s">
        <v>30</v>
      </c>
      <c r="N34" s="164"/>
      <c r="O34" s="52" t="s">
        <v>50</v>
      </c>
      <c r="P34" s="52" t="s">
        <v>807</v>
      </c>
    </row>
    <row r="35" spans="1:16">
      <c r="A35" s="11">
        <v>11</v>
      </c>
      <c r="B35" s="49" t="s">
        <v>378</v>
      </c>
      <c r="C35" s="11" t="s">
        <v>362</v>
      </c>
      <c r="D35" s="11" t="s">
        <v>17</v>
      </c>
      <c r="E35" s="11" t="s">
        <v>34</v>
      </c>
      <c r="F35" s="11" t="s">
        <v>14</v>
      </c>
      <c r="G35" s="13" t="s">
        <v>386</v>
      </c>
      <c r="H35" s="11" t="s">
        <v>370</v>
      </c>
      <c r="I35" s="11" t="s">
        <v>362</v>
      </c>
      <c r="J35" s="11" t="s">
        <v>14</v>
      </c>
      <c r="K35" s="50">
        <v>4</v>
      </c>
      <c r="L35" s="69" t="s">
        <v>800</v>
      </c>
      <c r="M35" s="69" t="s">
        <v>30</v>
      </c>
      <c r="N35" s="164"/>
      <c r="O35" s="52" t="s">
        <v>50</v>
      </c>
      <c r="P35" s="52" t="s">
        <v>807</v>
      </c>
    </row>
    <row r="36" spans="1:16">
      <c r="A36" s="11">
        <v>12</v>
      </c>
      <c r="B36" s="58" t="s">
        <v>379</v>
      </c>
      <c r="C36" s="11" t="s">
        <v>363</v>
      </c>
      <c r="D36" s="11" t="s">
        <v>14</v>
      </c>
      <c r="E36" s="11" t="s">
        <v>34</v>
      </c>
      <c r="F36" s="11" t="s">
        <v>14</v>
      </c>
      <c r="G36" s="13" t="s">
        <v>395</v>
      </c>
      <c r="H36" s="11" t="s">
        <v>370</v>
      </c>
      <c r="I36" s="11" t="s">
        <v>363</v>
      </c>
      <c r="J36" s="11" t="s">
        <v>14</v>
      </c>
      <c r="K36" s="50">
        <v>2</v>
      </c>
      <c r="L36" s="69" t="s">
        <v>800</v>
      </c>
      <c r="M36" s="69" t="s">
        <v>30</v>
      </c>
      <c r="N36" s="164"/>
      <c r="O36" s="52" t="s">
        <v>50</v>
      </c>
      <c r="P36" s="52" t="s">
        <v>807</v>
      </c>
    </row>
    <row r="37" spans="1:16" s="17" customFormat="1">
      <c r="A37" s="153">
        <v>13</v>
      </c>
      <c r="B37" s="124" t="s">
        <v>380</v>
      </c>
      <c r="C37" s="123" t="s">
        <v>364</v>
      </c>
      <c r="D37" s="123" t="s">
        <v>30</v>
      </c>
      <c r="E37" s="123" t="s">
        <v>34</v>
      </c>
      <c r="F37" s="123" t="s">
        <v>14</v>
      </c>
      <c r="G37" s="127" t="s">
        <v>387</v>
      </c>
      <c r="H37" s="123" t="s">
        <v>367</v>
      </c>
      <c r="I37" s="123" t="s">
        <v>364</v>
      </c>
      <c r="J37" s="123" t="s">
        <v>30</v>
      </c>
      <c r="K37" s="145">
        <v>4</v>
      </c>
      <c r="L37" s="145" t="s">
        <v>800</v>
      </c>
      <c r="M37" s="145" t="s">
        <v>30</v>
      </c>
      <c r="N37" s="165"/>
      <c r="O37" s="145" t="s">
        <v>50</v>
      </c>
      <c r="P37" s="145" t="s">
        <v>803</v>
      </c>
    </row>
    <row r="38" spans="1:16" s="17" customFormat="1">
      <c r="A38" s="154">
        <v>14</v>
      </c>
      <c r="B38" s="131" t="s">
        <v>381</v>
      </c>
      <c r="C38" s="123" t="s">
        <v>365</v>
      </c>
      <c r="D38" s="123" t="s">
        <v>30</v>
      </c>
      <c r="E38" s="123" t="s">
        <v>34</v>
      </c>
      <c r="F38" s="123" t="s">
        <v>14</v>
      </c>
      <c r="G38" s="127" t="s">
        <v>396</v>
      </c>
      <c r="H38" s="123" t="s">
        <v>367</v>
      </c>
      <c r="I38" s="123" t="s">
        <v>365</v>
      </c>
      <c r="J38" s="123" t="s">
        <v>30</v>
      </c>
      <c r="K38" s="145">
        <v>32</v>
      </c>
      <c r="L38" s="145" t="s">
        <v>800</v>
      </c>
      <c r="M38" s="145" t="s">
        <v>30</v>
      </c>
      <c r="N38" s="165"/>
      <c r="O38" s="145" t="s">
        <v>50</v>
      </c>
      <c r="P38" s="145" t="s">
        <v>803</v>
      </c>
    </row>
    <row r="39" spans="1:16" s="17" customFormat="1">
      <c r="A39" s="153">
        <v>15</v>
      </c>
      <c r="B39" s="124" t="s">
        <v>382</v>
      </c>
      <c r="C39" s="123" t="s">
        <v>366</v>
      </c>
      <c r="D39" s="123" t="s">
        <v>30</v>
      </c>
      <c r="E39" s="128" t="s">
        <v>34</v>
      </c>
      <c r="F39" s="123" t="s">
        <v>14</v>
      </c>
      <c r="G39" s="127" t="s">
        <v>397</v>
      </c>
      <c r="H39" s="123" t="s">
        <v>367</v>
      </c>
      <c r="I39" s="123" t="s">
        <v>366</v>
      </c>
      <c r="J39" s="123" t="s">
        <v>30</v>
      </c>
      <c r="K39" s="145">
        <v>24</v>
      </c>
      <c r="L39" s="145" t="s">
        <v>800</v>
      </c>
      <c r="M39" s="145" t="s">
        <v>30</v>
      </c>
      <c r="N39" s="165"/>
      <c r="O39" s="145" t="s">
        <v>50</v>
      </c>
      <c r="P39" s="145" t="s">
        <v>803</v>
      </c>
    </row>
    <row r="40" spans="1:16">
      <c r="B40" s="3"/>
      <c r="C40" s="2"/>
      <c r="H40" s="5"/>
      <c r="I40" s="2"/>
    </row>
    <row r="41" spans="1:16">
      <c r="A41" s="17"/>
      <c r="B41" s="1" t="s">
        <v>15</v>
      </c>
      <c r="C41" s="10" t="s">
        <v>16</v>
      </c>
      <c r="D41" s="18"/>
      <c r="E41" s="17"/>
      <c r="F41" s="17"/>
      <c r="G41" s="4"/>
      <c r="H41" s="17"/>
      <c r="I41" s="17"/>
      <c r="J41" s="17"/>
      <c r="L41" s="17"/>
    </row>
    <row r="42" spans="1:16">
      <c r="A42" s="17"/>
      <c r="B42" s="17"/>
      <c r="C42" s="15" t="s">
        <v>5</v>
      </c>
      <c r="D42" s="17"/>
      <c r="E42" s="17"/>
      <c r="F42" s="17"/>
      <c r="G42" s="16"/>
      <c r="H42" s="17"/>
      <c r="I42" s="17"/>
      <c r="J42" s="17"/>
      <c r="L42" s="17"/>
    </row>
    <row r="43" spans="1:16">
      <c r="A43" s="17"/>
      <c r="B43" s="17"/>
      <c r="C43" s="19" t="s">
        <v>6</v>
      </c>
      <c r="D43" s="17"/>
      <c r="E43" s="17"/>
      <c r="F43" s="17"/>
      <c r="G43" s="16"/>
      <c r="H43" s="17"/>
      <c r="I43" s="17"/>
      <c r="J43" s="17"/>
      <c r="L43" s="17"/>
    </row>
    <row r="44" spans="1:16">
      <c r="C44" s="20" t="s">
        <v>52</v>
      </c>
      <c r="G44" s="18"/>
    </row>
    <row r="45" spans="1:16" ht="46.5">
      <c r="C45" s="29" t="s">
        <v>53</v>
      </c>
    </row>
    <row r="46" spans="1:16">
      <c r="K46" s="7"/>
    </row>
    <row r="47" spans="1:16">
      <c r="G47" s="22"/>
    </row>
  </sheetData>
  <autoFilter ref="A5:P5" xr:uid="{67128231-0E24-4297-AC4E-3BB60D8DBE45}"/>
  <mergeCells count="6">
    <mergeCell ref="A23:B23"/>
    <mergeCell ref="A3:B3"/>
    <mergeCell ref="A4:B4"/>
    <mergeCell ref="A22:B22"/>
    <mergeCell ref="A1:P1"/>
    <mergeCell ref="A2:P2"/>
  </mergeCells>
  <phoneticPr fontId="18" type="noConversion"/>
  <conditionalFormatting sqref="A1:A2 Q1:XFD2">
    <cfRule type="containsText" dxfId="65" priority="177" operator="containsText" text="TBD">
      <formula>NOT(ISERROR(SEARCH("TBD",A1)))</formula>
    </cfRule>
  </conditionalFormatting>
  <conditionalFormatting sqref="A7:B20">
    <cfRule type="containsText" dxfId="64" priority="148" operator="containsText" text="TBD">
      <formula>NOT(ISERROR(SEARCH("TBD",A7)))</formula>
    </cfRule>
  </conditionalFormatting>
  <conditionalFormatting sqref="A26:B39">
    <cfRule type="containsText" dxfId="63" priority="56" operator="containsText" text="TBD">
      <formula>NOT(ISERROR(SEARCH("TBD",A26)))</formula>
    </cfRule>
  </conditionalFormatting>
  <conditionalFormatting sqref="A6:G6">
    <cfRule type="containsText" dxfId="62" priority="126" operator="containsText" text="TBD">
      <formula>NOT(ISERROR(SEARCH("TBD",A6)))</formula>
    </cfRule>
  </conditionalFormatting>
  <conditionalFormatting sqref="A25:G25">
    <cfRule type="containsText" dxfId="61" priority="75" operator="containsText" text="TBD">
      <formula>NOT(ISERROR(SEARCH("TBD",A25)))</formula>
    </cfRule>
  </conditionalFormatting>
  <conditionalFormatting sqref="A22:L23">
    <cfRule type="containsText" dxfId="60" priority="106" operator="containsText" text="TBD">
      <formula>NOT(ISERROR(SEARCH("TBD",A22)))</formula>
    </cfRule>
  </conditionalFormatting>
  <conditionalFormatting sqref="A5:O5">
    <cfRule type="containsText" dxfId="59" priority="51" operator="containsText" text="TBD">
      <formula>NOT(ISERROR(SEARCH("TBD",A5)))</formula>
    </cfRule>
  </conditionalFormatting>
  <conditionalFormatting sqref="A24:O24">
    <cfRule type="containsText" dxfId="58" priority="49" operator="containsText" text="TBD">
      <formula>NOT(ISERROR(SEARCH("TBD",A24)))</formula>
    </cfRule>
  </conditionalFormatting>
  <conditionalFormatting sqref="A3:XFD4">
    <cfRule type="containsText" dxfId="57" priority="176" operator="containsText" text="TBD">
      <formula>NOT(ISERROR(SEARCH("TBD",A3)))</formula>
    </cfRule>
  </conditionalFormatting>
  <conditionalFormatting sqref="A21:XFD23">
    <cfRule type="containsText" dxfId="56" priority="107" operator="containsText" text="TBD">
      <formula>NOT(ISERROR(SEARCH("TBD",A21)))</formula>
    </cfRule>
  </conditionalFormatting>
  <conditionalFormatting sqref="C6:C20">
    <cfRule type="containsText" dxfId="55" priority="114" operator="containsText" text="TBD">
      <formula>NOT(ISERROR(SEARCH("TBD",C6)))</formula>
    </cfRule>
  </conditionalFormatting>
  <conditionalFormatting sqref="C25:C39">
    <cfRule type="containsText" dxfId="54" priority="63" operator="containsText" text="TBD">
      <formula>NOT(ISERROR(SEARCH("TBD",C25)))</formula>
    </cfRule>
  </conditionalFormatting>
  <conditionalFormatting sqref="C41:C44">
    <cfRule type="containsText" dxfId="53" priority="179" operator="containsText" text="TBD">
      <formula>NOT(ISERROR(SEARCH("TBD",C41)))</formula>
    </cfRule>
  </conditionalFormatting>
  <conditionalFormatting sqref="D10:F15">
    <cfRule type="containsText" dxfId="52" priority="158" operator="containsText" text="TBD">
      <formula>NOT(ISERROR(SEARCH("TBD",D10)))</formula>
    </cfRule>
  </conditionalFormatting>
  <conditionalFormatting sqref="D29:F34">
    <cfRule type="containsText" dxfId="51" priority="92" operator="containsText" text="TBD">
      <formula>NOT(ISERROR(SEARCH("TBD",D29)))</formula>
    </cfRule>
  </conditionalFormatting>
  <conditionalFormatting sqref="D7:G9">
    <cfRule type="containsText" dxfId="50" priority="168" operator="containsText" text="TBD">
      <formula>NOT(ISERROR(SEARCH("TBD",D7)))</formula>
    </cfRule>
  </conditionalFormatting>
  <conditionalFormatting sqref="D16:G20">
    <cfRule type="containsText" dxfId="49" priority="119" operator="containsText" text="TBD">
      <formula>NOT(ISERROR(SEARCH("TBD",D16)))</formula>
    </cfRule>
  </conditionalFormatting>
  <conditionalFormatting sqref="D26:G28">
    <cfRule type="containsText" dxfId="48" priority="100" operator="containsText" text="TBD">
      <formula>NOT(ISERROR(SEARCH("TBD",D26)))</formula>
    </cfRule>
  </conditionalFormatting>
  <conditionalFormatting sqref="D35:G39">
    <cfRule type="containsText" dxfId="47" priority="68" operator="containsText" text="TBD">
      <formula>NOT(ISERROR(SEARCH("TBD",D35)))</formula>
    </cfRule>
  </conditionalFormatting>
  <conditionalFormatting sqref="G10:G14">
    <cfRule type="containsText" dxfId="46" priority="133" operator="containsText" text="TBD">
      <formula>NOT(ISERROR(SEARCH("TBD",G10)))</formula>
    </cfRule>
  </conditionalFormatting>
  <conditionalFormatting sqref="G29:G33">
    <cfRule type="containsText" dxfId="45" priority="79" operator="containsText" text="TBD">
      <formula>NOT(ISERROR(SEARCH("TBD",G29)))</formula>
    </cfRule>
  </conditionalFormatting>
  <conditionalFormatting sqref="H6:I20">
    <cfRule type="containsText" dxfId="44" priority="111" operator="containsText" text="TBD">
      <formula>NOT(ISERROR(SEARCH("TBD",H6)))</formula>
    </cfRule>
  </conditionalFormatting>
  <conditionalFormatting sqref="H25:I39">
    <cfRule type="containsText" dxfId="43" priority="60" operator="containsText" text="TBD">
      <formula>NOT(ISERROR(SEARCH("TBD",H25)))</formula>
    </cfRule>
  </conditionalFormatting>
  <conditionalFormatting sqref="I6:K6 I25:K25 A40:XFD1048576">
    <cfRule type="containsText" dxfId="42" priority="180" operator="containsText" text="TBD">
      <formula>NOT(ISERROR(SEARCH("TBD",A6)))</formula>
    </cfRule>
  </conditionalFormatting>
  <conditionalFormatting sqref="J7:K20">
    <cfRule type="containsText" dxfId="41" priority="118" operator="containsText" text="TBD">
      <formula>NOT(ISERROR(SEARCH("TBD",J7)))</formula>
    </cfRule>
  </conditionalFormatting>
  <conditionalFormatting sqref="J26:K39">
    <cfRule type="containsText" dxfId="40" priority="67" operator="containsText" text="TBD">
      <formula>NOT(ISERROR(SEARCH("TBD",J26)))</formula>
    </cfRule>
  </conditionalFormatting>
  <conditionalFormatting sqref="L6:O20">
    <cfRule type="containsText" dxfId="39" priority="43" operator="containsText" text="TBD">
      <formula>NOT(ISERROR(SEARCH("TBD",L6)))</formula>
    </cfRule>
  </conditionalFormatting>
  <conditionalFormatting sqref="L25:O39">
    <cfRule type="containsText" dxfId="38" priority="41" operator="containsText" text="TBD">
      <formula>NOT(ISERROR(SEARCH("TBD",L25)))</formula>
    </cfRule>
  </conditionalFormatting>
  <conditionalFormatting sqref="P5:XFD20">
    <cfRule type="containsText" dxfId="37" priority="28" operator="containsText" text="TBD">
      <formula>NOT(ISERROR(SEARCH("TBD",P5)))</formula>
    </cfRule>
  </conditionalFormatting>
  <conditionalFormatting sqref="P24:XFD39">
    <cfRule type="containsText" dxfId="36" priority="1" operator="containsText" text="TBD">
      <formula>NOT(ISERROR(SEARCH("TBD",P24)))</formula>
    </cfRule>
  </conditionalFormatting>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CD4A-B47D-400A-901C-DE911906EE91}">
  <sheetPr>
    <tabColor rgb="FF00B050"/>
  </sheetPr>
  <dimension ref="A1:AV57"/>
  <sheetViews>
    <sheetView zoomScale="55" zoomScaleNormal="55" workbookViewId="0">
      <selection activeCell="Q27" sqref="Q27:R27"/>
    </sheetView>
  </sheetViews>
  <sheetFormatPr defaultColWidth="9" defaultRowHeight="15.5"/>
  <cols>
    <col min="1" max="1" width="9.08984375" style="6" bestFit="1" customWidth="1"/>
    <col min="2" max="2" width="8.08984375" style="6" bestFit="1" customWidth="1"/>
    <col min="3" max="3" width="23.08984375" style="6" bestFit="1" customWidth="1"/>
    <col min="4" max="4" width="20.36328125" style="6" bestFit="1" customWidth="1"/>
    <col min="5" max="6" width="15.7265625" style="6" bestFit="1" customWidth="1"/>
    <col min="7" max="7" width="76.453125" style="6" bestFit="1" customWidth="1"/>
    <col min="8" max="8" width="15.6328125" style="6" bestFit="1" customWidth="1"/>
    <col min="9" max="9" width="25.453125" style="6" bestFit="1" customWidth="1"/>
    <col min="10" max="10" width="18.90625" style="6" customWidth="1"/>
    <col min="11" max="11" width="12.26953125" style="6" bestFit="1" customWidth="1"/>
    <col min="12" max="12" width="8.26953125" style="6" customWidth="1"/>
    <col min="13" max="13" width="11.7265625" style="6" customWidth="1"/>
    <col min="14" max="14" width="28.36328125" style="6" customWidth="1"/>
    <col min="15" max="15" width="15" style="6" customWidth="1"/>
    <col min="16" max="16" width="17.90625" style="6" customWidth="1"/>
    <col min="17" max="16384" width="9" style="6"/>
  </cols>
  <sheetData>
    <row r="1" spans="1:46">
      <c r="A1" s="185" t="s">
        <v>21</v>
      </c>
      <c r="B1" s="185"/>
      <c r="C1" s="185"/>
      <c r="D1" s="185"/>
      <c r="E1" s="185"/>
      <c r="F1" s="185"/>
      <c r="G1" s="185"/>
      <c r="H1" s="185"/>
      <c r="I1" s="185"/>
      <c r="J1" s="185"/>
      <c r="K1" s="185"/>
      <c r="L1" s="185"/>
      <c r="M1" s="185"/>
    </row>
    <row r="2" spans="1:46">
      <c r="A2" s="185" t="s">
        <v>0</v>
      </c>
      <c r="B2" s="185"/>
      <c r="C2" s="185"/>
      <c r="D2" s="185"/>
      <c r="E2" s="185"/>
      <c r="F2" s="185"/>
      <c r="G2" s="185"/>
      <c r="H2" s="185"/>
      <c r="I2" s="185"/>
      <c r="J2" s="185"/>
      <c r="K2" s="185"/>
      <c r="L2" s="185"/>
      <c r="M2" s="185"/>
    </row>
    <row r="3" spans="1:46">
      <c r="A3" s="176" t="s">
        <v>7</v>
      </c>
      <c r="B3" s="176"/>
      <c r="C3" s="52" t="s">
        <v>699</v>
      </c>
      <c r="D3" s="26" t="s">
        <v>1</v>
      </c>
      <c r="E3" s="27" t="s">
        <v>14</v>
      </c>
      <c r="F3" s="26"/>
      <c r="G3" s="26"/>
      <c r="H3" s="26"/>
      <c r="I3" s="26"/>
      <c r="J3" s="26"/>
      <c r="K3" s="26"/>
      <c r="L3" s="26"/>
      <c r="M3" s="44"/>
      <c r="N3" s="44"/>
      <c r="O3" s="44"/>
      <c r="P3" s="44"/>
    </row>
    <row r="4" spans="1:46">
      <c r="A4" s="176" t="s">
        <v>8</v>
      </c>
      <c r="B4" s="176"/>
      <c r="C4" s="89" t="str">
        <f>E6</f>
        <v>19-100613</v>
      </c>
      <c r="D4" s="26" t="s">
        <v>9</v>
      </c>
      <c r="E4" s="27" t="s">
        <v>14</v>
      </c>
      <c r="F4" s="26" t="s">
        <v>10</v>
      </c>
      <c r="G4" s="13" t="str">
        <f>G6</f>
        <v>19-HPM + SOCAMM w/cold plate w/o GPU</v>
      </c>
      <c r="H4" s="26"/>
      <c r="I4" s="26"/>
      <c r="J4" s="26"/>
      <c r="K4" s="26"/>
      <c r="L4" s="41"/>
      <c r="M4" s="44"/>
      <c r="N4" s="44"/>
      <c r="O4" s="44"/>
      <c r="P4" s="44"/>
    </row>
    <row r="5" spans="1:46" ht="29">
      <c r="A5" s="28" t="s">
        <v>2</v>
      </c>
      <c r="B5" s="28" t="s">
        <v>3</v>
      </c>
      <c r="C5" s="28" t="s">
        <v>11</v>
      </c>
      <c r="D5" s="28" t="s">
        <v>12</v>
      </c>
      <c r="E5" s="28" t="s">
        <v>35</v>
      </c>
      <c r="F5" s="28" t="s">
        <v>13</v>
      </c>
      <c r="G5" s="28" t="s">
        <v>18</v>
      </c>
      <c r="H5" s="28" t="s">
        <v>31</v>
      </c>
      <c r="I5" s="28" t="s">
        <v>19</v>
      </c>
      <c r="J5" s="28" t="s">
        <v>4</v>
      </c>
      <c r="K5" s="28" t="s">
        <v>22</v>
      </c>
      <c r="L5" s="28" t="s">
        <v>798</v>
      </c>
      <c r="M5" s="28" t="s">
        <v>799</v>
      </c>
      <c r="N5" s="28" t="s">
        <v>15</v>
      </c>
      <c r="O5" s="28" t="s">
        <v>49</v>
      </c>
      <c r="P5" s="28" t="s">
        <v>801</v>
      </c>
    </row>
    <row r="6" spans="1:46">
      <c r="A6" s="11">
        <v>1</v>
      </c>
      <c r="B6" s="49" t="s">
        <v>36</v>
      </c>
      <c r="C6" s="52" t="s">
        <v>699</v>
      </c>
      <c r="D6" s="11" t="s">
        <v>17</v>
      </c>
      <c r="E6" s="11" t="s">
        <v>645</v>
      </c>
      <c r="F6" s="11" t="s">
        <v>14</v>
      </c>
      <c r="G6" s="13" t="s">
        <v>599</v>
      </c>
      <c r="H6" s="11" t="s">
        <v>20</v>
      </c>
      <c r="I6" s="52" t="s">
        <v>699</v>
      </c>
      <c r="J6" s="11" t="s">
        <v>14</v>
      </c>
      <c r="K6" s="11">
        <v>1</v>
      </c>
      <c r="L6" s="45" t="s">
        <v>800</v>
      </c>
      <c r="M6" s="45" t="s">
        <v>30</v>
      </c>
      <c r="O6" s="11" t="s">
        <v>14</v>
      </c>
      <c r="P6" s="11" t="s">
        <v>808</v>
      </c>
    </row>
    <row r="7" spans="1:46">
      <c r="A7" s="11">
        <v>2</v>
      </c>
      <c r="B7" s="58" t="s">
        <v>29</v>
      </c>
      <c r="C7" s="24" t="s">
        <v>34</v>
      </c>
      <c r="D7" s="11" t="s">
        <v>14</v>
      </c>
      <c r="E7" s="11" t="s">
        <v>646</v>
      </c>
      <c r="F7" s="11" t="s">
        <v>14</v>
      </c>
      <c r="G7" s="43" t="s">
        <v>600</v>
      </c>
      <c r="H7" s="11" t="s">
        <v>601</v>
      </c>
      <c r="I7" s="52" t="s">
        <v>34</v>
      </c>
      <c r="J7" s="11" t="s">
        <v>14</v>
      </c>
      <c r="K7" s="11">
        <v>2</v>
      </c>
      <c r="L7" s="45" t="s">
        <v>800</v>
      </c>
      <c r="M7" s="45" t="s">
        <v>30</v>
      </c>
      <c r="N7" s="24" t="s">
        <v>602</v>
      </c>
      <c r="O7" s="11" t="s">
        <v>41</v>
      </c>
      <c r="P7" s="11" t="s">
        <v>154</v>
      </c>
    </row>
    <row r="8" spans="1:46">
      <c r="A8" s="11">
        <v>3</v>
      </c>
      <c r="B8" s="58" t="s">
        <v>37</v>
      </c>
      <c r="C8" s="24" t="s">
        <v>603</v>
      </c>
      <c r="D8" s="11" t="s">
        <v>30</v>
      </c>
      <c r="E8" s="91" t="s">
        <v>604</v>
      </c>
      <c r="F8" s="11" t="s">
        <v>30</v>
      </c>
      <c r="G8" s="43" t="s">
        <v>605</v>
      </c>
      <c r="H8" s="11" t="s">
        <v>606</v>
      </c>
      <c r="I8" s="52" t="s">
        <v>607</v>
      </c>
      <c r="J8" s="11" t="s">
        <v>14</v>
      </c>
      <c r="K8" s="11">
        <v>8</v>
      </c>
      <c r="L8" s="45" t="s">
        <v>800</v>
      </c>
      <c r="M8" s="45" t="s">
        <v>30</v>
      </c>
      <c r="N8" s="45"/>
      <c r="O8" s="52" t="s">
        <v>608</v>
      </c>
      <c r="P8" s="11" t="s">
        <v>154</v>
      </c>
    </row>
    <row r="9" spans="1:46">
      <c r="A9" s="11">
        <v>4</v>
      </c>
      <c r="B9" s="58"/>
      <c r="C9" s="24" t="s">
        <v>609</v>
      </c>
      <c r="D9" s="11" t="s">
        <v>30</v>
      </c>
      <c r="E9" s="91" t="s">
        <v>604</v>
      </c>
      <c r="F9" s="11" t="s">
        <v>30</v>
      </c>
      <c r="G9" s="43" t="s">
        <v>605</v>
      </c>
      <c r="H9" s="11" t="s">
        <v>610</v>
      </c>
      <c r="I9" s="11" t="s">
        <v>611</v>
      </c>
      <c r="J9" s="11" t="s">
        <v>14</v>
      </c>
      <c r="K9" s="11"/>
      <c r="L9" s="45" t="s">
        <v>800</v>
      </c>
      <c r="M9" s="45" t="s">
        <v>30</v>
      </c>
      <c r="N9" s="45"/>
      <c r="O9" s="11" t="s">
        <v>608</v>
      </c>
      <c r="P9" s="11" t="s">
        <v>154</v>
      </c>
    </row>
    <row r="10" spans="1:46">
      <c r="A10" s="11">
        <v>5</v>
      </c>
      <c r="B10" s="58" t="s">
        <v>117</v>
      </c>
      <c r="C10" s="55" t="s">
        <v>620</v>
      </c>
      <c r="D10" s="11" t="s">
        <v>30</v>
      </c>
      <c r="E10" s="91" t="s">
        <v>621</v>
      </c>
      <c r="F10" s="11" t="s">
        <v>30</v>
      </c>
      <c r="G10" s="43" t="s">
        <v>612</v>
      </c>
      <c r="H10" s="11" t="s">
        <v>613</v>
      </c>
      <c r="I10" s="52" t="s">
        <v>619</v>
      </c>
      <c r="J10" s="11" t="s">
        <v>14</v>
      </c>
      <c r="K10" s="11">
        <v>8</v>
      </c>
      <c r="L10" s="45" t="s">
        <v>800</v>
      </c>
      <c r="M10" s="45" t="s">
        <v>30</v>
      </c>
      <c r="N10" s="45"/>
      <c r="O10" s="52" t="s">
        <v>614</v>
      </c>
      <c r="P10" s="11" t="s">
        <v>154</v>
      </c>
    </row>
    <row r="11" spans="1:46">
      <c r="A11" s="11">
        <v>6</v>
      </c>
      <c r="B11" s="58"/>
      <c r="C11" s="24" t="s">
        <v>615</v>
      </c>
      <c r="D11" s="11" t="s">
        <v>30</v>
      </c>
      <c r="E11" s="91" t="s">
        <v>621</v>
      </c>
      <c r="F11" s="11" t="s">
        <v>30</v>
      </c>
      <c r="G11" s="43" t="s">
        <v>616</v>
      </c>
      <c r="H11" s="11" t="s">
        <v>617</v>
      </c>
      <c r="I11" s="11" t="s">
        <v>618</v>
      </c>
      <c r="J11" s="11" t="s">
        <v>14</v>
      </c>
      <c r="K11" s="11"/>
      <c r="L11" s="45" t="s">
        <v>800</v>
      </c>
      <c r="M11" s="45" t="s">
        <v>30</v>
      </c>
      <c r="N11" s="45"/>
      <c r="O11" s="52" t="s">
        <v>614</v>
      </c>
      <c r="P11" s="11" t="s">
        <v>154</v>
      </c>
    </row>
    <row r="12" spans="1:46" s="45" customFormat="1">
      <c r="A12" s="11">
        <v>7</v>
      </c>
      <c r="B12" s="82" t="s">
        <v>622</v>
      </c>
      <c r="C12" s="83" t="s">
        <v>587</v>
      </c>
      <c r="D12" s="45" t="s">
        <v>17</v>
      </c>
      <c r="E12" s="112" t="s">
        <v>466</v>
      </c>
      <c r="F12" s="45" t="s">
        <v>14</v>
      </c>
      <c r="G12" s="84" t="s">
        <v>428</v>
      </c>
      <c r="H12" s="45" t="s">
        <v>421</v>
      </c>
      <c r="I12" s="45" t="s">
        <v>576</v>
      </c>
      <c r="J12" s="45" t="s">
        <v>14</v>
      </c>
      <c r="K12" s="45">
        <v>2</v>
      </c>
      <c r="L12" s="45" t="s">
        <v>800</v>
      </c>
      <c r="M12" s="45" t="s">
        <v>30</v>
      </c>
      <c r="O12" s="45" t="s">
        <v>422</v>
      </c>
      <c r="P12" s="11" t="s">
        <v>154</v>
      </c>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row>
    <row r="13" spans="1:46" s="45" customFormat="1">
      <c r="A13" s="11">
        <v>8</v>
      </c>
      <c r="B13" s="82"/>
      <c r="C13" s="86" t="s">
        <v>574</v>
      </c>
      <c r="D13" s="45" t="s">
        <v>17</v>
      </c>
      <c r="E13" s="112" t="s">
        <v>466</v>
      </c>
      <c r="F13" s="45" t="s">
        <v>14</v>
      </c>
      <c r="G13" s="84" t="s">
        <v>433</v>
      </c>
      <c r="H13" s="45" t="s">
        <v>210</v>
      </c>
      <c r="I13" s="86" t="s">
        <v>453</v>
      </c>
      <c r="J13" s="45" t="s">
        <v>14</v>
      </c>
      <c r="L13" s="45" t="s">
        <v>800</v>
      </c>
      <c r="M13" s="45" t="s">
        <v>30</v>
      </c>
      <c r="O13" s="45" t="s">
        <v>422</v>
      </c>
      <c r="P13" s="11" t="s">
        <v>154</v>
      </c>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row>
    <row r="14" spans="1:46" s="45" customFormat="1">
      <c r="A14" s="11">
        <v>9</v>
      </c>
      <c r="B14" s="82"/>
      <c r="C14" s="86" t="s">
        <v>575</v>
      </c>
      <c r="D14" s="45" t="s">
        <v>17</v>
      </c>
      <c r="E14" s="112" t="s">
        <v>466</v>
      </c>
      <c r="F14" s="45" t="s">
        <v>14</v>
      </c>
      <c r="G14" s="84" t="s">
        <v>438</v>
      </c>
      <c r="H14" s="45" t="s">
        <v>427</v>
      </c>
      <c r="I14" s="86" t="s">
        <v>577</v>
      </c>
      <c r="J14" s="45" t="s">
        <v>14</v>
      </c>
      <c r="L14" s="45" t="s">
        <v>800</v>
      </c>
      <c r="M14" s="45" t="s">
        <v>30</v>
      </c>
      <c r="O14" s="45" t="s">
        <v>422</v>
      </c>
      <c r="P14" s="11" t="s">
        <v>154</v>
      </c>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row>
    <row r="15" spans="1:46" s="45" customFormat="1">
      <c r="A15" s="11">
        <v>10</v>
      </c>
      <c r="B15" s="82" t="s">
        <v>118</v>
      </c>
      <c r="C15" s="45" t="s">
        <v>445</v>
      </c>
      <c r="D15" s="85" t="s">
        <v>30</v>
      </c>
      <c r="E15" s="45" t="s">
        <v>591</v>
      </c>
      <c r="F15" s="45" t="s">
        <v>14</v>
      </c>
      <c r="G15" s="84" t="s">
        <v>431</v>
      </c>
      <c r="H15" s="45" t="s">
        <v>421</v>
      </c>
      <c r="I15" s="45" t="s">
        <v>443</v>
      </c>
      <c r="J15" s="85" t="s">
        <v>30</v>
      </c>
      <c r="K15" s="45">
        <v>2</v>
      </c>
      <c r="L15" s="45" t="s">
        <v>800</v>
      </c>
      <c r="M15" s="45" t="s">
        <v>30</v>
      </c>
      <c r="O15" s="45" t="s">
        <v>422</v>
      </c>
      <c r="P15" s="11" t="s">
        <v>154</v>
      </c>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row>
    <row r="16" spans="1:46" s="45" customFormat="1">
      <c r="A16" s="11">
        <v>11</v>
      </c>
      <c r="B16" s="82"/>
      <c r="C16" s="86" t="s">
        <v>451</v>
      </c>
      <c r="D16" s="85" t="s">
        <v>30</v>
      </c>
      <c r="E16" s="45" t="s">
        <v>591</v>
      </c>
      <c r="F16" s="45" t="s">
        <v>14</v>
      </c>
      <c r="G16" s="84" t="s">
        <v>436</v>
      </c>
      <c r="H16" s="45" t="s">
        <v>210</v>
      </c>
      <c r="I16" s="86" t="s">
        <v>448</v>
      </c>
      <c r="J16" s="85" t="s">
        <v>30</v>
      </c>
      <c r="L16" s="45" t="s">
        <v>800</v>
      </c>
      <c r="M16" s="45" t="s">
        <v>30</v>
      </c>
      <c r="O16" s="45" t="s">
        <v>422</v>
      </c>
      <c r="P16" s="11" t="s">
        <v>154</v>
      </c>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row>
    <row r="17" spans="1:48" s="45" customFormat="1">
      <c r="A17" s="11">
        <v>12</v>
      </c>
      <c r="B17" s="82"/>
      <c r="C17" s="83" t="s">
        <v>499</v>
      </c>
      <c r="D17" s="85" t="s">
        <v>30</v>
      </c>
      <c r="E17" s="45" t="s">
        <v>591</v>
      </c>
      <c r="F17" s="45" t="s">
        <v>14</v>
      </c>
      <c r="G17" s="84" t="s">
        <v>441</v>
      </c>
      <c r="H17" s="45" t="s">
        <v>427</v>
      </c>
      <c r="I17" s="83" t="s">
        <v>583</v>
      </c>
      <c r="J17" s="85" t="s">
        <v>30</v>
      </c>
      <c r="L17" s="45" t="s">
        <v>800</v>
      </c>
      <c r="M17" s="45" t="s">
        <v>30</v>
      </c>
      <c r="O17" s="45" t="s">
        <v>422</v>
      </c>
      <c r="P17" s="11" t="s">
        <v>154</v>
      </c>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row>
    <row r="18" spans="1:48" s="45" customFormat="1">
      <c r="A18" s="11">
        <v>13</v>
      </c>
      <c r="B18" s="82" t="s">
        <v>119</v>
      </c>
      <c r="C18" s="45" t="s">
        <v>446</v>
      </c>
      <c r="D18" s="85" t="s">
        <v>30</v>
      </c>
      <c r="E18" s="45" t="s">
        <v>592</v>
      </c>
      <c r="F18" s="45" t="s">
        <v>14</v>
      </c>
      <c r="G18" s="84" t="s">
        <v>432</v>
      </c>
      <c r="H18" s="45" t="s">
        <v>421</v>
      </c>
      <c r="I18" s="45" t="s">
        <v>444</v>
      </c>
      <c r="J18" s="85" t="s">
        <v>30</v>
      </c>
      <c r="K18" s="45">
        <v>2</v>
      </c>
      <c r="L18" s="45" t="s">
        <v>800</v>
      </c>
      <c r="M18" s="45" t="s">
        <v>30</v>
      </c>
      <c r="O18" s="45" t="s">
        <v>422</v>
      </c>
      <c r="P18" s="11" t="s">
        <v>154</v>
      </c>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row>
    <row r="19" spans="1:48" s="45" customFormat="1">
      <c r="A19" s="11">
        <v>14</v>
      </c>
      <c r="B19" s="82"/>
      <c r="C19" s="86" t="s">
        <v>452</v>
      </c>
      <c r="D19" s="85" t="s">
        <v>30</v>
      </c>
      <c r="E19" s="45" t="s">
        <v>592</v>
      </c>
      <c r="F19" s="45" t="s">
        <v>14</v>
      </c>
      <c r="G19" s="84" t="s">
        <v>437</v>
      </c>
      <c r="H19" s="45" t="s">
        <v>210</v>
      </c>
      <c r="I19" s="86" t="s">
        <v>449</v>
      </c>
      <c r="J19" s="85" t="s">
        <v>30</v>
      </c>
      <c r="L19" s="45" t="s">
        <v>800</v>
      </c>
      <c r="M19" s="45" t="s">
        <v>30</v>
      </c>
      <c r="O19" s="45" t="s">
        <v>422</v>
      </c>
      <c r="P19" s="11" t="s">
        <v>154</v>
      </c>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row>
    <row r="20" spans="1:48" s="45" customFormat="1">
      <c r="A20" s="11">
        <v>15</v>
      </c>
      <c r="B20" s="82"/>
      <c r="C20" s="83" t="s">
        <v>500</v>
      </c>
      <c r="D20" s="85" t="s">
        <v>30</v>
      </c>
      <c r="E20" s="45" t="s">
        <v>592</v>
      </c>
      <c r="F20" s="45" t="s">
        <v>14</v>
      </c>
      <c r="G20" s="84" t="s">
        <v>442</v>
      </c>
      <c r="H20" s="45" t="s">
        <v>427</v>
      </c>
      <c r="I20" s="83" t="s">
        <v>501</v>
      </c>
      <c r="J20" s="85" t="s">
        <v>30</v>
      </c>
      <c r="L20" s="45" t="s">
        <v>800</v>
      </c>
      <c r="M20" s="45" t="s">
        <v>30</v>
      </c>
      <c r="O20" s="45" t="s">
        <v>422</v>
      </c>
      <c r="P20" s="11" t="s">
        <v>154</v>
      </c>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row>
    <row r="21" spans="1:48">
      <c r="A21" s="25"/>
      <c r="B21" s="105"/>
      <c r="C21" s="106"/>
      <c r="D21" s="25"/>
      <c r="E21" s="106"/>
      <c r="F21" s="25"/>
      <c r="G21" s="107"/>
      <c r="H21" s="25"/>
      <c r="I21" s="106"/>
      <c r="J21" s="25"/>
      <c r="K21" s="25"/>
      <c r="L21" s="25"/>
      <c r="M21" s="108"/>
    </row>
    <row r="22" spans="1:48">
      <c r="A22" s="176" t="s">
        <v>7</v>
      </c>
      <c r="B22" s="176"/>
      <c r="C22" s="52" t="s">
        <v>642</v>
      </c>
      <c r="D22" s="26" t="s">
        <v>1</v>
      </c>
      <c r="E22" s="27" t="s">
        <v>14</v>
      </c>
      <c r="F22" s="26"/>
      <c r="G22" s="26"/>
      <c r="H22" s="26"/>
      <c r="I22" s="26"/>
      <c r="J22" s="26"/>
      <c r="K22" s="26"/>
      <c r="L22" s="26"/>
      <c r="M22" s="44"/>
      <c r="N22" s="44"/>
      <c r="O22" s="44"/>
      <c r="P22" s="44"/>
    </row>
    <row r="23" spans="1:48">
      <c r="A23" s="176" t="s">
        <v>8</v>
      </c>
      <c r="B23" s="176"/>
      <c r="C23" s="89" t="str">
        <f>E25</f>
        <v>19-100606</v>
      </c>
      <c r="D23" s="26" t="s">
        <v>9</v>
      </c>
      <c r="E23" s="27" t="s">
        <v>14</v>
      </c>
      <c r="F23" s="26" t="s">
        <v>10</v>
      </c>
      <c r="G23" s="13" t="s">
        <v>643</v>
      </c>
      <c r="H23" s="26"/>
      <c r="I23" s="26"/>
      <c r="J23" s="26"/>
      <c r="K23" s="26"/>
      <c r="L23" s="41"/>
      <c r="M23" s="44"/>
      <c r="N23" s="44"/>
      <c r="O23" s="44"/>
      <c r="P23" s="44"/>
    </row>
    <row r="24" spans="1:48" ht="29">
      <c r="A24" s="28" t="s">
        <v>2</v>
      </c>
      <c r="B24" s="28" t="s">
        <v>3</v>
      </c>
      <c r="C24" s="28" t="s">
        <v>11</v>
      </c>
      <c r="D24" s="28" t="s">
        <v>12</v>
      </c>
      <c r="E24" s="28" t="s">
        <v>35</v>
      </c>
      <c r="F24" s="28" t="s">
        <v>13</v>
      </c>
      <c r="G24" s="28" t="s">
        <v>18</v>
      </c>
      <c r="H24" s="28" t="s">
        <v>31</v>
      </c>
      <c r="I24" s="28" t="s">
        <v>19</v>
      </c>
      <c r="J24" s="28" t="s">
        <v>4</v>
      </c>
      <c r="K24" s="28" t="s">
        <v>22</v>
      </c>
      <c r="L24" s="28" t="s">
        <v>798</v>
      </c>
      <c r="M24" s="28" t="s">
        <v>799</v>
      </c>
      <c r="N24" s="28" t="s">
        <v>15</v>
      </c>
      <c r="O24" s="28" t="s">
        <v>49</v>
      </c>
      <c r="P24" s="28" t="s">
        <v>801</v>
      </c>
    </row>
    <row r="25" spans="1:48">
      <c r="A25" s="11">
        <v>1</v>
      </c>
      <c r="B25" s="49" t="s">
        <v>36</v>
      </c>
      <c r="C25" s="52" t="s">
        <v>642</v>
      </c>
      <c r="D25" s="11" t="s">
        <v>17</v>
      </c>
      <c r="E25" s="11" t="s">
        <v>624</v>
      </c>
      <c r="F25" s="11" t="s">
        <v>14</v>
      </c>
      <c r="G25" s="13" t="s">
        <v>643</v>
      </c>
      <c r="H25" s="11" t="s">
        <v>20</v>
      </c>
      <c r="I25" s="52" t="s">
        <v>642</v>
      </c>
      <c r="J25" s="11" t="s">
        <v>14</v>
      </c>
      <c r="K25" s="11">
        <v>1</v>
      </c>
      <c r="L25" s="45" t="s">
        <v>800</v>
      </c>
      <c r="M25" s="45" t="s">
        <v>30</v>
      </c>
      <c r="N25" s="45"/>
      <c r="O25" s="11" t="s">
        <v>14</v>
      </c>
      <c r="P25" s="11" t="s">
        <v>808</v>
      </c>
    </row>
    <row r="26" spans="1:48">
      <c r="A26" s="11">
        <v>2</v>
      </c>
      <c r="B26" s="58" t="s">
        <v>29</v>
      </c>
      <c r="C26" s="24" t="s">
        <v>34</v>
      </c>
      <c r="D26" s="11" t="s">
        <v>14</v>
      </c>
      <c r="E26" s="11" t="s">
        <v>647</v>
      </c>
      <c r="F26" s="11" t="s">
        <v>14</v>
      </c>
      <c r="G26" s="43" t="s">
        <v>623</v>
      </c>
      <c r="H26" s="11" t="s">
        <v>34</v>
      </c>
      <c r="I26" s="52" t="s">
        <v>34</v>
      </c>
      <c r="J26" s="11" t="s">
        <v>14</v>
      </c>
      <c r="K26" s="11">
        <v>1</v>
      </c>
      <c r="L26" s="45" t="s">
        <v>800</v>
      </c>
      <c r="M26" s="45" t="s">
        <v>30</v>
      </c>
      <c r="N26" s="45"/>
      <c r="O26" s="11" t="s">
        <v>41</v>
      </c>
      <c r="P26" s="11" t="s">
        <v>154</v>
      </c>
    </row>
    <row r="27" spans="1:48" s="45" customFormat="1">
      <c r="A27" s="45">
        <v>3</v>
      </c>
      <c r="B27" s="82" t="s">
        <v>37</v>
      </c>
      <c r="C27" s="83" t="s">
        <v>588</v>
      </c>
      <c r="D27" s="45" t="s">
        <v>17</v>
      </c>
      <c r="E27" s="112" t="s">
        <v>467</v>
      </c>
      <c r="F27" s="45" t="s">
        <v>14</v>
      </c>
      <c r="G27" s="84" t="s">
        <v>429</v>
      </c>
      <c r="H27" s="45" t="s">
        <v>421</v>
      </c>
      <c r="I27" s="45" t="s">
        <v>580</v>
      </c>
      <c r="J27" s="45" t="s">
        <v>14</v>
      </c>
      <c r="K27" s="45">
        <v>1</v>
      </c>
      <c r="L27" s="45" t="s">
        <v>800</v>
      </c>
      <c r="M27" s="45" t="s">
        <v>30</v>
      </c>
      <c r="O27" s="45" t="s">
        <v>422</v>
      </c>
      <c r="P27" s="11" t="s">
        <v>154</v>
      </c>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row>
    <row r="28" spans="1:48" s="45" customFormat="1">
      <c r="A28" s="45">
        <v>4</v>
      </c>
      <c r="B28" s="82"/>
      <c r="C28" s="86" t="s">
        <v>578</v>
      </c>
      <c r="D28" s="45" t="s">
        <v>17</v>
      </c>
      <c r="E28" s="112" t="s">
        <v>467</v>
      </c>
      <c r="F28" s="45" t="s">
        <v>14</v>
      </c>
      <c r="G28" s="84" t="s">
        <v>434</v>
      </c>
      <c r="H28" s="45" t="s">
        <v>210</v>
      </c>
      <c r="I28" s="86" t="s">
        <v>581</v>
      </c>
      <c r="J28" s="45" t="s">
        <v>14</v>
      </c>
      <c r="L28" s="45" t="s">
        <v>800</v>
      </c>
      <c r="M28" s="45" t="s">
        <v>30</v>
      </c>
      <c r="O28" s="45" t="s">
        <v>422</v>
      </c>
      <c r="P28" s="11" t="s">
        <v>154</v>
      </c>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row>
    <row r="29" spans="1:48" s="110" customFormat="1">
      <c r="A29" s="45">
        <v>5</v>
      </c>
      <c r="B29" s="82"/>
      <c r="C29" s="86" t="s">
        <v>579</v>
      </c>
      <c r="D29" s="45" t="s">
        <v>17</v>
      </c>
      <c r="E29" s="112" t="s">
        <v>467</v>
      </c>
      <c r="F29" s="45" t="s">
        <v>14</v>
      </c>
      <c r="G29" s="84" t="s">
        <v>439</v>
      </c>
      <c r="H29" s="45" t="s">
        <v>427</v>
      </c>
      <c r="I29" s="86" t="s">
        <v>582</v>
      </c>
      <c r="J29" s="45" t="s">
        <v>14</v>
      </c>
      <c r="K29" s="45"/>
      <c r="L29" s="45" t="s">
        <v>800</v>
      </c>
      <c r="M29" s="45" t="s">
        <v>30</v>
      </c>
      <c r="N29" s="45"/>
      <c r="O29" s="45" t="s">
        <v>422</v>
      </c>
      <c r="P29" s="11" t="s">
        <v>154</v>
      </c>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row>
    <row r="30" spans="1:48">
      <c r="A30" s="25"/>
      <c r="B30" s="140"/>
      <c r="C30" s="106"/>
      <c r="D30" s="25"/>
      <c r="E30" s="111"/>
      <c r="F30" s="25"/>
      <c r="G30" s="115"/>
      <c r="H30" s="25"/>
      <c r="I30" s="25"/>
      <c r="J30" s="25"/>
      <c r="K30" s="25"/>
      <c r="L30" s="141"/>
    </row>
    <row r="31" spans="1:48">
      <c r="A31" s="176" t="s">
        <v>7</v>
      </c>
      <c r="B31" s="176"/>
      <c r="C31" s="52" t="s">
        <v>697</v>
      </c>
      <c r="D31" s="26" t="s">
        <v>1</v>
      </c>
      <c r="E31" s="27" t="s">
        <v>14</v>
      </c>
      <c r="F31" s="26"/>
      <c r="G31" s="26"/>
      <c r="H31" s="26"/>
      <c r="I31" s="26"/>
      <c r="J31" s="26"/>
      <c r="K31" s="26"/>
      <c r="L31" s="26"/>
      <c r="M31" s="44"/>
      <c r="N31" s="44"/>
      <c r="O31" s="44"/>
      <c r="P31" s="44"/>
    </row>
    <row r="32" spans="1:48">
      <c r="A32" s="176" t="s">
        <v>8</v>
      </c>
      <c r="B32" s="176"/>
      <c r="C32" s="89" t="str">
        <f>E34</f>
        <v>TBD</v>
      </c>
      <c r="D32" s="26" t="s">
        <v>9</v>
      </c>
      <c r="E32" s="27" t="s">
        <v>14</v>
      </c>
      <c r="F32" s="26" t="s">
        <v>10</v>
      </c>
      <c r="G32" s="13" t="str">
        <f>G34</f>
        <v>2TB E1.S boot drive Assy</v>
      </c>
      <c r="H32" s="26"/>
      <c r="I32" s="26"/>
      <c r="J32" s="26"/>
      <c r="K32" s="26"/>
      <c r="L32" s="41"/>
      <c r="M32" s="44"/>
      <c r="N32" s="44"/>
      <c r="O32" s="44"/>
      <c r="P32" s="44"/>
    </row>
    <row r="33" spans="1:46" ht="29">
      <c r="A33" s="28" t="s">
        <v>2</v>
      </c>
      <c r="B33" s="28" t="s">
        <v>3</v>
      </c>
      <c r="C33" s="28" t="s">
        <v>11</v>
      </c>
      <c r="D33" s="28" t="s">
        <v>12</v>
      </c>
      <c r="E33" s="28" t="s">
        <v>35</v>
      </c>
      <c r="F33" s="28" t="s">
        <v>13</v>
      </c>
      <c r="G33" s="28" t="s">
        <v>18</v>
      </c>
      <c r="H33" s="28" t="s">
        <v>31</v>
      </c>
      <c r="I33" s="28" t="s">
        <v>19</v>
      </c>
      <c r="J33" s="28" t="s">
        <v>4</v>
      </c>
      <c r="K33" s="28" t="s">
        <v>22</v>
      </c>
      <c r="L33" s="28" t="s">
        <v>798</v>
      </c>
      <c r="M33" s="28" t="s">
        <v>799</v>
      </c>
      <c r="N33" s="28" t="s">
        <v>15</v>
      </c>
      <c r="O33" s="28" t="s">
        <v>49</v>
      </c>
      <c r="P33" s="28" t="s">
        <v>801</v>
      </c>
    </row>
    <row r="34" spans="1:46">
      <c r="A34" s="11">
        <v>1</v>
      </c>
      <c r="B34" s="49" t="s">
        <v>36</v>
      </c>
      <c r="C34" s="52" t="s">
        <v>697</v>
      </c>
      <c r="D34" s="11" t="s">
        <v>17</v>
      </c>
      <c r="E34" s="11" t="s">
        <v>34</v>
      </c>
      <c r="F34" s="11" t="s">
        <v>14</v>
      </c>
      <c r="G34" s="13" t="s">
        <v>629</v>
      </c>
      <c r="H34" s="11" t="s">
        <v>20</v>
      </c>
      <c r="I34" s="52" t="s">
        <v>697</v>
      </c>
      <c r="J34" s="11" t="s">
        <v>14</v>
      </c>
      <c r="K34" s="11">
        <v>1</v>
      </c>
      <c r="L34" s="45" t="s">
        <v>800</v>
      </c>
      <c r="M34" s="45" t="s">
        <v>30</v>
      </c>
      <c r="N34" s="45"/>
      <c r="O34" s="11" t="s">
        <v>14</v>
      </c>
      <c r="P34" s="11" t="s">
        <v>808</v>
      </c>
    </row>
    <row r="35" spans="1:46">
      <c r="A35" s="11">
        <v>2</v>
      </c>
      <c r="B35" s="58" t="s">
        <v>29</v>
      </c>
      <c r="C35" s="24" t="s">
        <v>333</v>
      </c>
      <c r="D35" s="11" t="s">
        <v>14</v>
      </c>
      <c r="E35" s="11" t="s">
        <v>648</v>
      </c>
      <c r="F35" s="11" t="s">
        <v>14</v>
      </c>
      <c r="G35" s="43" t="s">
        <v>625</v>
      </c>
      <c r="H35" s="52" t="s">
        <v>418</v>
      </c>
      <c r="I35" s="24" t="s">
        <v>333</v>
      </c>
      <c r="J35" s="11" t="s">
        <v>14</v>
      </c>
      <c r="K35" s="11">
        <v>1</v>
      </c>
      <c r="L35" s="45" t="s">
        <v>800</v>
      </c>
      <c r="M35" s="45" t="s">
        <v>30</v>
      </c>
      <c r="N35" s="45"/>
      <c r="O35" s="11" t="s">
        <v>626</v>
      </c>
      <c r="P35" s="11" t="s">
        <v>808</v>
      </c>
    </row>
    <row r="36" spans="1:46">
      <c r="A36" s="11">
        <v>3</v>
      </c>
      <c r="B36" s="49" t="s">
        <v>37</v>
      </c>
      <c r="C36" s="24" t="s">
        <v>220</v>
      </c>
      <c r="D36" s="56" t="s">
        <v>30</v>
      </c>
      <c r="E36" s="91" t="s">
        <v>469</v>
      </c>
      <c r="F36" s="11" t="s">
        <v>14</v>
      </c>
      <c r="G36" s="43" t="s">
        <v>132</v>
      </c>
      <c r="H36" s="11" t="s">
        <v>137</v>
      </c>
      <c r="I36" s="11" t="s">
        <v>135</v>
      </c>
      <c r="J36" s="56" t="s">
        <v>30</v>
      </c>
      <c r="K36" s="11">
        <v>1</v>
      </c>
      <c r="L36" s="45" t="s">
        <v>800</v>
      </c>
      <c r="M36" s="45" t="s">
        <v>30</v>
      </c>
      <c r="N36" s="45"/>
      <c r="O36" s="11" t="s">
        <v>43</v>
      </c>
      <c r="P36" s="11" t="s">
        <v>154</v>
      </c>
    </row>
    <row r="37" spans="1:46">
      <c r="A37" s="11">
        <v>4</v>
      </c>
      <c r="B37" s="49"/>
      <c r="C37" s="24" t="s">
        <v>221</v>
      </c>
      <c r="D37" s="56" t="s">
        <v>30</v>
      </c>
      <c r="E37" s="91" t="s">
        <v>469</v>
      </c>
      <c r="F37" s="11" t="s">
        <v>14</v>
      </c>
      <c r="G37" s="43" t="s">
        <v>133</v>
      </c>
      <c r="H37" s="11" t="s">
        <v>138</v>
      </c>
      <c r="I37" s="11" t="s">
        <v>140</v>
      </c>
      <c r="J37" s="56" t="s">
        <v>30</v>
      </c>
      <c r="K37" s="11"/>
      <c r="L37" s="45" t="s">
        <v>800</v>
      </c>
      <c r="M37" s="45" t="s">
        <v>30</v>
      </c>
      <c r="N37" s="45"/>
      <c r="O37" s="11" t="s">
        <v>43</v>
      </c>
      <c r="P37" s="11" t="s">
        <v>154</v>
      </c>
    </row>
    <row r="38" spans="1:46">
      <c r="A38" s="11">
        <v>5</v>
      </c>
      <c r="B38" s="49"/>
      <c r="C38" s="24" t="s">
        <v>222</v>
      </c>
      <c r="D38" s="56" t="s">
        <v>30</v>
      </c>
      <c r="E38" s="91" t="s">
        <v>469</v>
      </c>
      <c r="F38" s="11" t="s">
        <v>14</v>
      </c>
      <c r="G38" s="43" t="s">
        <v>134</v>
      </c>
      <c r="H38" s="11" t="s">
        <v>139</v>
      </c>
      <c r="I38" s="11" t="s">
        <v>141</v>
      </c>
      <c r="J38" s="56" t="s">
        <v>30</v>
      </c>
      <c r="K38" s="11"/>
      <c r="L38" s="45" t="s">
        <v>800</v>
      </c>
      <c r="M38" s="45" t="s">
        <v>30</v>
      </c>
      <c r="N38" s="45"/>
      <c r="O38" s="11" t="s">
        <v>43</v>
      </c>
      <c r="P38" s="11" t="s">
        <v>154</v>
      </c>
    </row>
    <row r="39" spans="1:46">
      <c r="A39" s="25"/>
      <c r="B39" s="4"/>
      <c r="C39" s="2"/>
      <c r="E39" s="109"/>
      <c r="G39" s="142"/>
      <c r="M39" s="7"/>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row>
    <row r="40" spans="1:46">
      <c r="A40" s="176" t="s">
        <v>7</v>
      </c>
      <c r="B40" s="176"/>
      <c r="C40" s="52" t="s">
        <v>698</v>
      </c>
      <c r="D40" s="26" t="s">
        <v>1</v>
      </c>
      <c r="E40" s="27" t="s">
        <v>14</v>
      </c>
      <c r="F40" s="26"/>
      <c r="G40" s="26"/>
      <c r="H40" s="26"/>
      <c r="I40" s="26"/>
      <c r="J40" s="26"/>
      <c r="K40" s="26"/>
      <c r="L40" s="26"/>
      <c r="M40" s="44"/>
      <c r="N40" s="44"/>
      <c r="O40" s="44"/>
      <c r="P40" s="44"/>
    </row>
    <row r="41" spans="1:46">
      <c r="A41" s="176" t="s">
        <v>8</v>
      </c>
      <c r="B41" s="176"/>
      <c r="C41" s="89" t="str">
        <f>E43</f>
        <v>TBD</v>
      </c>
      <c r="D41" s="26" t="s">
        <v>9</v>
      </c>
      <c r="E41" s="27" t="s">
        <v>14</v>
      </c>
      <c r="F41" s="26" t="s">
        <v>10</v>
      </c>
      <c r="G41" s="13" t="str">
        <f>G43</f>
        <v>8TB E1.S SSD Assy</v>
      </c>
      <c r="H41" s="26"/>
      <c r="I41" s="26"/>
      <c r="J41" s="26"/>
      <c r="K41" s="26"/>
      <c r="L41" s="41"/>
      <c r="M41" s="44"/>
      <c r="N41" s="44"/>
      <c r="O41" s="44"/>
      <c r="P41" s="44"/>
    </row>
    <row r="42" spans="1:46" ht="29">
      <c r="A42" s="28" t="s">
        <v>2</v>
      </c>
      <c r="B42" s="28" t="s">
        <v>3</v>
      </c>
      <c r="C42" s="28" t="s">
        <v>11</v>
      </c>
      <c r="D42" s="28" t="s">
        <v>12</v>
      </c>
      <c r="E42" s="28" t="s">
        <v>35</v>
      </c>
      <c r="F42" s="28" t="s">
        <v>13</v>
      </c>
      <c r="G42" s="28" t="s">
        <v>18</v>
      </c>
      <c r="H42" s="28" t="s">
        <v>31</v>
      </c>
      <c r="I42" s="28" t="s">
        <v>19</v>
      </c>
      <c r="J42" s="28" t="s">
        <v>4</v>
      </c>
      <c r="K42" s="28" t="s">
        <v>22</v>
      </c>
      <c r="L42" s="28" t="s">
        <v>798</v>
      </c>
      <c r="M42" s="28" t="s">
        <v>799</v>
      </c>
      <c r="N42" s="28" t="s">
        <v>15</v>
      </c>
      <c r="O42" s="28" t="s">
        <v>49</v>
      </c>
      <c r="P42" s="28" t="s">
        <v>801</v>
      </c>
    </row>
    <row r="43" spans="1:46">
      <c r="A43" s="11">
        <v>1</v>
      </c>
      <c r="B43" s="49" t="s">
        <v>36</v>
      </c>
      <c r="C43" s="52" t="s">
        <v>698</v>
      </c>
      <c r="D43" s="11" t="s">
        <v>17</v>
      </c>
      <c r="E43" s="11" t="s">
        <v>34</v>
      </c>
      <c r="F43" s="11" t="s">
        <v>14</v>
      </c>
      <c r="G43" s="13" t="s">
        <v>627</v>
      </c>
      <c r="H43" s="11" t="s">
        <v>20</v>
      </c>
      <c r="I43" s="52" t="s">
        <v>698</v>
      </c>
      <c r="J43" s="11" t="s">
        <v>14</v>
      </c>
      <c r="K43" s="11">
        <v>1</v>
      </c>
      <c r="L43" s="45" t="s">
        <v>800</v>
      </c>
      <c r="M43" s="45" t="s">
        <v>30</v>
      </c>
      <c r="N43" s="45"/>
      <c r="O43" s="11" t="s">
        <v>14</v>
      </c>
      <c r="P43" s="11" t="s">
        <v>808</v>
      </c>
    </row>
    <row r="44" spans="1:46">
      <c r="A44" s="11">
        <v>2</v>
      </c>
      <c r="B44" s="58" t="s">
        <v>29</v>
      </c>
      <c r="C44" s="24" t="s">
        <v>414</v>
      </c>
      <c r="D44" s="11" t="s">
        <v>14</v>
      </c>
      <c r="E44" s="11" t="s">
        <v>649</v>
      </c>
      <c r="F44" s="11" t="s">
        <v>14</v>
      </c>
      <c r="G44" s="43" t="s">
        <v>628</v>
      </c>
      <c r="H44" s="52" t="s">
        <v>418</v>
      </c>
      <c r="I44" s="24" t="s">
        <v>414</v>
      </c>
      <c r="J44" s="11" t="s">
        <v>14</v>
      </c>
      <c r="K44" s="11">
        <v>1</v>
      </c>
      <c r="L44" s="45" t="s">
        <v>800</v>
      </c>
      <c r="M44" s="45" t="s">
        <v>30</v>
      </c>
      <c r="N44" s="45"/>
      <c r="O44" s="11" t="s">
        <v>626</v>
      </c>
      <c r="P44" s="11" t="s">
        <v>808</v>
      </c>
    </row>
    <row r="45" spans="1:46">
      <c r="A45" s="11">
        <v>3</v>
      </c>
      <c r="B45" s="49" t="s">
        <v>37</v>
      </c>
      <c r="C45" s="24" t="s">
        <v>223</v>
      </c>
      <c r="D45" s="56" t="s">
        <v>30</v>
      </c>
      <c r="E45" s="91" t="s">
        <v>470</v>
      </c>
      <c r="F45" s="11" t="s">
        <v>14</v>
      </c>
      <c r="G45" s="13" t="s">
        <v>188</v>
      </c>
      <c r="H45" s="11" t="s">
        <v>136</v>
      </c>
      <c r="I45" s="11" t="s">
        <v>143</v>
      </c>
      <c r="J45" s="56" t="s">
        <v>30</v>
      </c>
      <c r="K45" s="50">
        <v>1</v>
      </c>
      <c r="L45" s="45" t="s">
        <v>800</v>
      </c>
      <c r="M45" s="45" t="s">
        <v>30</v>
      </c>
      <c r="N45" s="45"/>
      <c r="O45" s="11" t="s">
        <v>43</v>
      </c>
      <c r="P45" s="11" t="s">
        <v>154</v>
      </c>
    </row>
    <row r="46" spans="1:46">
      <c r="A46" s="11">
        <v>4</v>
      </c>
      <c r="B46" s="49"/>
      <c r="C46" s="24" t="s">
        <v>224</v>
      </c>
      <c r="D46" s="56" t="s">
        <v>30</v>
      </c>
      <c r="E46" s="91" t="s">
        <v>471</v>
      </c>
      <c r="F46" s="11" t="s">
        <v>14</v>
      </c>
      <c r="G46" s="13" t="s">
        <v>188</v>
      </c>
      <c r="H46" s="11" t="s">
        <v>142</v>
      </c>
      <c r="I46" s="11" t="s">
        <v>144</v>
      </c>
      <c r="J46" s="56" t="s">
        <v>30</v>
      </c>
      <c r="K46" s="50"/>
      <c r="L46" s="45" t="s">
        <v>800</v>
      </c>
      <c r="M46" s="45" t="s">
        <v>30</v>
      </c>
      <c r="N46" s="45"/>
      <c r="O46" s="11" t="s">
        <v>43</v>
      </c>
      <c r="P46" s="11" t="s">
        <v>154</v>
      </c>
    </row>
    <row r="47" spans="1:46">
      <c r="A47" s="11">
        <v>5</v>
      </c>
      <c r="B47" s="49"/>
      <c r="C47" s="24" t="s">
        <v>225</v>
      </c>
      <c r="D47" s="56" t="s">
        <v>30</v>
      </c>
      <c r="E47" s="91" t="s">
        <v>468</v>
      </c>
      <c r="F47" s="11" t="s">
        <v>14</v>
      </c>
      <c r="G47" s="13" t="s">
        <v>188</v>
      </c>
      <c r="H47" s="11" t="s">
        <v>138</v>
      </c>
      <c r="I47" s="11" t="s">
        <v>145</v>
      </c>
      <c r="J47" s="56" t="s">
        <v>30</v>
      </c>
      <c r="K47" s="50"/>
      <c r="L47" s="45" t="s">
        <v>800</v>
      </c>
      <c r="M47" s="45" t="s">
        <v>30</v>
      </c>
      <c r="N47" s="45"/>
      <c r="O47" s="11" t="s">
        <v>43</v>
      </c>
      <c r="P47" s="11" t="s">
        <v>154</v>
      </c>
    </row>
    <row r="48" spans="1:46">
      <c r="A48" s="25"/>
      <c r="B48" s="113"/>
      <c r="C48" s="106"/>
      <c r="D48" s="114"/>
      <c r="E48" s="111"/>
      <c r="F48" s="25"/>
      <c r="G48" s="107"/>
      <c r="H48" s="25"/>
      <c r="I48" s="25"/>
      <c r="J48" s="114"/>
      <c r="K48" s="117"/>
      <c r="L48" s="25"/>
      <c r="M48" s="118"/>
    </row>
    <row r="49" spans="1:12">
      <c r="A49" s="25"/>
      <c r="B49" s="113"/>
      <c r="C49" s="106"/>
      <c r="D49" s="114"/>
      <c r="E49" s="111"/>
      <c r="F49" s="25"/>
      <c r="G49" s="115"/>
      <c r="H49" s="25"/>
      <c r="I49" s="25"/>
      <c r="J49" s="114"/>
      <c r="K49" s="25"/>
      <c r="L49" s="25"/>
    </row>
    <row r="50" spans="1:12">
      <c r="A50" s="25"/>
      <c r="B50" s="113"/>
      <c r="C50" s="106"/>
      <c r="D50" s="114"/>
      <c r="E50" s="111"/>
      <c r="F50" s="25"/>
      <c r="G50" s="115"/>
      <c r="H50" s="25"/>
      <c r="I50" s="25"/>
      <c r="J50" s="114"/>
      <c r="K50" s="25"/>
      <c r="L50" s="25"/>
    </row>
    <row r="51" spans="1:12">
      <c r="A51" s="17"/>
      <c r="B51" s="1" t="s">
        <v>15</v>
      </c>
      <c r="C51" s="10" t="s">
        <v>16</v>
      </c>
      <c r="D51" s="18"/>
      <c r="E51" s="17"/>
      <c r="F51" s="17"/>
      <c r="G51" s="4"/>
      <c r="H51" s="17"/>
      <c r="I51" s="17"/>
      <c r="J51" s="17"/>
      <c r="L51" s="17"/>
    </row>
    <row r="52" spans="1:12">
      <c r="A52" s="17"/>
      <c r="B52" s="17"/>
      <c r="C52" s="15" t="s">
        <v>5</v>
      </c>
      <c r="D52" s="17"/>
      <c r="E52" s="17"/>
      <c r="F52" s="17"/>
      <c r="G52" s="16"/>
      <c r="H52" s="17"/>
      <c r="I52" s="17"/>
      <c r="J52" s="17"/>
      <c r="L52" s="17"/>
    </row>
    <row r="53" spans="1:12">
      <c r="A53" s="17"/>
      <c r="B53" s="17"/>
      <c r="C53" s="19" t="s">
        <v>6</v>
      </c>
      <c r="D53" s="17"/>
      <c r="E53" s="17"/>
      <c r="F53" s="17"/>
      <c r="G53" s="16"/>
      <c r="H53" s="17"/>
      <c r="I53" s="17"/>
      <c r="J53" s="17"/>
      <c r="L53" s="17"/>
    </row>
    <row r="54" spans="1:12">
      <c r="C54" s="20" t="s">
        <v>52</v>
      </c>
      <c r="G54" s="18"/>
    </row>
    <row r="55" spans="1:12" ht="46.5">
      <c r="C55" s="29" t="s">
        <v>53</v>
      </c>
    </row>
    <row r="56" spans="1:12">
      <c r="K56" s="7"/>
    </row>
    <row r="57" spans="1:12">
      <c r="G57" s="22"/>
    </row>
  </sheetData>
  <autoFilter ref="A5:P5" xr:uid="{CA53CD4A-B47D-400A-901C-DE911906EE91}"/>
  <mergeCells count="10">
    <mergeCell ref="A23:B23"/>
    <mergeCell ref="A41:B41"/>
    <mergeCell ref="A31:B31"/>
    <mergeCell ref="A32:B32"/>
    <mergeCell ref="A40:B40"/>
    <mergeCell ref="A2:M2"/>
    <mergeCell ref="A3:B3"/>
    <mergeCell ref="A4:B4"/>
    <mergeCell ref="A1:M1"/>
    <mergeCell ref="A22:B22"/>
  </mergeCells>
  <phoneticPr fontId="10" type="noConversion"/>
  <conditionalFormatting sqref="A8:A20">
    <cfRule type="containsText" dxfId="35" priority="190" operator="containsText" text="TBD">
      <formula>NOT(ISERROR(SEARCH("TBD",A8)))</formula>
    </cfRule>
  </conditionalFormatting>
  <conditionalFormatting sqref="A36:A39">
    <cfRule type="containsText" dxfId="34" priority="81" operator="containsText" text="TBD">
      <formula>NOT(ISERROR(SEARCH("TBD",A36)))</formula>
    </cfRule>
  </conditionalFormatting>
  <conditionalFormatting sqref="A45:A48">
    <cfRule type="containsText" dxfId="33" priority="66" operator="containsText" text="TBD">
      <formula>NOT(ISERROR(SEARCH("TBD",A45)))</formula>
    </cfRule>
  </conditionalFormatting>
  <conditionalFormatting sqref="A27:B29">
    <cfRule type="containsText" dxfId="32" priority="91" operator="containsText" text="TBD">
      <formula>NOT(ISERROR(SEARCH("TBD",A27)))</formula>
    </cfRule>
  </conditionalFormatting>
  <conditionalFormatting sqref="A3:K7">
    <cfRule type="containsText" dxfId="31" priority="196" operator="containsText" text="TBD">
      <formula>NOT(ISERROR(SEARCH("TBD",A3)))</formula>
    </cfRule>
  </conditionalFormatting>
  <conditionalFormatting sqref="A22:K26">
    <cfRule type="containsText" dxfId="30" priority="46" operator="containsText" text="TBD">
      <formula>NOT(ISERROR(SEARCH("TBD",A22)))</formula>
    </cfRule>
  </conditionalFormatting>
  <conditionalFormatting sqref="A31:K35">
    <cfRule type="containsText" dxfId="29" priority="57" operator="containsText" text="TBD">
      <formula>NOT(ISERROR(SEARCH("TBD",A31)))</formula>
    </cfRule>
  </conditionalFormatting>
  <conditionalFormatting sqref="A40:K44">
    <cfRule type="containsText" dxfId="28" priority="56" operator="containsText" text="TBD">
      <formula>NOT(ISERROR(SEARCH("TBD",A40)))</formula>
    </cfRule>
  </conditionalFormatting>
  <conditionalFormatting sqref="A1:XFD2">
    <cfRule type="containsText" dxfId="27" priority="197" operator="containsText" text="TBD">
      <formula>NOT(ISERROR(SEARCH("TBD",A1)))</formula>
    </cfRule>
  </conditionalFormatting>
  <conditionalFormatting sqref="A30:XFD30">
    <cfRule type="containsText" dxfId="26" priority="110" operator="containsText" text="TBD">
      <formula>NOT(ISERROR(SEARCH("TBD",A30)))</formula>
    </cfRule>
  </conditionalFormatting>
  <conditionalFormatting sqref="A49:XFD1048576">
    <cfRule type="containsText" dxfId="25" priority="62" operator="containsText" text="TBD">
      <formula>NOT(ISERROR(SEARCH("TBD",A49)))</formula>
    </cfRule>
  </conditionalFormatting>
  <conditionalFormatting sqref="B10 D10">
    <cfRule type="containsText" dxfId="24" priority="170" operator="containsText" text="TBD">
      <formula>NOT(ISERROR(SEARCH("TBD",B10)))</formula>
    </cfRule>
  </conditionalFormatting>
  <conditionalFormatting sqref="B18:B20 D18:D20">
    <cfRule type="containsText" dxfId="23" priority="143" operator="containsText" text="TBD">
      <formula>NOT(ISERROR(SEARCH("TBD",B18)))</formula>
    </cfRule>
  </conditionalFormatting>
  <conditionalFormatting sqref="B39 J39:L39">
    <cfRule type="containsText" dxfId="22" priority="117" operator="containsText" text="TBD">
      <formula>NOT(ISERROR(SEARCH("TBD",B39)))</formula>
    </cfRule>
  </conditionalFormatting>
  <conditionalFormatting sqref="B8:D9">
    <cfRule type="containsText" dxfId="21" priority="185" operator="containsText" text="TBD">
      <formula>NOT(ISERROR(SEARCH("TBD",B8)))</formula>
    </cfRule>
  </conditionalFormatting>
  <conditionalFormatting sqref="C7:C11">
    <cfRule type="containsText" dxfId="20" priority="169" operator="containsText" text="TBD">
      <formula>NOT(ISERROR(SEARCH("TBD",C7)))</formula>
    </cfRule>
  </conditionalFormatting>
  <conditionalFormatting sqref="C20">
    <cfRule type="containsText" dxfId="19" priority="141" operator="containsText" text="TBD">
      <formula>NOT(ISERROR(SEARCH("TBD",C20)))</formula>
    </cfRule>
  </conditionalFormatting>
  <conditionalFormatting sqref="C51:C54">
    <cfRule type="containsText" dxfId="18" priority="230" operator="containsText" text="TBD">
      <formula>NOT(ISERROR(SEARCH("TBD",C51)))</formula>
    </cfRule>
  </conditionalFormatting>
  <conditionalFormatting sqref="D12:F15 B12:B16 D16 B17:D17">
    <cfRule type="containsText" dxfId="17" priority="156" operator="containsText" text="TBD">
      <formula>NOT(ISERROR(SEARCH("TBD",B12)))</formula>
    </cfRule>
  </conditionalFormatting>
  <conditionalFormatting sqref="D27:H29">
    <cfRule type="containsText" dxfId="16" priority="88" operator="containsText" text="TBD">
      <formula>NOT(ISERROR(SEARCH("TBD",D27)))</formula>
    </cfRule>
  </conditionalFormatting>
  <conditionalFormatting sqref="D39:H39">
    <cfRule type="containsText" dxfId="15" priority="116" operator="containsText" text="TBD">
      <formula>NOT(ISERROR(SEARCH("TBD",D39)))</formula>
    </cfRule>
  </conditionalFormatting>
  <conditionalFormatting sqref="E8:E11">
    <cfRule type="containsText" dxfId="14" priority="157" operator="containsText" text="TBD">
      <formula>NOT(ISERROR(SEARCH("TBD",E8)))</formula>
    </cfRule>
  </conditionalFormatting>
  <conditionalFormatting sqref="E16:F20">
    <cfRule type="containsText" dxfId="13" priority="139" operator="containsText" text="TBD">
      <formula>NOT(ISERROR(SEARCH("TBD",E16)))</formula>
    </cfRule>
  </conditionalFormatting>
  <conditionalFormatting sqref="G12:H20">
    <cfRule type="containsText" dxfId="12" priority="142" operator="containsText" text="TBD">
      <formula>NOT(ISERROR(SEARCH("TBD",G12)))</formula>
    </cfRule>
  </conditionalFormatting>
  <conditionalFormatting sqref="I17">
    <cfRule type="containsText" dxfId="11" priority="151" operator="containsText" text="TBD">
      <formula>NOT(ISERROR(SEARCH("TBD",I17)))</formula>
    </cfRule>
  </conditionalFormatting>
  <conditionalFormatting sqref="I20">
    <cfRule type="containsText" dxfId="10" priority="140" operator="containsText" text="TBD">
      <formula>NOT(ISERROR(SEARCH("TBD",I20)))</formula>
    </cfRule>
  </conditionalFormatting>
  <conditionalFormatting sqref="L5:O5">
    <cfRule type="containsText" dxfId="9" priority="42" operator="containsText" text="TBD">
      <formula>NOT(ISERROR(SEARCH("TBD",L5)))</formula>
    </cfRule>
  </conditionalFormatting>
  <conditionalFormatting sqref="L3:P4">
    <cfRule type="containsText" dxfId="8" priority="44" operator="containsText" text="TBD">
      <formula>NOT(ISERROR(SEARCH("TBD",L3)))</formula>
    </cfRule>
  </conditionalFormatting>
  <conditionalFormatting sqref="L22:P29">
    <cfRule type="containsText" dxfId="7" priority="5" operator="containsText" text="TBD">
      <formula>NOT(ISERROR(SEARCH("TBD",L22)))</formula>
    </cfRule>
  </conditionalFormatting>
  <conditionalFormatting sqref="L31:XFD38">
    <cfRule type="containsText" dxfId="6" priority="2" operator="containsText" text="TBD">
      <formula>NOT(ISERROR(SEARCH("TBD",L31)))</formula>
    </cfRule>
  </conditionalFormatting>
  <conditionalFormatting sqref="L40:XFD47">
    <cfRule type="containsText" dxfId="5" priority="1" operator="containsText" text="TBD">
      <formula>NOT(ISERROR(SEARCH("TBD",L40)))</formula>
    </cfRule>
  </conditionalFormatting>
  <conditionalFormatting sqref="N7:N20">
    <cfRule type="containsText" dxfId="4" priority="187" operator="containsText" text="TBD">
      <formula>NOT(ISERROR(SEARCH("TBD",N7)))</formula>
    </cfRule>
  </conditionalFormatting>
  <conditionalFormatting sqref="P5:P20">
    <cfRule type="containsText" dxfId="3" priority="6" operator="containsText" text="TBD">
      <formula>NOT(ISERROR(SEARCH("TBD",P5)))</formula>
    </cfRule>
  </conditionalFormatting>
  <conditionalFormatting sqref="Q3:XFD11 M6:O6 L6:M20 O6:O20 N7:O7 F8:K10 B11:K11 J12:K20 A21:XFD21 Q22:XFD26 J27:K29 B36:K38 B45:K47 B48:XFD48">
    <cfRule type="containsText" dxfId="2" priority="231" operator="containsText" text="TBD">
      <formula>NOT(ISERROR(SEARCH("TBD",A3)))</formula>
    </cfRule>
  </conditionalFormatting>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2"/>
  <sheetViews>
    <sheetView zoomScaleNormal="100" workbookViewId="0">
      <selection activeCell="C14" sqref="C14:C17"/>
    </sheetView>
  </sheetViews>
  <sheetFormatPr defaultColWidth="8.7265625" defaultRowHeight="14.5"/>
  <cols>
    <col min="1" max="1" width="8.7265625" style="31"/>
    <col min="2" max="2" width="18.6328125" style="31" bestFit="1" customWidth="1"/>
    <col min="3" max="3" width="55.36328125" style="31" bestFit="1" customWidth="1"/>
    <col min="4" max="4" width="18.08984375" style="31" bestFit="1" customWidth="1"/>
    <col min="5" max="16384" width="8.7265625" style="31"/>
  </cols>
  <sheetData>
    <row r="1" spans="1:6">
      <c r="A1" s="33"/>
      <c r="B1" s="33" t="s">
        <v>69</v>
      </c>
      <c r="C1" s="34" t="s">
        <v>60</v>
      </c>
      <c r="D1" s="33" t="s">
        <v>70</v>
      </c>
      <c r="E1" s="33" t="s">
        <v>71</v>
      </c>
      <c r="F1" s="33" t="s">
        <v>72</v>
      </c>
    </row>
    <row r="2" spans="1:6" s="32" customFormat="1">
      <c r="A2" s="186" t="s">
        <v>73</v>
      </c>
      <c r="B2" s="35" t="s">
        <v>74</v>
      </c>
      <c r="C2" s="35" t="s">
        <v>75</v>
      </c>
      <c r="D2" s="35" t="s">
        <v>76</v>
      </c>
      <c r="E2" s="188">
        <v>1</v>
      </c>
      <c r="F2" s="189">
        <v>0.35</v>
      </c>
    </row>
    <row r="3" spans="1:6" s="32" customFormat="1">
      <c r="A3" s="186"/>
      <c r="B3" s="35" t="s">
        <v>77</v>
      </c>
      <c r="C3" s="35" t="s">
        <v>78</v>
      </c>
      <c r="D3" s="35" t="s">
        <v>79</v>
      </c>
      <c r="E3" s="188"/>
      <c r="F3" s="188"/>
    </row>
    <row r="4" spans="1:6" s="32" customFormat="1">
      <c r="A4" s="186"/>
      <c r="B4" s="35" t="s">
        <v>80</v>
      </c>
      <c r="C4" s="35" t="s">
        <v>81</v>
      </c>
      <c r="D4" s="35" t="s">
        <v>82</v>
      </c>
      <c r="E4" s="188"/>
      <c r="F4" s="188"/>
    </row>
    <row r="5" spans="1:6" s="32" customFormat="1">
      <c r="A5" s="186"/>
      <c r="B5" s="35" t="s">
        <v>83</v>
      </c>
      <c r="C5" s="35" t="s">
        <v>84</v>
      </c>
      <c r="D5" s="35" t="s">
        <v>85</v>
      </c>
      <c r="E5" s="188"/>
      <c r="F5" s="188"/>
    </row>
    <row r="6" spans="1:6" s="38" customFormat="1">
      <c r="A6" s="186"/>
      <c r="B6" s="37" t="s">
        <v>86</v>
      </c>
      <c r="C6" s="37" t="s">
        <v>87</v>
      </c>
      <c r="D6" s="37" t="s">
        <v>88</v>
      </c>
      <c r="E6" s="190">
        <v>2</v>
      </c>
      <c r="F6" s="191">
        <v>0.35</v>
      </c>
    </row>
    <row r="7" spans="1:6" s="38" customFormat="1">
      <c r="A7" s="186"/>
      <c r="B7" s="37" t="s">
        <v>89</v>
      </c>
      <c r="C7" s="37" t="s">
        <v>90</v>
      </c>
      <c r="D7" s="37" t="s">
        <v>91</v>
      </c>
      <c r="E7" s="190">
        <v>2</v>
      </c>
      <c r="F7" s="190"/>
    </row>
    <row r="8" spans="1:6" s="38" customFormat="1">
      <c r="A8" s="186"/>
      <c r="B8" s="37" t="s">
        <v>92</v>
      </c>
      <c r="C8" s="37" t="s">
        <v>93</v>
      </c>
      <c r="D8" s="37" t="s">
        <v>94</v>
      </c>
      <c r="E8" s="190">
        <v>2</v>
      </c>
      <c r="F8" s="190"/>
    </row>
    <row r="9" spans="1:6" s="38" customFormat="1">
      <c r="A9" s="186"/>
      <c r="B9" s="37" t="s">
        <v>95</v>
      </c>
      <c r="C9" s="37" t="s">
        <v>96</v>
      </c>
      <c r="D9" s="37" t="s">
        <v>97</v>
      </c>
      <c r="E9" s="190">
        <v>2</v>
      </c>
      <c r="F9" s="190"/>
    </row>
    <row r="10" spans="1:6" s="32" customFormat="1">
      <c r="A10" s="186"/>
      <c r="B10" s="35" t="s">
        <v>98</v>
      </c>
      <c r="C10" s="35" t="s">
        <v>99</v>
      </c>
      <c r="D10" s="35" t="s">
        <v>100</v>
      </c>
      <c r="E10" s="188">
        <v>3</v>
      </c>
      <c r="F10" s="189">
        <v>0.15</v>
      </c>
    </row>
    <row r="11" spans="1:6" s="32" customFormat="1">
      <c r="A11" s="186"/>
      <c r="B11" s="35" t="s">
        <v>101</v>
      </c>
      <c r="C11" s="35" t="s">
        <v>102</v>
      </c>
      <c r="D11" s="35" t="s">
        <v>103</v>
      </c>
      <c r="E11" s="188"/>
      <c r="F11" s="188"/>
    </row>
    <row r="12" spans="1:6" s="32" customFormat="1">
      <c r="A12" s="186"/>
      <c r="B12" s="35" t="s">
        <v>80</v>
      </c>
      <c r="C12" s="35" t="s">
        <v>81</v>
      </c>
      <c r="D12" s="35" t="s">
        <v>82</v>
      </c>
      <c r="E12" s="188"/>
      <c r="F12" s="188"/>
    </row>
    <row r="13" spans="1:6" s="32" customFormat="1">
      <c r="A13" s="186"/>
      <c r="B13" s="35" t="s">
        <v>83</v>
      </c>
      <c r="C13" s="35" t="s">
        <v>84</v>
      </c>
      <c r="D13" s="35" t="s">
        <v>85</v>
      </c>
      <c r="E13" s="188"/>
      <c r="F13" s="188"/>
    </row>
    <row r="14" spans="1:6">
      <c r="A14" s="186"/>
      <c r="B14" s="33" t="s">
        <v>104</v>
      </c>
      <c r="C14" s="33" t="s">
        <v>105</v>
      </c>
      <c r="D14" s="33" t="s">
        <v>106</v>
      </c>
      <c r="E14" s="186">
        <v>4</v>
      </c>
      <c r="F14" s="192">
        <v>0.15</v>
      </c>
    </row>
    <row r="15" spans="1:6">
      <c r="A15" s="186"/>
      <c r="B15" s="33" t="s">
        <v>107</v>
      </c>
      <c r="C15" s="33" t="s">
        <v>108</v>
      </c>
      <c r="D15" s="33" t="s">
        <v>109</v>
      </c>
      <c r="E15" s="186"/>
      <c r="F15" s="186"/>
    </row>
    <row r="16" spans="1:6">
      <c r="A16" s="186"/>
      <c r="B16" s="36" t="s">
        <v>110</v>
      </c>
      <c r="C16" s="36" t="s">
        <v>93</v>
      </c>
      <c r="D16" s="36" t="s">
        <v>94</v>
      </c>
      <c r="E16" s="186"/>
      <c r="F16" s="186"/>
    </row>
    <row r="17" spans="1:6">
      <c r="A17" s="186"/>
      <c r="B17" s="36" t="s">
        <v>95</v>
      </c>
      <c r="C17" s="36" t="s">
        <v>96</v>
      </c>
      <c r="D17" s="36" t="s">
        <v>97</v>
      </c>
      <c r="E17" s="186"/>
      <c r="F17" s="186"/>
    </row>
    <row r="18" spans="1:6">
      <c r="A18" s="186" t="s">
        <v>111</v>
      </c>
      <c r="B18" s="33" t="s">
        <v>61</v>
      </c>
      <c r="C18" s="33" t="s">
        <v>112</v>
      </c>
      <c r="D18" s="33" t="s">
        <v>65</v>
      </c>
      <c r="E18" s="33"/>
      <c r="F18" s="33"/>
    </row>
    <row r="19" spans="1:6">
      <c r="A19" s="186"/>
      <c r="B19" s="33" t="s">
        <v>62</v>
      </c>
      <c r="C19" s="33" t="s">
        <v>113</v>
      </c>
      <c r="D19" s="33" t="s">
        <v>66</v>
      </c>
      <c r="E19" s="33"/>
      <c r="F19" s="33"/>
    </row>
    <row r="20" spans="1:6">
      <c r="A20" s="186"/>
      <c r="B20" s="33" t="s">
        <v>63</v>
      </c>
      <c r="C20" s="33" t="s">
        <v>114</v>
      </c>
      <c r="D20" s="33" t="s">
        <v>67</v>
      </c>
      <c r="E20" s="33"/>
      <c r="F20" s="33"/>
    </row>
    <row r="21" spans="1:6">
      <c r="A21" s="186"/>
      <c r="B21" s="33" t="s">
        <v>64</v>
      </c>
      <c r="C21" s="33" t="s">
        <v>115</v>
      </c>
      <c r="D21" s="33" t="s">
        <v>68</v>
      </c>
      <c r="E21" s="33"/>
      <c r="F21" s="33"/>
    </row>
    <row r="22" spans="1:6">
      <c r="A22" s="187" t="s">
        <v>116</v>
      </c>
      <c r="B22" s="186"/>
      <c r="C22" s="186"/>
      <c r="D22" s="186"/>
      <c r="E22" s="33"/>
      <c r="F22" s="33"/>
    </row>
  </sheetData>
  <mergeCells count="11">
    <mergeCell ref="A18:A21"/>
    <mergeCell ref="A22:D22"/>
    <mergeCell ref="A2:A17"/>
    <mergeCell ref="E2:E5"/>
    <mergeCell ref="F2:F5"/>
    <mergeCell ref="E6:E9"/>
    <mergeCell ref="F6:F9"/>
    <mergeCell ref="E10:E13"/>
    <mergeCell ref="F10:F13"/>
    <mergeCell ref="E14:E17"/>
    <mergeCell ref="F14:F17"/>
  </mergeCells>
  <phoneticPr fontId="18" type="noConversion"/>
  <pageMargins left="0.7" right="0.7" top="0.75" bottom="0.75" header="0.3" footer="0.3"/>
  <pageSetup paperSize="9" orientation="portrait" horizontalDpi="1200" verticalDpi="1200" r:id="rId1"/>
  <drawing r:id="rId2"/>
</worksheet>
</file>

<file path=docMetadata/LabelInfo.xml><?xml version="1.0" encoding="utf-8"?>
<clbl:labelList xmlns:clbl="http://schemas.microsoft.com/office/2020/mipLabelMetadata">
  <clbl:label id="{44ccf059-af5d-4b92-932d-3690a1231c55}" enabled="1" method="Standard" siteId="{cb3d8dcd-2ed2-4bad-89a5-e0a7195fb64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19</vt:i4>
      </vt:variant>
    </vt:vector>
  </HeadingPairs>
  <TitlesOfParts>
    <vt:vector size="19" baseType="lpstr">
      <vt:lpstr>Change History</vt:lpstr>
      <vt:lpstr>PN, FBPN Table</vt:lpstr>
      <vt:lpstr>MGX_S</vt:lpstr>
      <vt:lpstr>MGX_M</vt:lpstr>
      <vt:lpstr>MGX_W</vt:lpstr>
      <vt:lpstr>MGX_S_NA</vt:lpstr>
      <vt:lpstr>MGX_M_NA</vt:lpstr>
      <vt:lpstr>MGX_W_NA</vt:lpstr>
      <vt:lpstr>MGX_S_NG</vt:lpstr>
      <vt:lpstr>Sun_S</vt:lpstr>
      <vt:lpstr>Sun_M</vt:lpstr>
      <vt:lpstr>Sun_W</vt:lpstr>
      <vt:lpstr>Sun_S_NA</vt:lpstr>
      <vt:lpstr>Sun_M_NA</vt:lpstr>
      <vt:lpstr>Sun_W_NA</vt:lpstr>
      <vt:lpstr>L Thermal Matrix</vt:lpstr>
      <vt:lpstr>TIM Packs</vt:lpstr>
      <vt:lpstr>FRU</vt:lpstr>
      <vt:lpstr>Meta GB200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2025-03-20T06:30:50Z</dcterms:modified>
</cp:coreProperties>
</file>