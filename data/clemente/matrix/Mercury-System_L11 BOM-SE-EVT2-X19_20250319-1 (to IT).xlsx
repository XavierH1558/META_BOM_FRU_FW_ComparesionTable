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51553E2B-ABA5-42B4-94B7-51AA9072D26E}" xr6:coauthVersionLast="47" xr6:coauthVersionMax="47" xr10:uidLastSave="{00000000-0000-0000-0000-000000000000}"/>
  <bookViews>
    <workbookView xWindow="-110" yWindow="-110" windowWidth="25820" windowHeight="15500" tabRatio="761" xr2:uid="{00000000-000D-0000-FFFF-FFFF00000000}"/>
  </bookViews>
  <sheets>
    <sheet name="ASSY PN List" sheetId="170" r:id="rId1"/>
    <sheet name="Change History" sheetId="96" r:id="rId2"/>
    <sheet name="Server Chassis-MGX" sheetId="169" r:id="rId3"/>
    <sheet name="Server Chassis_Sun-Ref" sheetId="164" r:id="rId4"/>
    <sheet name="Rack n PWR Sub" sheetId="161" r:id="rId5"/>
    <sheet name="Network Sub" sheetId="162" r:id="rId6"/>
    <sheet name="L11 Rack-MGX" sheetId="163" r:id="rId7"/>
    <sheet name="L11 Rack_Sun-Ref" sheetId="165" r:id="rId8"/>
    <sheet name="Network Sub-MR" sheetId="171" r:id="rId9"/>
    <sheet name="L11 Rack-MGX-MR" sheetId="168" r:id="rId10"/>
    <sheet name="RMF Ph-assy" sheetId="166" r:id="rId11"/>
  </sheets>
  <externalReferences>
    <externalReference r:id="rId12"/>
    <externalReference r:id="rId13"/>
    <externalReference r:id="rId14"/>
    <externalReference r:id="rId15"/>
  </externalReferences>
  <definedNames>
    <definedName name="\a">'[1]FA-LISTING'!#REF!</definedName>
    <definedName name="\p">'[1]FA-LISTING'!#REF!</definedName>
    <definedName name="_Fill" hidden="1">#REF!</definedName>
    <definedName name="_xlnm._FilterDatabase" localSheetId="7" hidden="1">'L11 Rack_Sun-Ref'!$A$5:$P$5</definedName>
    <definedName name="_xlnm._FilterDatabase" localSheetId="6" hidden="1">'L11 Rack-MGX'!$A$5:$P$5</definedName>
    <definedName name="_xlnm._FilterDatabase" localSheetId="9" hidden="1">'L11 Rack-MGX-MR'!$A$5:$P$15</definedName>
    <definedName name="_xlnm._FilterDatabase" localSheetId="5" hidden="1">'Network Sub'!$A$5:$P$35</definedName>
    <definedName name="_xlnm._FilterDatabase" localSheetId="8" hidden="1">'Network Sub-MR'!$A$5:$P$31</definedName>
    <definedName name="_xlnm._FilterDatabase" localSheetId="4" hidden="1">'Rack n PWR Sub'!$A$5:$P$21</definedName>
    <definedName name="_xlnm._FilterDatabase" localSheetId="10" hidden="1">'RMF Ph-assy'!$A$3:$P$3</definedName>
    <definedName name="_xlnm._FilterDatabase" localSheetId="3" hidden="1">'Server Chassis_Sun-Ref'!$A$5:$P$5</definedName>
    <definedName name="_xlnm._FilterDatabase" localSheetId="2" hidden="1">'Server Chassis-MGX'!$A$5:$P$12</definedName>
    <definedName name="activecodes">[2]codes!$C$5:$D$38</definedName>
    <definedName name="BLDG">'[1]FA-LISTING'!#REF!</definedName>
    <definedName name="BLDGIMP">'[1]FA-LISTING'!#REF!</definedName>
    <definedName name="BLDGREV">'[1]FA-LISTING'!#REF!</definedName>
    <definedName name="COMP">'[1]FA-LISTING'!#REF!</definedName>
    <definedName name="FF">'[1]FA-LISTING'!#REF!</definedName>
    <definedName name="FORK">'[1]FA-LISTING'!#REF!</definedName>
    <definedName name="FP_GDL">'[3]Freight&amp;Packaging(39)'!$B$44:$AA$83</definedName>
    <definedName name="FP_IIPC">'[3]Freight&amp;Packaging(39)'!$B$85:$AA$124</definedName>
    <definedName name="FP_UK">'[3]Freight&amp;Packaging(39)'!$B$3:$AA$42</definedName>
    <definedName name="GU01_LA">#REF!</definedName>
    <definedName name="ji">'[1]FA-LISTING'!#REF!</definedName>
    <definedName name="LANDIMP">'[1]FA-LISTING'!#REF!</definedName>
    <definedName name="LANDREV">'[1]FA-LISTING'!#REF!</definedName>
    <definedName name="mat_3d">[4]DELL_Schedule!#REF!</definedName>
    <definedName name="mat_66">[4]DELL_Schedule!#REF!</definedName>
    <definedName name="mat_765">[4]DELL_Schedule!#REF!</definedName>
    <definedName name="mat_ark">[4]DELL_Schedule!#REF!</definedName>
    <definedName name="mat_tele">[4]DELL_Schedule!#REF!</definedName>
    <definedName name="mat_virge">[4]DELL_Schedule!#REF!</definedName>
    <definedName name="MV">'[1]FA-LISTING'!#REF!</definedName>
    <definedName name="OE">'[1]FA-LISTING'!#REF!</definedName>
    <definedName name="P">#REF!</definedName>
    <definedName name="P_M">'[1]FA-LISTING'!#REF!</definedName>
    <definedName name="paint">[3]PNsCost!$C$262:$O$332</definedName>
    <definedName name="pncost">[3]PNsCost!$C$3:$O$414</definedName>
    <definedName name="_xlnm.Print_Area">#REF!</definedName>
    <definedName name="Query1___SMTC_MPP_Only">#REF!</definedName>
    <definedName name="_xlnm.Recorder">#N/A</definedName>
    <definedName name="TaxTV">10%</definedName>
    <definedName name="TaxXL">5%</definedName>
    <definedName name="ValidBOMRange">#REF!</definedName>
    <definedName name="楊烈">#REF!</definedName>
    <definedName name="解雄偉">#REF!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69" l="1"/>
  <c r="A23" i="171"/>
  <c r="A27" i="162"/>
  <c r="A28" i="162"/>
  <c r="A20" i="171"/>
  <c r="A16" i="171"/>
  <c r="A12" i="171"/>
  <c r="A16" i="162"/>
  <c r="A17" i="162"/>
  <c r="A18" i="162"/>
  <c r="A19" i="162"/>
  <c r="A20" i="162"/>
  <c r="A21" i="162"/>
  <c r="A22" i="162"/>
  <c r="A23" i="162"/>
  <c r="A24" i="162"/>
  <c r="A25" i="162"/>
  <c r="A26" i="162"/>
  <c r="A29" i="162"/>
  <c r="A30" i="162"/>
  <c r="A31" i="162"/>
  <c r="A32" i="162"/>
  <c r="A17" i="171"/>
  <c r="A18" i="171"/>
  <c r="A19" i="171"/>
  <c r="A21" i="171"/>
  <c r="A22" i="171"/>
  <c r="A13" i="171"/>
  <c r="A9" i="168"/>
  <c r="A10" i="168"/>
  <c r="A11" i="168"/>
  <c r="A12" i="168"/>
  <c r="A13" i="168"/>
  <c r="A14" i="168"/>
  <c r="A15" i="168"/>
  <c r="I9" i="168"/>
  <c r="A31" i="171"/>
  <c r="A30" i="171"/>
  <c r="A29" i="171"/>
  <c r="A28" i="171"/>
  <c r="A27" i="171"/>
  <c r="A26" i="171"/>
  <c r="A25" i="171"/>
  <c r="A24" i="171"/>
  <c r="A15" i="171"/>
  <c r="A14" i="171"/>
  <c r="A11" i="171"/>
  <c r="A10" i="171"/>
  <c r="A9" i="171"/>
  <c r="A8" i="171"/>
  <c r="A7" i="171"/>
  <c r="I6" i="171"/>
  <c r="A6" i="171"/>
  <c r="C4" i="171"/>
  <c r="C3" i="171"/>
  <c r="A7" i="168"/>
  <c r="A5" i="170" l="1"/>
  <c r="I5" i="170"/>
  <c r="A6" i="170"/>
  <c r="I6" i="170"/>
  <c r="A7" i="170"/>
  <c r="I7" i="170"/>
  <c r="A8" i="170"/>
  <c r="I8" i="170"/>
  <c r="A9" i="170"/>
  <c r="I9" i="170"/>
  <c r="A10" i="170"/>
  <c r="I10" i="170"/>
  <c r="A11" i="170"/>
  <c r="I11" i="170"/>
  <c r="A12" i="170"/>
  <c r="I12" i="170"/>
  <c r="I6" i="169"/>
  <c r="I6" i="161"/>
  <c r="I6" i="163"/>
  <c r="I6" i="165"/>
  <c r="I6" i="168"/>
  <c r="C3" i="164"/>
  <c r="I6" i="164"/>
  <c r="C3" i="169"/>
  <c r="C3" i="165"/>
  <c r="C3" i="163"/>
  <c r="C3" i="161"/>
  <c r="A6" i="169"/>
  <c r="A12" i="169"/>
  <c r="A11" i="169"/>
  <c r="A9" i="169"/>
  <c r="A8" i="169"/>
  <c r="A7" i="169"/>
  <c r="C4" i="169"/>
  <c r="A7" i="165"/>
  <c r="A8" i="165"/>
  <c r="A9" i="165"/>
  <c r="A10" i="165"/>
  <c r="A11" i="165"/>
  <c r="A12" i="165"/>
  <c r="A13" i="165"/>
  <c r="A14" i="165"/>
  <c r="A15" i="165"/>
  <c r="A7" i="163"/>
  <c r="A8" i="163"/>
  <c r="A9" i="163"/>
  <c r="A10" i="163"/>
  <c r="A11" i="163"/>
  <c r="A12" i="163"/>
  <c r="A13" i="163"/>
  <c r="A14" i="163"/>
  <c r="A15" i="163"/>
  <c r="A7" i="162"/>
  <c r="A8" i="162"/>
  <c r="A9" i="162"/>
  <c r="A10" i="162"/>
  <c r="A11" i="162"/>
  <c r="A12" i="162"/>
  <c r="A13" i="162"/>
  <c r="A14" i="162"/>
  <c r="A15" i="162"/>
  <c r="A33" i="162"/>
  <c r="A34" i="162"/>
  <c r="A35" i="162"/>
  <c r="C3" i="168" l="1"/>
  <c r="A8" i="168"/>
  <c r="A6" i="168"/>
  <c r="C4" i="168"/>
  <c r="A8" i="161" l="1"/>
  <c r="A9" i="161"/>
  <c r="A10" i="161"/>
  <c r="A11" i="161"/>
  <c r="A12" i="161"/>
  <c r="A13" i="161"/>
  <c r="A14" i="161"/>
  <c r="A15" i="161"/>
  <c r="A16" i="161"/>
  <c r="A17" i="161"/>
  <c r="A18" i="161"/>
  <c r="A19" i="161"/>
  <c r="A20" i="161"/>
  <c r="A21" i="161"/>
  <c r="I16" i="161"/>
  <c r="C1" i="166"/>
  <c r="I4" i="166"/>
  <c r="C2" i="166"/>
  <c r="G4" i="161"/>
  <c r="C3" i="162"/>
  <c r="I7" i="165"/>
  <c r="A6" i="165"/>
  <c r="C4" i="165"/>
  <c r="I7" i="164"/>
  <c r="A7" i="164"/>
  <c r="A9" i="164"/>
  <c r="A6" i="164"/>
  <c r="C4" i="164"/>
  <c r="A6" i="163" l="1"/>
  <c r="C4" i="163"/>
  <c r="I6" i="162"/>
  <c r="A6" i="162"/>
  <c r="C4" i="162"/>
  <c r="A7" i="161"/>
  <c r="A6" i="161"/>
  <c r="C4" i="1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29" authorId="0" shapeId="0" xr:uid="{A5D8EA8B-993D-4394-8D9F-A6F3FC90BA5B}">
      <text>
        <r>
          <rPr>
            <sz val="12"/>
            <color indexed="81"/>
            <rFont val="Calibri"/>
            <family val="2"/>
          </rPr>
          <t>6pcs for Console Switch; 
6pcs for  Data Switch; 
2pcs for Console Switch Power Cord;
2pc for Optical Cable per switch
Total = 6 x1 + 6 x 2+ 0 + 2x2 = 24</t>
        </r>
      </text>
    </comment>
    <comment ref="K32" authorId="0" shapeId="0" xr:uid="{51B5E361-CB25-4080-9BD9-D1CEF8620AC5}">
      <text>
        <r>
          <rPr>
            <sz val="12"/>
            <color indexed="81"/>
            <rFont val="Calibri"/>
            <family val="2"/>
          </rPr>
          <t>1pc for RJ-45 and SFP28 Cables (Connect to Console and Data Switch) in Each Server; 
1pc for Optical Cables in one Patch Panel;
1pc for Optical Cables in one data Switch;
Total = 14 + 14 + 2*2 = 32 pcs</t>
        </r>
      </text>
    </comment>
    <comment ref="K34" authorId="0" shapeId="0" xr:uid="{16CDF9EB-3EE9-474A-B32F-48B305A313A8}">
      <text>
        <r>
          <rPr>
            <sz val="9"/>
            <color indexed="81"/>
            <rFont val="Tahoma"/>
            <family val="2"/>
          </rPr>
          <t xml:space="preserve">2pcs per RJ45 Cable
Total: 2x75 = 150
</t>
        </r>
      </text>
    </comment>
    <comment ref="K35" authorId="0" shapeId="0" xr:uid="{9AABE4A5-E286-4A6B-8D67-147DBD30F4C5}">
      <text>
        <r>
          <rPr>
            <sz val="9"/>
            <color indexed="81"/>
            <rFont val="Tahoma"/>
            <family val="2"/>
          </rPr>
          <t>3pcs per 800G to 2x400G
2pcs per 10G DAC Cable
Total: 3x18 + 2x3 = 60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13" authorId="0" shapeId="0" xr:uid="{AF6708B1-CC6F-42B5-A335-34A3F89AE709}">
      <text>
        <r>
          <rPr>
            <sz val="9"/>
            <color indexed="81"/>
            <rFont val="Calibri"/>
            <family val="2"/>
          </rPr>
          <t>Rack Level SN * 1
Rack Frame * 1
PWR Shelf * 3
BBU * 3
Wedge400 RSW * 2
Management Switch RESW * 1</t>
        </r>
      </text>
    </comment>
    <comment ref="K14" authorId="0" shapeId="0" xr:uid="{39667613-2757-4BE8-80B9-C2AB9D40D6ED}">
      <text>
        <r>
          <rPr>
            <sz val="9"/>
            <color indexed="81"/>
            <rFont val="Tahoma"/>
            <family val="2"/>
          </rPr>
          <t xml:space="preserve">Power shelf *4
 </t>
        </r>
      </text>
    </comment>
    <comment ref="K15" authorId="0" shapeId="0" xr:uid="{29FD105C-59E0-4283-969C-0ED4EF41E763}">
      <text>
        <r>
          <rPr>
            <sz val="9"/>
            <color indexed="81"/>
            <rFont val="Tahoma"/>
            <family val="2"/>
          </rPr>
          <t>MP3*1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13" authorId="0" shapeId="0" xr:uid="{BE442584-5DE6-4639-9CAB-F5781CC5404E}">
      <text>
        <r>
          <rPr>
            <sz val="9"/>
            <color indexed="81"/>
            <rFont val="Calibri"/>
            <family val="2"/>
          </rPr>
          <t>Rack Level SN * 1
Rack Frame * 1
PWR Shelf * 3
BBU * 3
Wedge400 RSW * 2
Management Switch RESW * 1</t>
        </r>
      </text>
    </comment>
    <comment ref="K14" authorId="0" shapeId="0" xr:uid="{8DFDB1D5-2093-4B9E-898D-0B8F55C34C9E}">
      <text>
        <r>
          <rPr>
            <sz val="9"/>
            <color indexed="81"/>
            <rFont val="Tahoma"/>
            <family val="2"/>
          </rPr>
          <t xml:space="preserve">Power shelf *4
 </t>
        </r>
      </text>
    </comment>
    <comment ref="K15" authorId="0" shapeId="0" xr:uid="{CD695383-961E-4497-9FBA-D87D61806C5D}">
      <text>
        <r>
          <rPr>
            <sz val="9"/>
            <color indexed="81"/>
            <rFont val="Tahoma"/>
            <family val="2"/>
          </rPr>
          <t>MP3*1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25" authorId="0" shapeId="0" xr:uid="{58754BA9-6905-4B18-BD4E-B40F88112313}">
      <text>
        <r>
          <rPr>
            <sz val="12"/>
            <color indexed="81"/>
            <rFont val="Calibri"/>
            <family val="2"/>
          </rPr>
          <t>6pcs for Console Switch; 
6pcs for  Data Switch; 
2pcs for Console Switch Power Cord;
2pc for Optical Cable per switch
Total = 6 x1 + 6 x 2+ 0 + 2x2 = 24</t>
        </r>
      </text>
    </comment>
    <comment ref="K28" authorId="0" shapeId="0" xr:uid="{AAFF0723-F3FF-4147-8084-AA2D50796A35}">
      <text>
        <r>
          <rPr>
            <sz val="12"/>
            <color indexed="81"/>
            <rFont val="Calibri"/>
            <family val="2"/>
          </rPr>
          <t>1pc for RJ-45 and SFP28 Cables (Connect to Console and Data Switch) in Each Server; 
1pc for Optical Cables in one Patch Panel;
1pc for Optical Cables in one data Switch;
Total = 14 + 14 + 2*2 = 32 pcs</t>
        </r>
      </text>
    </comment>
    <comment ref="K30" authorId="0" shapeId="0" xr:uid="{D539B23D-3D34-4331-9AE7-6189DF58563A}">
      <text>
        <r>
          <rPr>
            <sz val="9"/>
            <color indexed="81"/>
            <rFont val="Tahoma"/>
            <family val="2"/>
          </rPr>
          <t xml:space="preserve">2pcs per RJ45 Cable
Total: 2x75 = 150
</t>
        </r>
      </text>
    </comment>
    <comment ref="K31" authorId="0" shapeId="0" xr:uid="{01232449-40A0-40D7-B5E4-BCDD9416CF61}">
      <text>
        <r>
          <rPr>
            <sz val="9"/>
            <color indexed="81"/>
            <rFont val="Tahoma"/>
            <family val="2"/>
          </rPr>
          <t>3pcs per 800G to 2x400G
2pcs per 10G DAC Cable
Total: 3x18 + 2x3 = 60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13" authorId="0" shapeId="0" xr:uid="{71D36052-33C8-4FE0-A65E-739DF867C1FF}">
      <text>
        <r>
          <rPr>
            <sz val="9"/>
            <color indexed="81"/>
            <rFont val="Calibri"/>
            <family val="2"/>
          </rPr>
          <t>Rack Level SN * 1
Rack Frame * 1
PWR Shelf * 3
BBU * 3
Wedge400 RSW * 2
Management Switch RESW * 1</t>
        </r>
      </text>
    </comment>
    <comment ref="K14" authorId="0" shapeId="0" xr:uid="{1E2DEB8D-E1F9-4703-BDA5-F0D72C5F72B3}">
      <text>
        <r>
          <rPr>
            <sz val="9"/>
            <color indexed="81"/>
            <rFont val="Tahoma"/>
            <family val="2"/>
          </rPr>
          <t xml:space="preserve">Power shelf *4
 </t>
        </r>
      </text>
    </comment>
    <comment ref="K15" authorId="0" shapeId="0" xr:uid="{892F8294-E40D-48BF-A2D6-10ECE8F06326}">
      <text>
        <r>
          <rPr>
            <sz val="9"/>
            <color indexed="81"/>
            <rFont val="Tahoma"/>
            <family val="2"/>
          </rPr>
          <t>MP3*1</t>
        </r>
      </text>
    </comment>
  </commentList>
</comments>
</file>

<file path=xl/sharedStrings.xml><?xml version="1.0" encoding="utf-8"?>
<sst xmlns="http://schemas.openxmlformats.org/spreadsheetml/2006/main" count="2092" uniqueCount="445">
  <si>
    <t>Change History</t>
    <phoneticPr fontId="6" type="noConversion"/>
  </si>
  <si>
    <t>Rev.</t>
    <phoneticPr fontId="6" type="noConversion"/>
  </si>
  <si>
    <t>Date</t>
  </si>
  <si>
    <t>Contents and update items</t>
  </si>
  <si>
    <t>ECO No.</t>
    <phoneticPr fontId="6" type="noConversion"/>
  </si>
  <si>
    <t>Author</t>
  </si>
  <si>
    <t>X01</t>
    <phoneticPr fontId="6" type="noConversion"/>
  </si>
  <si>
    <t>NA</t>
    <phoneticPr fontId="6" type="noConversion"/>
  </si>
  <si>
    <t>FOXCONN TECHNOLOGY GROUP</t>
    <phoneticPr fontId="4" type="noConversion"/>
  </si>
  <si>
    <t>BILL OF MATERIAL</t>
  </si>
  <si>
    <t xml:space="preserve">FOXCONN PN: </t>
    <phoneticPr fontId="6" type="noConversion"/>
  </si>
  <si>
    <t>FOXCONN PN Rev.:</t>
    <phoneticPr fontId="6" type="noConversion"/>
  </si>
  <si>
    <t>NA</t>
    <phoneticPr fontId="7" type="noConversion"/>
  </si>
  <si>
    <t xml:space="preserve">Customer: </t>
    <phoneticPr fontId="7" type="noConversion"/>
  </si>
  <si>
    <t>Customer PN:</t>
    <phoneticPr fontId="6" type="noConversion"/>
  </si>
  <si>
    <t>Customer PN Rev.:</t>
    <phoneticPr fontId="6" type="noConversion"/>
  </si>
  <si>
    <t>Description:</t>
    <phoneticPr fontId="7" type="noConversion"/>
  </si>
  <si>
    <t>Item</t>
  </si>
  <si>
    <t>Lev</t>
  </si>
  <si>
    <t>FOXCONN PN</t>
    <phoneticPr fontId="6" type="noConversion"/>
  </si>
  <si>
    <t>FOXCONN PN Rev.</t>
    <phoneticPr fontId="6" type="noConversion"/>
  </si>
  <si>
    <t>Customer PN</t>
    <phoneticPr fontId="4" type="noConversion"/>
  </si>
  <si>
    <t>Customer PN Rev.</t>
    <phoneticPr fontId="6" type="noConversion"/>
  </si>
  <si>
    <t>Description</t>
    <phoneticPr fontId="7" type="noConversion"/>
  </si>
  <si>
    <t>Manufacture</t>
    <phoneticPr fontId="16" type="noConversion"/>
  </si>
  <si>
    <t>Manufacture PN</t>
    <phoneticPr fontId="4" type="noConversion"/>
  </si>
  <si>
    <t>Manufacture PN Rev.</t>
    <phoneticPr fontId="6" type="noConversion"/>
  </si>
  <si>
    <t>Quantity</t>
    <phoneticPr fontId="4" type="noConversion"/>
  </si>
  <si>
    <t>Remark</t>
  </si>
  <si>
    <t>0</t>
    <phoneticPr fontId="7" type="noConversion"/>
  </si>
  <si>
    <t>NA</t>
    <phoneticPr fontId="16" type="noConversion"/>
  </si>
  <si>
    <t>FOXCONN/EPD2</t>
    <phoneticPr fontId="7" type="noConversion"/>
  </si>
  <si>
    <t>MPN=HHPN</t>
    <phoneticPr fontId="16" type="noConversion"/>
  </si>
  <si>
    <t>1</t>
    <phoneticPr fontId="16" type="noConversion"/>
  </si>
  <si>
    <t>TBD</t>
    <phoneticPr fontId="16" type="noConversion"/>
  </si>
  <si>
    <t>NA</t>
    <phoneticPr fontId="10" type="noConversion"/>
  </si>
  <si>
    <t>Rittal</t>
  </si>
  <si>
    <t>NA</t>
  </si>
  <si>
    <t>TBD</t>
  </si>
  <si>
    <t>FOXCONN/EPD2</t>
  </si>
  <si>
    <t>7</t>
  </si>
  <si>
    <t>8</t>
  </si>
  <si>
    <t>9</t>
  </si>
  <si>
    <t>Arista</t>
  </si>
  <si>
    <t>27-100239</t>
  </si>
  <si>
    <t>Remark</t>
    <phoneticPr fontId="6" type="noConversion"/>
  </si>
  <si>
    <t>TBD</t>
    <phoneticPr fontId="10" type="noConversion"/>
  </si>
  <si>
    <t>Update</t>
  </si>
  <si>
    <t>Delete</t>
  </si>
  <si>
    <t>2</t>
    <phoneticPr fontId="16" type="noConversion"/>
  </si>
  <si>
    <t>3</t>
    <phoneticPr fontId="16" type="noConversion"/>
  </si>
  <si>
    <t>Jessy Chang</t>
    <phoneticPr fontId="6" type="noConversion"/>
  </si>
  <si>
    <t>7J-100-000</t>
    <phoneticPr fontId="10" type="noConversion"/>
  </si>
  <si>
    <t>NA</t>
    <phoneticPr fontId="46" type="noConversion"/>
  </si>
  <si>
    <t>7J-934-076</t>
  </si>
  <si>
    <t>7J-593-000</t>
    <phoneticPr fontId="10" type="noConversion"/>
  </si>
  <si>
    <t>SUNWAY</t>
    <phoneticPr fontId="10" type="noConversion"/>
  </si>
  <si>
    <t>7J-594-000</t>
    <phoneticPr fontId="10" type="noConversion"/>
  </si>
  <si>
    <t xml:space="preserve">Mechanicals </t>
  </si>
  <si>
    <t>Network Switch</t>
  </si>
  <si>
    <t>Cables</t>
  </si>
  <si>
    <t>Mechanicals</t>
  </si>
  <si>
    <t>Category</t>
    <phoneticPr fontId="16" type="noConversion"/>
  </si>
  <si>
    <t>0</t>
    <phoneticPr fontId="16" type="noConversion"/>
  </si>
  <si>
    <t>Server Chassis</t>
    <phoneticPr fontId="7" type="noConversion"/>
  </si>
  <si>
    <t>Server</t>
  </si>
  <si>
    <t>1</t>
  </si>
  <si>
    <t>Removefortemporary</t>
  </si>
  <si>
    <t>Old material 
Don't place new PO, only consuming inventory</t>
    <phoneticPr fontId="10" type="noConversion"/>
  </si>
  <si>
    <t>1A72BSK00-600-G</t>
  </si>
  <si>
    <t>2</t>
  </si>
  <si>
    <t>4</t>
    <phoneticPr fontId="16" type="noConversion"/>
  </si>
  <si>
    <t>5</t>
    <phoneticPr fontId="16" type="noConversion"/>
  </si>
  <si>
    <t>27- ORV3 power shelf rail</t>
  </si>
  <si>
    <t>6</t>
    <phoneticPr fontId="16" type="noConversion"/>
  </si>
  <si>
    <t>27- ORV3 IT rail</t>
  </si>
  <si>
    <t>27- L10 system rail kit</t>
    <phoneticPr fontId="16" type="noConversion"/>
  </si>
  <si>
    <t>Amphenol</t>
  </si>
  <si>
    <t>1A72BSN00-600-G</t>
  </si>
  <si>
    <t>55 - Rack &amp; Power Sub-assy</t>
  </si>
  <si>
    <t>55 - Rack &amp; Power Sub-assy</t>
    <phoneticPr fontId="50" type="noConversion"/>
  </si>
  <si>
    <t>AEI</t>
    <phoneticPr fontId="16" type="noConversion"/>
  </si>
  <si>
    <t>Item</t>
    <phoneticPr fontId="16" type="noConversion"/>
  </si>
  <si>
    <t>Celestica</t>
  </si>
  <si>
    <t>RESW</t>
    <phoneticPr fontId="16" type="noConversion"/>
  </si>
  <si>
    <t>NVIDIA</t>
    <phoneticPr fontId="16" type="noConversion"/>
  </si>
  <si>
    <t>LBL, Label for RJ45 Cable, 48x24mm</t>
    <phoneticPr fontId="10" type="noConversion"/>
  </si>
  <si>
    <t>1A72BSP00-600-G</t>
  </si>
  <si>
    <t>7J-592-000</t>
    <phoneticPr fontId="16" type="noConversion"/>
  </si>
  <si>
    <t>LBL, Rack Level SN Label, 110x20mm</t>
    <phoneticPr fontId="16" type="noConversion"/>
  </si>
  <si>
    <t>Rack Level SN</t>
    <phoneticPr fontId="16" type="noConversion"/>
  </si>
  <si>
    <t>Meta</t>
    <phoneticPr fontId="16" type="noConversion"/>
  </si>
  <si>
    <t>Asset</t>
    <phoneticPr fontId="16" type="noConversion"/>
  </si>
  <si>
    <t>Switch Level</t>
    <phoneticPr fontId="16" type="noConversion"/>
  </si>
  <si>
    <t>SUNWAY</t>
  </si>
  <si>
    <t>3</t>
  </si>
  <si>
    <t>Rack n PWR Sub</t>
    <phoneticPr fontId="6" type="noConversion"/>
  </si>
  <si>
    <t>Network Sub</t>
    <phoneticPr fontId="6" type="noConversion"/>
  </si>
  <si>
    <t>Initial release for L11 BOM</t>
    <phoneticPr fontId="6" type="noConversion"/>
  </si>
  <si>
    <t>X02</t>
    <phoneticPr fontId="6" type="noConversion"/>
  </si>
  <si>
    <t>Server</t>
    <phoneticPr fontId="16" type="noConversion"/>
  </si>
  <si>
    <t>Rack Frame</t>
  </si>
  <si>
    <t>Manifold</t>
  </si>
  <si>
    <t>Others</t>
  </si>
  <si>
    <t>Power</t>
  </si>
  <si>
    <t>1.Drop "L11-Training"sku.
2.Replacing Meta with Maxwell, replacing Clemente with Mercury.
3.Update qty and vendor.
4.Remove wedge400 and PON related parts.
5.Add Meta Catalina_L10 RMC Tray Assy.</t>
    <phoneticPr fontId="6" type="noConversion"/>
  </si>
  <si>
    <t>V</t>
    <phoneticPr fontId="6" type="noConversion"/>
  </si>
  <si>
    <t>1A72BSJ00-600-G</t>
    <phoneticPr fontId="16" type="noConversion"/>
  </si>
  <si>
    <t>X03</t>
    <phoneticPr fontId="6" type="noConversion"/>
  </si>
  <si>
    <t>54 - Network Sub-assy, Mercury</t>
    <phoneticPr fontId="16" type="noConversion"/>
  </si>
  <si>
    <t>TEMP-S000222734</t>
  </si>
  <si>
    <t>TEMP-S000222735</t>
  </si>
  <si>
    <t>TEMP-S000222736</t>
  </si>
  <si>
    <t>TEMP-S000222271</t>
    <phoneticPr fontId="16" type="noConversion"/>
  </si>
  <si>
    <t>TEMP-S000222274</t>
    <phoneticPr fontId="16" type="noConversion"/>
  </si>
  <si>
    <t>27-100238</t>
    <phoneticPr fontId="16" type="noConversion"/>
  </si>
  <si>
    <t>27-001501</t>
    <phoneticPr fontId="16" type="noConversion"/>
  </si>
  <si>
    <t>27-001499</t>
    <phoneticPr fontId="16" type="noConversion"/>
  </si>
  <si>
    <t>Kingslide</t>
  </si>
  <si>
    <t>A5682627DPZZBNQ</t>
  </si>
  <si>
    <t>A5682627DPZZANQ</t>
  </si>
  <si>
    <t>A5682627CPZZ1NP</t>
  </si>
  <si>
    <t>14-100015</t>
  </si>
  <si>
    <t>700-037148-1000</t>
    <phoneticPr fontId="16" type="noConversion"/>
  </si>
  <si>
    <t>03-100049</t>
  </si>
  <si>
    <t>700-037147-0000</t>
    <phoneticPr fontId="16" type="noConversion"/>
  </si>
  <si>
    <t>TEMP-S000224821</t>
  </si>
  <si>
    <t>5</t>
    <phoneticPr fontId="16" type="noConversion"/>
  </si>
  <si>
    <t>20- Management Switch 7010, come with tray</t>
  </si>
  <si>
    <t>TEMP-S000222287</t>
    <phoneticPr fontId="16" type="noConversion"/>
  </si>
  <si>
    <t>20-100100</t>
  </si>
  <si>
    <t>FB-7010TX-48C-DC-RV3-F</t>
  </si>
  <si>
    <t>965-24972-0020-000</t>
    <phoneticPr fontId="16" type="noConversion"/>
  </si>
  <si>
    <t>20 - CI NVSO Tray Assy</t>
    <phoneticPr fontId="16" type="noConversion"/>
  </si>
  <si>
    <t>TEMP-S000224304</t>
    <phoneticPr fontId="16" type="noConversion"/>
  </si>
  <si>
    <t>14- Power Shelf</t>
    <phoneticPr fontId="16" type="noConversion"/>
  </si>
  <si>
    <t>TEMP-S000225752</t>
  </si>
  <si>
    <t>TEMP-S000223211</t>
    <phoneticPr fontId="46" type="noConversion"/>
  </si>
  <si>
    <t>05-000676</t>
  </si>
  <si>
    <t>BAFFLE, ORV3 AIRFLOW 1OU CARDBOARD BOX RECYCLED AND FLAME RETARDANT, SHORT</t>
    <phoneticPr fontId="46" type="noConversion"/>
  </si>
  <si>
    <t>Blue Rose Packaging</t>
    <phoneticPr fontId="46" type="noConversion"/>
  </si>
  <si>
    <t>BRP-61425.ARB</t>
    <phoneticPr fontId="46" type="noConversion"/>
  </si>
  <si>
    <t>TEMP-S000223212</t>
    <phoneticPr fontId="46" type="noConversion"/>
  </si>
  <si>
    <t>05-000677</t>
  </si>
  <si>
    <t>BAFFLE, ORV3 AIRFLOW 2OU CARDBOARD BOX RECYCLED AND FLAME RETARDANT, SHORT</t>
    <phoneticPr fontId="46" type="noConversion"/>
  </si>
  <si>
    <t>Blue Rose Packaging</t>
  </si>
  <si>
    <t>BRP-63320.ARB</t>
    <phoneticPr fontId="46" type="noConversion"/>
  </si>
  <si>
    <t>4</t>
    <phoneticPr fontId="16" type="noConversion"/>
  </si>
  <si>
    <t>03- PSU (5.5 KW)</t>
    <phoneticPr fontId="16" type="noConversion"/>
  </si>
  <si>
    <t>1.Replacing Meta with Maxwell, replacing Catalina with Sun.
2.Compare with GB300 build matrix, update discrepancy MPN/vendor.
3.Add 1OU and 2OU pizza box</t>
    <phoneticPr fontId="6" type="noConversion"/>
  </si>
  <si>
    <t>3RL05MA0010</t>
    <phoneticPr fontId="16" type="noConversion"/>
  </si>
  <si>
    <t>Qunta</t>
    <phoneticPr fontId="16" type="noConversion"/>
  </si>
  <si>
    <t>Maxwell Sun_L10 RMC Tray Assy Quanta</t>
    <phoneticPr fontId="16" type="noConversion"/>
  </si>
  <si>
    <t xml:space="preserve"> TEMP-S000226516</t>
    <phoneticPr fontId="16" type="noConversion"/>
  </si>
  <si>
    <t>TEMP-S000226517</t>
    <phoneticPr fontId="16" type="noConversion"/>
  </si>
  <si>
    <t>1A72B7000-600-G1</t>
    <phoneticPr fontId="16" type="noConversion"/>
  </si>
  <si>
    <t>01_assy-rack-canister_ctln.asm</t>
    <phoneticPr fontId="16" type="noConversion"/>
  </si>
  <si>
    <t>ES PN: 965-24972-0020-000
QS PN: 965-24972-0020-000
PS PN: 965-24972-0020-000</t>
    <phoneticPr fontId="16" type="noConversion"/>
  </si>
  <si>
    <t>same as Maxwell_Sun</t>
    <phoneticPr fontId="16" type="noConversion"/>
  </si>
  <si>
    <t>27- MiniPack3 Outer shelf</t>
    <phoneticPr fontId="16" type="noConversion"/>
  </si>
  <si>
    <t>27-100124</t>
    <phoneticPr fontId="16" type="noConversion"/>
  </si>
  <si>
    <t>R4002-F0101-03</t>
    <phoneticPr fontId="16" type="noConversion"/>
  </si>
  <si>
    <t>27- MiniPack3 Railkit from King Slide</t>
    <phoneticPr fontId="16" type="noConversion"/>
  </si>
  <si>
    <t>KingSlide</t>
    <phoneticPr fontId="16" type="noConversion"/>
  </si>
  <si>
    <t xml:space="preserve"> U602-625-IM</t>
    <phoneticPr fontId="16" type="noConversion"/>
  </si>
  <si>
    <t>1*MiniPack3</t>
    <phoneticPr fontId="16" type="noConversion"/>
  </si>
  <si>
    <t>9</t>
    <phoneticPr fontId="16" type="noConversion"/>
  </si>
  <si>
    <t>10</t>
    <phoneticPr fontId="16" type="noConversion"/>
  </si>
  <si>
    <t>11</t>
    <phoneticPr fontId="16" type="noConversion"/>
  </si>
  <si>
    <t xml:space="preserve"> L02SF085-SD-H</t>
    <phoneticPr fontId="16" type="noConversion"/>
  </si>
  <si>
    <t>TEMP-S000222299</t>
    <phoneticPr fontId="16" type="noConversion"/>
  </si>
  <si>
    <t>X05</t>
    <phoneticPr fontId="6" type="noConversion"/>
  </si>
  <si>
    <t>Enya Chen</t>
    <phoneticPr fontId="6" type="noConversion"/>
  </si>
  <si>
    <t>01-CI Server Chassis (mini-rack), EVT2, Mercury, Sun-Ref</t>
    <phoneticPr fontId="16" type="noConversion"/>
  </si>
  <si>
    <t>1A72CF400-600-G</t>
  </si>
  <si>
    <t>Maxwell Mercury_L10 Compute Tray Assy_Sun-Ref</t>
    <phoneticPr fontId="16" type="noConversion"/>
  </si>
  <si>
    <t>Maxwell Mercury_L11 Rack ASSY, Sun-Ref</t>
    <phoneticPr fontId="16" type="noConversion"/>
  </si>
  <si>
    <t xml:space="preserve"> L11 Rack_Sun-Ref</t>
    <phoneticPr fontId="6" type="noConversion"/>
  </si>
  <si>
    <t>Server Chassis_Sun-Ref</t>
    <phoneticPr fontId="6" type="noConversion"/>
  </si>
  <si>
    <t>New</t>
    <phoneticPr fontId="6" type="noConversion"/>
  </si>
  <si>
    <r>
      <rPr>
        <sz val="11"/>
        <color rgb="FFFF0000"/>
        <rFont val="Calibri"/>
        <family val="2"/>
      </rPr>
      <t>1. Add Sun Ref. Page for EVT2 Sun(Maxwell GB200) Ref. Version</t>
    </r>
    <r>
      <rPr>
        <b/>
        <sz val="11"/>
        <rFont val="Calibri"/>
        <family val="2"/>
      </rPr>
      <t xml:space="preserve">
Server Chassis tab: </t>
    </r>
    <r>
      <rPr>
        <sz val="11"/>
        <rFont val="Calibri"/>
        <family val="2"/>
      </rPr>
      <t xml:space="preserve">
1. Remove Foxconn RMC (as Meta confimr use Quanta RMC in EVT2 phase)
2. Add Quanta RMC in BOM
3. Remove "27- Chassis Mechanical" ( it is Canister). 
</t>
    </r>
    <r>
      <rPr>
        <b/>
        <sz val="11"/>
        <rFont val="Calibri"/>
        <family val="2"/>
      </rPr>
      <t>Rack n PWR Sub tab</t>
    </r>
    <r>
      <rPr>
        <sz val="11"/>
        <rFont val="Calibri"/>
        <family val="2"/>
      </rPr>
      <t xml:space="preserve">
1. Add IT rack frame Mfg/Mfg PN (Rittal / 7844664) 
2. Add Canister Mfg/Mfg PN (EPD5 / 1A72B7000-600-G1)
3. Add 27- MiniPack3 Railkit (Kingslide / U602-625-IM) - infromation from Meta Catherine. 
4. Remove Item7-20 as they has inlcuded in Canister. 
</t>
    </r>
    <r>
      <rPr>
        <b/>
        <sz val="11"/>
        <rFont val="Calibri"/>
        <family val="2"/>
      </rPr>
      <t>Network Sub tab</t>
    </r>
    <r>
      <rPr>
        <sz val="11"/>
        <rFont val="Calibri"/>
        <family val="2"/>
      </rPr>
      <t xml:space="preserve">
1. Modify Minipack3 description.
2. Add 27- MiniPack3 Outer shelf (Celestica / R4002-F0101-03) - infromation from Meta Catherine. 
3. Add 800G DAC cable (Base on Meta Jaret's cable mapping file)
4. Add 400G DAC cable (Base on Meta Jaret's cable mapping file)
5. Update 10G DAC cable description and add Mfg PN
Ref file: Maxwell Mercury Rack_BOM_X01_20250106</t>
    </r>
    <phoneticPr fontId="6" type="noConversion"/>
  </si>
  <si>
    <t>7</t>
    <phoneticPr fontId="16" type="noConversion"/>
  </si>
  <si>
    <t>01-CI Server Chassis (mini-rack), EVT2, Mercury, MGX-OCP</t>
    <phoneticPr fontId="16" type="noConversion"/>
  </si>
  <si>
    <t>Mercury Canister</t>
    <phoneticPr fontId="16" type="noConversion"/>
  </si>
  <si>
    <t>06- Mercury IT Rack Frame</t>
    <phoneticPr fontId="16" type="noConversion"/>
  </si>
  <si>
    <t>20 - Minipack3 ORV3 DC bundle (include PSU + power cord)</t>
    <phoneticPr fontId="16" type="noConversion"/>
  </si>
  <si>
    <t>LXP</t>
    <phoneticPr fontId="7" type="noConversion"/>
  </si>
  <si>
    <t>Maxwell Mercury_L11 Rack ASSY, MGX-OCP</t>
    <phoneticPr fontId="16" type="noConversion"/>
  </si>
  <si>
    <t>03- PSU (5.5 KW)</t>
  </si>
  <si>
    <t>14- Power Shelf</t>
  </si>
  <si>
    <t>Delta</t>
  </si>
  <si>
    <t>TEMP-S000222275</t>
  </si>
  <si>
    <t>TEMP-S000225753</t>
  </si>
  <si>
    <t>TEMP-S000222284</t>
  </si>
  <si>
    <t>14-100009</t>
  </si>
  <si>
    <t>03-100038</t>
  </si>
  <si>
    <t>10178161-C7A303</t>
    <phoneticPr fontId="10" type="noConversion"/>
  </si>
  <si>
    <t>07- ORV3 AC Whip</t>
    <phoneticPr fontId="10" type="noConversion"/>
  </si>
  <si>
    <t>`</t>
    <phoneticPr fontId="16" type="noConversion"/>
  </si>
  <si>
    <t>1A72BSK00-600-G</t>
    <phoneticPr fontId="16" type="noConversion"/>
  </si>
  <si>
    <t>1A72BSP00-600-G</t>
    <phoneticPr fontId="7" type="noConversion"/>
  </si>
  <si>
    <t>1A72CHC00-600-G</t>
    <phoneticPr fontId="7" type="noConversion"/>
  </si>
  <si>
    <t>Cable Cartridge (Left/Right)</t>
    <phoneticPr fontId="10" type="noConversion"/>
  </si>
  <si>
    <t>TEMP-S000227145</t>
    <phoneticPr fontId="16" type="noConversion"/>
  </si>
  <si>
    <t xml:space="preserve"> TEMP-S000227146</t>
    <phoneticPr fontId="10" type="noConversion"/>
  </si>
  <si>
    <t>X06</t>
    <phoneticPr fontId="6" type="noConversion"/>
  </si>
  <si>
    <t>ECD68000020</t>
    <phoneticPr fontId="10" type="noConversion"/>
  </si>
  <si>
    <t>ECD17010021 REV.02/P2</t>
    <phoneticPr fontId="10" type="noConversion"/>
  </si>
  <si>
    <t>X07</t>
    <phoneticPr fontId="6" type="noConversion"/>
  </si>
  <si>
    <t>TEMP-S000227144</t>
    <phoneticPr fontId="7" type="noConversion"/>
  </si>
  <si>
    <t>920-9K33R-00MV-ES0</t>
    <phoneticPr fontId="16" type="noConversion"/>
  </si>
  <si>
    <t>Non-Scalable Switch Tray (ref: Brief 1-8-25)
ES PN: 920-9K33R-00MV-ES0
QS PN: 920-9K33R-00MV-QS1
PS PN: 920-9K33R-00MV-GS0</t>
    <phoneticPr fontId="16" type="noConversion"/>
  </si>
  <si>
    <t>Atemitech</t>
    <phoneticPr fontId="16" type="noConversion"/>
  </si>
  <si>
    <t>IMG</t>
    <phoneticPr fontId="7" type="noConversion"/>
  </si>
  <si>
    <t>07- 800G OSFP IHS to 2x400G OSFP RHS DAC Cable - Compute Tray(Cx7) to RSW(MP3), 1.1m</t>
    <phoneticPr fontId="16" type="noConversion"/>
  </si>
  <si>
    <t>07- 800G OSFP IHS to 2x400G OSFP RHS DAC Cable - Compute Tray(Cx7) to RSW(MP3), 1.5m</t>
    <phoneticPr fontId="16" type="noConversion"/>
  </si>
  <si>
    <t>07- 800G OSFP IHS to 2x400G OSFP RHS DAC Cable - Compute Tray(Cx7) to RSW(MP3), 1.9m</t>
    <phoneticPr fontId="16" type="noConversion"/>
  </si>
  <si>
    <t>TEMP-S000227194</t>
  </si>
  <si>
    <t>L02QF025-SD-H</t>
    <phoneticPr fontId="7" type="noConversion"/>
  </si>
  <si>
    <t>TEMP-S000227577</t>
  </si>
  <si>
    <t>Replacing TBD with Temp HPN.</t>
    <phoneticPr fontId="6" type="noConversion"/>
  </si>
  <si>
    <t>FOXCONN/EPD2</t>
    <phoneticPr fontId="16" type="noConversion"/>
  </si>
  <si>
    <t>TEMP-S000224357</t>
    <phoneticPr fontId="16" type="noConversion"/>
  </si>
  <si>
    <t>GB200 RMF Hose GS Cold 6ft</t>
    <phoneticPr fontId="10" type="noConversion"/>
  </si>
  <si>
    <t>LC-05015-01-GP2S1</t>
    <phoneticPr fontId="16" type="noConversion"/>
  </si>
  <si>
    <t>TEMP-S000224358</t>
    <phoneticPr fontId="16" type="noConversion"/>
  </si>
  <si>
    <t>GB200 RMF Hose GS Cold 4ft</t>
    <phoneticPr fontId="10" type="noConversion"/>
  </si>
  <si>
    <t>LC-05016-01-GP2S1</t>
    <phoneticPr fontId="16" type="noConversion"/>
  </si>
  <si>
    <t>TEMP-S000224359</t>
    <phoneticPr fontId="16" type="noConversion"/>
  </si>
  <si>
    <t>GB200 RMF Hose GS Hot 6ft</t>
    <phoneticPr fontId="10" type="noConversion"/>
  </si>
  <si>
    <t>LC-05017-01-GP2S1</t>
    <phoneticPr fontId="16" type="noConversion"/>
  </si>
  <si>
    <t>TEMP-S000224360</t>
    <phoneticPr fontId="16" type="noConversion"/>
  </si>
  <si>
    <t>GB200 RMF Hose GS Hot 4ft</t>
    <phoneticPr fontId="10" type="noConversion"/>
  </si>
  <si>
    <t>LC-05018-01-GP2S1</t>
    <phoneticPr fontId="16" type="noConversion"/>
  </si>
  <si>
    <t>Meta GB200 PVT RMF Hot/Cold, Phantom ASSY, CoolerMaster</t>
    <phoneticPr fontId="16" type="noConversion"/>
  </si>
  <si>
    <t xml:space="preserve">Meta GB200 PVT RMF Hot/Cold, Phantom ASSY, CoolerMaster </t>
    <phoneticPr fontId="10" type="noConversion"/>
  </si>
  <si>
    <t>4</t>
  </si>
  <si>
    <t>5</t>
  </si>
  <si>
    <t>6</t>
  </si>
  <si>
    <t>TEMP-S000227652</t>
    <phoneticPr fontId="16" type="noConversion"/>
  </si>
  <si>
    <t>8</t>
    <phoneticPr fontId="7" type="noConversion"/>
  </si>
  <si>
    <t xml:space="preserve">Mechanicals </t>
    <phoneticPr fontId="16" type="noConversion"/>
  </si>
  <si>
    <t>X08</t>
    <phoneticPr fontId="6" type="noConversion"/>
  </si>
  <si>
    <t>RMF Ph-assy</t>
    <phoneticPr fontId="6" type="noConversion"/>
  </si>
  <si>
    <t>Accessory kit</t>
    <phoneticPr fontId="10" type="noConversion"/>
  </si>
  <si>
    <r>
      <t>1. Update BOM strutrue- create RMF Phantom-ASSY PN
2. Add GB200 PVT RMF (Coolermaster) as alternative part (accoding latest table from Thermal Eric)
3. Add VCM (</t>
    </r>
    <r>
      <rPr>
        <b/>
        <sz val="12"/>
        <color theme="1"/>
        <rFont val="Calibri"/>
        <family val="2"/>
      </rPr>
      <t>01_top-slim-vcm-44u_clc.asm</t>
    </r>
    <r>
      <rPr>
        <sz val="12"/>
        <color theme="1"/>
        <rFont val="Calibri"/>
        <family val="2"/>
      </rPr>
      <t xml:space="preserve"> / 01_top-slim-vcm-44u-b_clc.asm) in BOM as accessory kit (discussing with Animy and ME, put VCM in BOM)
4. Modify Qty of "800G OSFP to 2x400G OSFP cable 1.5m" from 6 to 5.
5. Modify Qty of "800G OSFP to 2x400G OSFP cable 1.9m" from 3 to 2.
</t>
    </r>
    <r>
      <rPr>
        <sz val="12"/>
        <color rgb="FFFF0000"/>
        <rFont val="Calibri"/>
        <family val="2"/>
      </rPr>
      <t xml:space="preserve">** </t>
    </r>
    <r>
      <rPr>
        <sz val="12"/>
        <color theme="4"/>
        <rFont val="Calibri"/>
        <family val="2"/>
      </rPr>
      <t>Ref file: Meta GB300 CPL PN_20250121_ET.xlsx</t>
    </r>
    <phoneticPr fontId="6" type="noConversion"/>
  </si>
  <si>
    <t>Luxshare</t>
    <phoneticPr fontId="7" type="noConversion"/>
  </si>
  <si>
    <t>L8BSQ013-SD-R</t>
    <phoneticPr fontId="7" type="noConversion"/>
  </si>
  <si>
    <t>L8BSQ014-SD-R</t>
    <phoneticPr fontId="7" type="noConversion"/>
  </si>
  <si>
    <t>L8BSQ015-SD-R</t>
    <phoneticPr fontId="7" type="noConversion"/>
  </si>
  <si>
    <t>TEMP-S000227732</t>
    <phoneticPr fontId="7" type="noConversion"/>
  </si>
  <si>
    <t>TEMP-S000227733</t>
    <phoneticPr fontId="7" type="noConversion"/>
  </si>
  <si>
    <t>TEMP-S000227734</t>
    <phoneticPr fontId="7" type="noConversion"/>
  </si>
  <si>
    <t>TEMP-S000227731</t>
    <phoneticPr fontId="7" type="noConversion"/>
  </si>
  <si>
    <t>Amphenol</t>
    <phoneticPr fontId="7" type="noConversion"/>
  </si>
  <si>
    <t>NND1DQ-0002</t>
    <phoneticPr fontId="7" type="noConversion"/>
  </si>
  <si>
    <t>07- 800G OSFP IHS to 2x400G OSFP RHS DAC Cable - Compute Tray(Cx7) to RSW(MP3), 2.0m</t>
    <phoneticPr fontId="16" type="noConversion"/>
  </si>
  <si>
    <t>LBL, Asset Label, Infra Large 1D label, 1"x0.5"</t>
    <phoneticPr fontId="16" type="noConversion"/>
  </si>
  <si>
    <t xml:space="preserve">1. Remove Transceiver A as it will be ship to DC directly (information for Akash 2/4).
2. Remove Loopback cable as it should be move to SPR. (inforamation from Jaret).
3. Update Minipack3 MPN from R3214-F9013-A3 (MP PN) to R3214-F9013-A2 (PVT PN) as current is PVT sample.
4. Add MPN 800G OSFP to 2x400G DAC cable
 - 1.1m: L8BSQ013-SD-RL
 - 1.5m: 8BSQ014-SD-R
 - 1.9m: L8BSQ015-SD-R
5. Add Amphenol 800G OSFP to 2x400G DAC cable (2m) as 2nd source.  (Amphenol/ NND1DQ-0002)
6. Based on Meta PQE confrimation, change asset label from 0.95x0.2inch to 1"x0.5". </t>
    <phoneticPr fontId="6" type="noConversion"/>
  </si>
  <si>
    <t>X09</t>
    <phoneticPr fontId="6" type="noConversion"/>
  </si>
  <si>
    <t>R3214-F9013-A2</t>
    <phoneticPr fontId="7" type="noConversion"/>
  </si>
  <si>
    <t>GLE</t>
  </si>
  <si>
    <t>WJE240799B</t>
  </si>
  <si>
    <t>TEMP-S000222307</t>
  </si>
  <si>
    <t>TEMP-S000222325</t>
  </si>
  <si>
    <t xml:space="preserve">CBL, RJ45 CAT6 LAN w/ shielded, Yellow, 1500mm </t>
    <phoneticPr fontId="7" type="noConversion"/>
  </si>
  <si>
    <t xml:space="preserve">CBL, RJ45 CAT6 LAN w/ shielded, Yellow, 6500mm </t>
    <phoneticPr fontId="7" type="noConversion"/>
  </si>
  <si>
    <t>Termination plug, 120 ohm</t>
    <phoneticPr fontId="7" type="noConversion"/>
  </si>
  <si>
    <t>Amphenol</t>
    <phoneticPr fontId="7" type="noConversion"/>
  </si>
  <si>
    <t>6</t>
    <phoneticPr fontId="7" type="noConversion"/>
  </si>
  <si>
    <t>7</t>
    <phoneticPr fontId="7" type="noConversion"/>
  </si>
  <si>
    <t>8</t>
    <phoneticPr fontId="7" type="noConversion"/>
  </si>
  <si>
    <t>9</t>
    <phoneticPr fontId="7" type="noConversion"/>
  </si>
  <si>
    <t>TEMP-S000227820</t>
    <phoneticPr fontId="16" type="noConversion"/>
  </si>
  <si>
    <t>Cooler Master</t>
    <phoneticPr fontId="16" type="noConversion"/>
  </si>
  <si>
    <t>X10</t>
    <phoneticPr fontId="6" type="noConversion"/>
  </si>
  <si>
    <t>Cables</t>
    <phoneticPr fontId="7" type="noConversion"/>
  </si>
  <si>
    <t>Plug</t>
    <phoneticPr fontId="7" type="noConversion"/>
  </si>
  <si>
    <r>
      <rPr>
        <b/>
        <sz val="11"/>
        <rFont val="Calibri"/>
        <family val="2"/>
      </rPr>
      <t>Server Chassis_MGX-OCP, Server Chassis_Sun-Ref tab</t>
    </r>
    <r>
      <rPr>
        <sz val="11"/>
        <rFont val="Calibri"/>
        <family val="2"/>
      </rPr>
      <t xml:space="preserve">
1. Update NV Switch HHPN/MPN to TEMP-S000227144/ 920-9K33R-00MV-ES0 (base on latest NV brief  01-08-25) 
</t>
    </r>
    <r>
      <rPr>
        <b/>
        <sz val="11"/>
        <rFont val="Calibri"/>
        <family val="2"/>
      </rPr>
      <t>Rack n PWR Sub</t>
    </r>
    <r>
      <rPr>
        <sz val="11"/>
        <rFont val="Calibri"/>
        <family val="2"/>
      </rPr>
      <t xml:space="preserve">
1. Change Canister vendor</t>
    </r>
    <r>
      <rPr>
        <sz val="11"/>
        <rFont val="微軟正黑體"/>
        <family val="2"/>
        <charset val="136"/>
      </rPr>
      <t>為漢通</t>
    </r>
    <r>
      <rPr>
        <sz val="11"/>
        <rFont val="Calibri"/>
        <family val="2"/>
      </rPr>
      <t xml:space="preserve">(Atemitech)
2. Add HH PN for U602-625-IM (HHPN: TEMP-S000227145)
3. Add AVC RMF
- Meta GB200 PVT cold manifold (CPC) AVC/ SFA3660001-1
- Meta GB200 PVT hot manifold (CPC) AVC/ SFA3670001-1
- Meta GB300 EVT RMF Cold AVC/ SFA3690001-1
- Meta GB300 EVT RMF Hot AVC/ SFA3680001-1
4. Add Delta Power Shelf (ECD68000020) and PSU (ECD17010021 REV.02/P2) - (Meta Cahterine Ni request).
5. Add new AC whip (from Catherine Ni): Amphenol/ 10178161-C7A303
6. Remove old AC whip (10175249-C78303, 10175743-C78303) 
</t>
    </r>
    <r>
      <rPr>
        <b/>
        <sz val="11"/>
        <rFont val="Calibri"/>
        <family val="2"/>
      </rPr>
      <t xml:space="preserve">Network Sub
</t>
    </r>
    <r>
      <rPr>
        <sz val="11"/>
        <rFont val="Calibri"/>
        <family val="2"/>
      </rPr>
      <t xml:space="preserve">1. Change 27- MiniPack3 Outer shelf (R4002-F0101-03) MFG from Celestinca to  IMG
2. Remove 800G cable as it is prepared by Meta-DC (ref GB300+HPRv3 Preliminary BOM)
3. Change 400G DAC cable to "800G to 4*400G" (ref GB300+HPRv3 Preliminary BOM)
4.  Add "Transciever A: 2x400G FR4 IHS Optical Module (OSFP) -MP3 " (ref GB300+HPRv3 Preliminary BOM)
5. Add 07- Loop back Cables - MP3 (ref GB300+HPRv3 Preliminary BOM)
</t>
    </r>
    <r>
      <rPr>
        <b/>
        <sz val="11"/>
        <rFont val="Calibri"/>
        <family val="2"/>
      </rPr>
      <t xml:space="preserve">Other: </t>
    </r>
    <r>
      <rPr>
        <sz val="11"/>
        <rFont val="Calibri"/>
        <family val="2"/>
      </rPr>
      <t xml:space="preserve">
1. Add Sun-ref Server Chassis HH PN: 1A72CHC00-600-G
2. Add Sun-ref L11 HH PN: 1A72CH900-600-G
</t>
    </r>
    <r>
      <rPr>
        <sz val="11"/>
        <color rgb="FFFF0000"/>
        <rFont val="Calibri"/>
        <family val="2"/>
      </rPr>
      <t>**</t>
    </r>
    <r>
      <rPr>
        <sz val="11"/>
        <color rgb="FF0000FF"/>
        <rFont val="Calibri"/>
        <family val="2"/>
      </rPr>
      <t xml:space="preserve"> Ref file ( GB300+HPRv3 Preliminary BOM): https://docs.google.com/spreadsheets/d/1e4GKV9vozE3RDSfhoCHaO4X9S2u4koqlZm9QYudUafk/edit?gid=1497837867#gid=1497837867</t>
    </r>
    <phoneticPr fontId="6" type="noConversion"/>
  </si>
  <si>
    <r>
      <t xml:space="preserve">1. Network Sub: Combine same cable in a one row.  
2 Change desription of  L02SF085-SD-H to </t>
    </r>
    <r>
      <rPr>
        <u/>
        <sz val="12"/>
        <color theme="1"/>
        <rFont val="Calibri"/>
        <family val="2"/>
      </rPr>
      <t>CBL, 10 DAC, SFP+ to SFP+, 2500mm</t>
    </r>
    <r>
      <rPr>
        <sz val="12"/>
        <color theme="1"/>
        <rFont val="Calibri"/>
        <family val="2"/>
      </rPr>
      <t xml:space="preserve">
3. Change description of L02QF025-SD-H to CBL, </t>
    </r>
    <r>
      <rPr>
        <u/>
        <sz val="12"/>
        <color theme="1"/>
        <rFont val="Calibri"/>
        <family val="2"/>
      </rPr>
      <t xml:space="preserve">10 DAC, SFP+ to QSFP, 2500mm
</t>
    </r>
    <r>
      <rPr>
        <sz val="12"/>
        <color theme="1"/>
        <rFont val="Calibri"/>
        <family val="2"/>
      </rPr>
      <t xml:space="preserve">4. Based on lates cable list discussing wht Meta to adjust RJ45 cable length 
5. Based on latest cable list from Meta to add Termination plug, 120 ohm (Amphenol/ P-RJP-1MF-0001)
6. Add FXN PN of Asset label 1"x0.5" (TEMP-S000227820). 
7. Based on latest thermal list (2/7) to update GB200 Coolermaster Cold and Hot RMF MPN/FXN PN (new MPN: LC-05003-01-GP2S1 / LC-05007-01-GP2S1). 
</t>
    </r>
    <r>
      <rPr>
        <sz val="12"/>
        <color rgb="FFFF0000"/>
        <rFont val="Calibri"/>
        <family val="2"/>
      </rPr>
      <t>**</t>
    </r>
    <r>
      <rPr>
        <sz val="12"/>
        <color rgb="FF0000FF"/>
        <rFont val="Calibri"/>
        <family val="2"/>
      </rPr>
      <t>Ref file: CIC_GB300_L11_Cable_Mapping_20250208
https://docs.google.com/spreadsheets/d/1y6Dj2PXIuF83a8jhOWwu6ltwz2pam5X_/edit?gid=656645211#gid=656645211</t>
    </r>
    <r>
      <rPr>
        <sz val="12"/>
        <color theme="1"/>
        <rFont val="Calibri"/>
        <family val="2"/>
      </rPr>
      <t xml:space="preserve">
</t>
    </r>
    <r>
      <rPr>
        <sz val="12"/>
        <color rgb="FFFF0000"/>
        <rFont val="Calibri"/>
        <family val="2"/>
      </rPr>
      <t>**</t>
    </r>
    <r>
      <rPr>
        <sz val="12"/>
        <color rgb="FF0000FF"/>
        <rFont val="Calibri"/>
        <family val="2"/>
      </rPr>
      <t>Ref file: Meta GB300 CPL PN_20250207_ET</t>
    </r>
    <phoneticPr fontId="6" type="noConversion"/>
  </si>
  <si>
    <t>CBL, 10 DAC, SFP+ to QSFP, 2500mm</t>
    <phoneticPr fontId="7" type="noConversion"/>
  </si>
  <si>
    <t>CBL, 10 DAC, SFP+ to SFP+, 2500mm</t>
    <phoneticPr fontId="7" type="noConversion"/>
  </si>
  <si>
    <t>27-100270</t>
    <phoneticPr fontId="7" type="noConversion"/>
  </si>
  <si>
    <t>X11</t>
    <phoneticPr fontId="6" type="noConversion"/>
  </si>
  <si>
    <t xml:space="preserve">1. Change Qty of AC whip (10178161-C7A303) from 4 to 8. 
2. Correct MPN of Termination plug, 120 ohm  (Amphenol) to RJP-1MF-0002-HF. </t>
    <phoneticPr fontId="6" type="noConversion"/>
  </si>
  <si>
    <t>TEMP-S000227590</t>
    <phoneticPr fontId="7" type="noConversion"/>
  </si>
  <si>
    <t>RJP-1MF-0002-HF</t>
    <phoneticPr fontId="7" type="noConversion"/>
  </si>
  <si>
    <t>30-100078</t>
    <phoneticPr fontId="16" type="noConversion"/>
  </si>
  <si>
    <t>TEMP-S000222309</t>
    <phoneticPr fontId="7" type="noConversion"/>
  </si>
  <si>
    <t>CBL, RJ45 CAT6 LAN w/ shielded, Yellow, 2500mm</t>
    <phoneticPr fontId="7" type="noConversion"/>
  </si>
  <si>
    <t xml:space="preserve">CBL, RJ45 CAT6 LAN w/ shielded, Yellow, 2000mm </t>
    <phoneticPr fontId="7" type="noConversion"/>
  </si>
  <si>
    <t>WJE240801B</t>
    <phoneticPr fontId="7" type="noConversion"/>
  </si>
  <si>
    <t>TEMP-S000222267</t>
    <phoneticPr fontId="7" type="noConversion"/>
  </si>
  <si>
    <t>CBL, Leak detection cable-1, 5600mm</t>
    <phoneticPr fontId="7" type="noConversion"/>
  </si>
  <si>
    <t>07-100361</t>
  </si>
  <si>
    <t>07-100392</t>
  </si>
  <si>
    <t>07-100363</t>
  </si>
  <si>
    <t>07-100524</t>
  </si>
  <si>
    <t>2T1000B00-000-G</t>
    <phoneticPr fontId="6" type="noConversion"/>
  </si>
  <si>
    <t>Velcro, 203.2 X 12.7mm</t>
    <phoneticPr fontId="6" type="noConversion"/>
  </si>
  <si>
    <t>KANG YANG</t>
    <phoneticPr fontId="6" type="noConversion"/>
  </si>
  <si>
    <t>VCO-151495</t>
    <phoneticPr fontId="6" type="noConversion"/>
  </si>
  <si>
    <t>EA</t>
    <phoneticPr fontId="10" type="noConversion"/>
  </si>
  <si>
    <t>7B190AR00-59K-G</t>
    <phoneticPr fontId="10" type="noConversion"/>
  </si>
  <si>
    <t>Velcro, 203.2 X 12.7mm</t>
    <phoneticPr fontId="10" type="noConversion"/>
  </si>
  <si>
    <t>XINLUDA</t>
    <phoneticPr fontId="10" type="noConversion"/>
  </si>
  <si>
    <t>X15-2253</t>
    <phoneticPr fontId="10" type="noConversion"/>
  </si>
  <si>
    <t>EA</t>
    <phoneticPr fontId="7" type="noConversion"/>
  </si>
  <si>
    <t>3B4003T00-HE9-G</t>
    <phoneticPr fontId="10" type="noConversion"/>
  </si>
  <si>
    <t>KANG YANG</t>
    <phoneticPr fontId="10" type="noConversion"/>
  </si>
  <si>
    <t>VCO-26</t>
    <phoneticPr fontId="10" type="noConversion"/>
  </si>
  <si>
    <t>3B4604A00-HE9-G</t>
    <phoneticPr fontId="10" type="noConversion"/>
  </si>
  <si>
    <t>Velcro, 125 X 14 mm</t>
    <phoneticPr fontId="10" type="noConversion"/>
  </si>
  <si>
    <t>VCO12520</t>
    <phoneticPr fontId="10" type="noConversion"/>
  </si>
  <si>
    <t>X17-2258</t>
    <phoneticPr fontId="10" type="noConversion"/>
  </si>
  <si>
    <t>LBL, Rack Label for PSU, Color: Red</t>
    <phoneticPr fontId="10" type="noConversion"/>
  </si>
  <si>
    <t>LBL, Rack Label for MP3 Switch Color: Yellow</t>
    <phoneticPr fontId="10" type="noConversion"/>
  </si>
  <si>
    <t>LBL, Label for DAC Cable, 62x24mm</t>
    <phoneticPr fontId="10" type="noConversion"/>
  </si>
  <si>
    <t>01-101139</t>
    <phoneticPr fontId="16" type="noConversion"/>
  </si>
  <si>
    <t>1A72D1G00-600-G</t>
    <phoneticPr fontId="16" type="noConversion"/>
  </si>
  <si>
    <t>01-101140</t>
    <phoneticPr fontId="16" type="noConversion"/>
  </si>
  <si>
    <t>Maxwell Mercury_L10 Compute Tray Assy_MGX-OCP, Micron</t>
    <phoneticPr fontId="16" type="noConversion"/>
  </si>
  <si>
    <t>1A72D1H00-600-G</t>
    <phoneticPr fontId="16" type="noConversion"/>
  </si>
  <si>
    <t>01-101141</t>
    <phoneticPr fontId="16" type="noConversion"/>
  </si>
  <si>
    <t>Maxwell Mercury_L10 Compute Tray Assy_MGX-OCP, WD</t>
    <phoneticPr fontId="16" type="noConversion"/>
  </si>
  <si>
    <t>Maxwell Mercury_L10 Compute Tray Assy_MGX-OCP, Samsung</t>
    <phoneticPr fontId="16" type="noConversion"/>
  </si>
  <si>
    <t>01-CI Server Chassis (mini-rack), EVT2, Mercury, MGX-OCP, Meta Rack</t>
    <phoneticPr fontId="16" type="noConversion"/>
  </si>
  <si>
    <t xml:space="preserve">1A72D6D00-600-G </t>
    <phoneticPr fontId="16" type="noConversion"/>
  </si>
  <si>
    <t>Maxwell Mercury_L11 Rack ASSY, MGX-OCP, Meta Rack</t>
    <phoneticPr fontId="16" type="noConversion"/>
  </si>
  <si>
    <t>1A72D6F00-600-G</t>
    <phoneticPr fontId="16" type="noConversion"/>
  </si>
  <si>
    <t>X12</t>
    <phoneticPr fontId="6" type="noConversion"/>
  </si>
  <si>
    <t>Server Chassis-MGX</t>
    <phoneticPr fontId="6" type="noConversion"/>
  </si>
  <si>
    <t>19</t>
    <phoneticPr fontId="7" type="noConversion"/>
  </si>
  <si>
    <t>11</t>
    <phoneticPr fontId="7" type="noConversion"/>
  </si>
  <si>
    <t>1A72BSN00-600-G</t>
    <phoneticPr fontId="10" type="noConversion"/>
  </si>
  <si>
    <t>1A72BSQ00-600-G</t>
    <phoneticPr fontId="16" type="noConversion"/>
  </si>
  <si>
    <t>1A72CH900-600-G</t>
    <phoneticPr fontId="16" type="noConversion"/>
  </si>
  <si>
    <t>ASSY PN List</t>
    <phoneticPr fontId="4" type="noConversion"/>
  </si>
  <si>
    <t>WJE240794B</t>
    <phoneticPr fontId="7" type="noConversion"/>
  </si>
  <si>
    <t>HWHHW-AA08</t>
    <phoneticPr fontId="7" type="noConversion"/>
  </si>
  <si>
    <t>L11 Rack-MGX-MR</t>
    <phoneticPr fontId="6" type="noConversion"/>
  </si>
  <si>
    <t xml:space="preserve"> L11 Rack_MGX</t>
    <phoneticPr fontId="6" type="noConversion"/>
  </si>
  <si>
    <t>WJE250008B</t>
    <phoneticPr fontId="7" type="noConversion"/>
  </si>
  <si>
    <r>
      <t xml:space="preserve">1. Add ASSY PN list tab
1. Create BOM for Meta rack (shell rack): add tab "Server Chassis-MGX-MR" and "L11 Rack-MGX-MR"
3. Separate L10 PN to 1A72BSJ00-600-G/1A72D1G00-600-G/1A72D1H00-600-G as E1.S Data Drive difference. (Samsung/Micron/WD)
4. Correct FBPN of </t>
    </r>
    <r>
      <rPr>
        <b/>
        <sz val="12"/>
        <color theme="1"/>
        <rFont val="Calibri"/>
        <family val="2"/>
      </rPr>
      <t>27- MiniPack3 Railkit from King Slide</t>
    </r>
    <r>
      <rPr>
        <sz val="12"/>
        <color theme="1"/>
        <rFont val="Calibri"/>
        <family val="2"/>
      </rPr>
      <t xml:space="preserve">, from 27-100124 to 27-001629. 
5. Add FBPN for Minipack3 and RJ45.
6. Based MRD and Jaret cable mapping to update RJ45 list.
7. Add leakage senser cable (Amphenol/ HWHHW-AA08) as Meta confrim that Quanta RMC doesn't include the cable (Meta Catherine confirm)
9. Add Velco and lable for rack level
</t>
    </r>
    <phoneticPr fontId="6" type="noConversion"/>
  </si>
  <si>
    <t xml:space="preserve">1. Correct FXN PN of RJ45, 6500mm (MPN: WJE250008B) from TEMP-S000228016 to TEMP-S000226126. </t>
    <phoneticPr fontId="6" type="noConversion"/>
  </si>
  <si>
    <t>X12-1</t>
    <phoneticPr fontId="6" type="noConversion"/>
  </si>
  <si>
    <t>TEMP-S000226126</t>
    <phoneticPr fontId="7" type="noConversion"/>
  </si>
  <si>
    <t>10</t>
    <phoneticPr fontId="7" type="noConversion"/>
  </si>
  <si>
    <t>12</t>
  </si>
  <si>
    <t>13</t>
  </si>
  <si>
    <t>14</t>
  </si>
  <si>
    <t>15</t>
  </si>
  <si>
    <t>16</t>
  </si>
  <si>
    <t>17</t>
  </si>
  <si>
    <t>18</t>
    <phoneticPr fontId="10" type="noConversion"/>
  </si>
  <si>
    <t>20</t>
    <phoneticPr fontId="7" type="noConversion"/>
  </si>
  <si>
    <t>WJE250310B</t>
  </si>
  <si>
    <t>27-001629</t>
    <phoneticPr fontId="16" type="noConversion"/>
  </si>
  <si>
    <t>X13</t>
    <phoneticPr fontId="6" type="noConversion"/>
  </si>
  <si>
    <t>TEMP-S000228930</t>
    <phoneticPr fontId="7" type="noConversion"/>
  </si>
  <si>
    <t>CBL, RJ45 CAT6 LAN w/ shielded, Yellow, 500mm</t>
    <phoneticPr fontId="7" type="noConversion"/>
  </si>
  <si>
    <t>Select either item 9 or 10 to use.
For the factory to prepare the materials.</t>
    <phoneticPr fontId="7" type="noConversion"/>
  </si>
  <si>
    <t>1A72BSP00-600-GMR</t>
    <phoneticPr fontId="7" type="noConversion"/>
  </si>
  <si>
    <t>54 - Network Sub-assy, Mercury, Meta Rack</t>
  </si>
  <si>
    <t>54 - Network Sub-assy, Mercury, Meta Rack</t>
    <phoneticPr fontId="16" type="noConversion"/>
  </si>
  <si>
    <t>Network Sub-MR</t>
    <phoneticPr fontId="6" type="noConversion"/>
  </si>
  <si>
    <t>4</t>
    <phoneticPr fontId="7" type="noConversion"/>
  </si>
  <si>
    <t>5</t>
    <phoneticPr fontId="7" type="noConversion"/>
  </si>
  <si>
    <t>10</t>
  </si>
  <si>
    <t>11</t>
  </si>
  <si>
    <t>16</t>
    <phoneticPr fontId="10" type="noConversion"/>
  </si>
  <si>
    <t>17</t>
    <phoneticPr fontId="7" type="noConversion"/>
  </si>
  <si>
    <t>18</t>
    <phoneticPr fontId="7" type="noConversion"/>
  </si>
  <si>
    <t>1A72BSP00-600-GMR</t>
    <phoneticPr fontId="16" type="noConversion"/>
  </si>
  <si>
    <t>RMC Tray</t>
    <phoneticPr fontId="16" type="noConversion"/>
  </si>
  <si>
    <r>
      <rPr>
        <b/>
        <sz val="12"/>
        <color theme="1"/>
        <rFont val="Calibri"/>
        <family val="2"/>
      </rPr>
      <t>Network Sub</t>
    </r>
    <r>
      <rPr>
        <sz val="12"/>
        <color theme="1"/>
        <rFont val="Calibri"/>
        <family val="2"/>
      </rPr>
      <t xml:space="preserve">
1. Add CBL, RJ45 CAT6 LAN w/ shielded, Yellow, 500mm (TEMP-S000228930) in BOM.
</t>
    </r>
    <r>
      <rPr>
        <b/>
        <sz val="12"/>
        <color theme="1"/>
        <rFont val="Calibri"/>
        <family val="2"/>
      </rPr>
      <t>Delete Server Chassis-MGX-MR Sheet
Add Network Sub-MR Sheet
L11 Rack-MGX-MR</t>
    </r>
    <r>
      <rPr>
        <sz val="12"/>
        <color theme="1"/>
        <rFont val="Calibri"/>
        <family val="2"/>
      </rPr>
      <t xml:space="preserve">
1. Add RMC Tray ( TEMP-S000226516) in BOM.
2. Net worksub (1A72BSP00-600-G) replace to Network Sub-MR (1A72BSP00-600-GMR).</t>
    </r>
    <phoneticPr fontId="6" type="noConversion"/>
  </si>
  <si>
    <t>25AWG, Meta</t>
    <phoneticPr fontId="16" type="noConversion"/>
  </si>
  <si>
    <t>NND1DE-0002</t>
  </si>
  <si>
    <t>07- 800G OSFP IHS to 2x400G OSFP RHS DAC Cable - Compute Tray(Cx7) to RSW(MP3), 2.0m (30AWG)</t>
    <phoneticPr fontId="7" type="noConversion"/>
  </si>
  <si>
    <t>CBL, RJ45 CAT6 LAN w/ shielded, Yellow, 500mm, Bellwether</t>
  </si>
  <si>
    <t>Bellwether</t>
  </si>
  <si>
    <t>76183-454R</t>
  </si>
  <si>
    <t>TEMP-S000229178</t>
  </si>
  <si>
    <t>CBL, RJ45 CAT6 LAN w/ shielded, Yellow, 2500mm, Bellwether</t>
  </si>
  <si>
    <t>76183-453R</t>
  </si>
  <si>
    <t>TEMP-S000229179</t>
  </si>
  <si>
    <t>TEMP-S000229185</t>
  </si>
  <si>
    <t>X14</t>
    <phoneticPr fontId="6" type="noConversion"/>
  </si>
  <si>
    <t>TEMP-S000229185</t>
    <phoneticPr fontId="16" type="noConversion"/>
  </si>
  <si>
    <t>CBL, RJ45 CAT6 LAN w/ shielded, Yellow, 500mm, Bellwether</t>
    <phoneticPr fontId="16" type="noConversion"/>
  </si>
  <si>
    <r>
      <rPr>
        <b/>
        <sz val="12"/>
        <color theme="1"/>
        <rFont val="Calibri"/>
        <family val="2"/>
      </rPr>
      <t xml:space="preserve">Network Sub/ Network Sub-MR </t>
    </r>
    <r>
      <rPr>
        <sz val="12"/>
        <color theme="1"/>
        <rFont val="Calibri"/>
        <family val="2"/>
      </rPr>
      <t xml:space="preserve">
1. 800G OSFP to 2x400G OSFP DAC Cable add second source (TEMP-S000229185), Meta Hao agree to use 30AWG.
2. RJ45 w/ shielded, Yellow, 500mm (TEMP-S000228930) add second source TEMP-S000229178.
3. RJ45 w/ shielded, Yellow, 2500mm (TEMP-S000222309) add second source TEMP-S000229179.</t>
    </r>
    <phoneticPr fontId="6" type="noConversion"/>
  </si>
  <si>
    <t>30AWG, Meta agree to use</t>
    <phoneticPr fontId="16" type="noConversion"/>
  </si>
  <si>
    <t>X15</t>
    <phoneticPr fontId="6" type="noConversion"/>
  </si>
  <si>
    <t>8</t>
    <phoneticPr fontId="10" type="noConversion"/>
  </si>
  <si>
    <t>1</t>
    <phoneticPr fontId="16" type="noConversion"/>
  </si>
  <si>
    <t>2</t>
    <phoneticPr fontId="16" type="noConversion"/>
  </si>
  <si>
    <t>GB200 Meta RMF_GS_Cold_CPC-Parker</t>
    <phoneticPr fontId="16" type="noConversion"/>
  </si>
  <si>
    <t>GB200 Meta RMF_GS_Hot_CPC-Parker</t>
    <phoneticPr fontId="16" type="noConversion"/>
  </si>
  <si>
    <t>LC-05004-01-GP2S1</t>
    <phoneticPr fontId="16" type="noConversion"/>
  </si>
  <si>
    <t>LC-05008-01-GP2S1</t>
    <phoneticPr fontId="16" type="noConversion"/>
  </si>
  <si>
    <t>TEMP-S000227050</t>
    <phoneticPr fontId="16" type="noConversion"/>
  </si>
  <si>
    <t>TEMP-S000227051</t>
    <phoneticPr fontId="16" type="noConversion"/>
  </si>
  <si>
    <r>
      <rPr>
        <b/>
        <sz val="12"/>
        <color theme="1"/>
        <rFont val="Calibri"/>
        <family val="2"/>
      </rPr>
      <t xml:space="preserve">Rack n PWR Sub
</t>
    </r>
    <r>
      <rPr>
        <sz val="12"/>
        <color theme="1"/>
        <rFont val="Calibri"/>
        <family val="2"/>
      </rPr>
      <t>1. Based on Thermal information : EVT2 only use TEMP-S000227652, so delete TEMP-S000227651/ TEMP-S000227653/ TEMP-S000227654.</t>
    </r>
    <r>
      <rPr>
        <b/>
        <sz val="12"/>
        <color theme="1"/>
        <rFont val="Calibri"/>
        <family val="2"/>
      </rPr>
      <t xml:space="preserve">
Network Sub/ Network Sub-MR </t>
    </r>
    <r>
      <rPr>
        <sz val="12"/>
        <color theme="1"/>
        <rFont val="Calibri"/>
        <family val="2"/>
      </rPr>
      <t xml:space="preserve">
1. Based on Dinpi comfirm use w shielding cable, so delete w/o shielding cable : TEMP-S000222318.
</t>
    </r>
    <r>
      <rPr>
        <b/>
        <sz val="12"/>
        <color theme="1"/>
        <rFont val="Calibri"/>
        <family val="2"/>
      </rPr>
      <t xml:space="preserve">RMF Ph-assy
</t>
    </r>
    <r>
      <rPr>
        <sz val="12"/>
        <color theme="1"/>
        <rFont val="Calibri"/>
        <family val="2"/>
      </rPr>
      <t>1. Based on Thermal request TEMP-S000225645 replace to TEMP-S000227050.
2. Based on Thermal request TEMP-S000225646 replace to TEMP-S000227051.</t>
    </r>
    <phoneticPr fontId="6" type="noConversion"/>
  </si>
  <si>
    <t>15-102135</t>
    <phoneticPr fontId="16" type="noConversion"/>
  </si>
  <si>
    <t>01-101125</t>
    <phoneticPr fontId="16" type="noConversion"/>
  </si>
  <si>
    <t>55-100197</t>
    <phoneticPr fontId="16" type="noConversion"/>
  </si>
  <si>
    <t>55-100197</t>
    <phoneticPr fontId="16" type="noConversion"/>
  </si>
  <si>
    <t>06-100018</t>
    <phoneticPr fontId="16" type="noConversion"/>
  </si>
  <si>
    <t>07-100580</t>
    <phoneticPr fontId="16" type="noConversion"/>
  </si>
  <si>
    <t>07-100609</t>
    <phoneticPr fontId="10" type="noConversion"/>
  </si>
  <si>
    <t>54-100090</t>
    <phoneticPr fontId="16" type="noConversion"/>
  </si>
  <si>
    <t>07-100643</t>
    <phoneticPr fontId="16" type="noConversion"/>
  </si>
  <si>
    <t>07-100676</t>
    <phoneticPr fontId="16" type="noConversion"/>
  </si>
  <si>
    <t>07-100679</t>
    <phoneticPr fontId="16" type="noConversion"/>
  </si>
  <si>
    <t>07-100363</t>
    <phoneticPr fontId="7" type="noConversion"/>
  </si>
  <si>
    <t>07-100376</t>
    <phoneticPr fontId="16" type="noConversion"/>
  </si>
  <si>
    <t>07-100392</t>
    <phoneticPr fontId="7" type="noConversion"/>
  </si>
  <si>
    <t>07-100684</t>
    <phoneticPr fontId="16" type="noConversion"/>
  </si>
  <si>
    <t>27-100417</t>
    <phoneticPr fontId="16" type="noConversion"/>
  </si>
  <si>
    <t>X16</t>
    <phoneticPr fontId="6" type="noConversion"/>
  </si>
  <si>
    <t>TBD</t>
    <phoneticPr fontId="16" type="noConversion"/>
  </si>
  <si>
    <t>Add FB PN.
TEMP-S000227050/ TEMP-S000227051  update MFG to Cooler Master.</t>
    <phoneticPr fontId="6" type="noConversion"/>
  </si>
  <si>
    <t>X17</t>
    <phoneticPr fontId="6" type="noConversion"/>
  </si>
  <si>
    <t>HWHHW-BF76</t>
    <phoneticPr fontId="16" type="noConversion"/>
  </si>
  <si>
    <t>TEMP-S000230369</t>
    <phoneticPr fontId="16" type="noConversion"/>
  </si>
  <si>
    <t>Running change. Consuming inventory. Don't place new order.</t>
    <phoneticPr fontId="16" type="noConversion"/>
  </si>
  <si>
    <t>15</t>
    <phoneticPr fontId="7" type="noConversion"/>
  </si>
  <si>
    <r>
      <t xml:space="preserve">Rack n PWR Sub
</t>
    </r>
    <r>
      <rPr>
        <sz val="12"/>
        <color theme="1"/>
        <rFont val="Calibri"/>
        <family val="2"/>
      </rPr>
      <t xml:space="preserve">1. Update power shelf rail (TEMP-S000222271) qty to 8.
2. Update IT rail (TEMP-S000222274) qty to 3.
</t>
    </r>
    <r>
      <rPr>
        <b/>
        <sz val="12"/>
        <color theme="1"/>
        <rFont val="Calibri"/>
        <family val="2"/>
      </rPr>
      <t xml:space="preserve">Network Sub/ Network Sub-MR
</t>
    </r>
    <r>
      <rPr>
        <sz val="12"/>
        <color theme="1"/>
        <rFont val="Calibri"/>
        <family val="2"/>
      </rPr>
      <t>1. Add TEMP-S000230369 as TEMP-S000222267 second source.</t>
    </r>
    <phoneticPr fontId="6" type="noConversion"/>
  </si>
  <si>
    <t>X18</t>
    <phoneticPr fontId="6" type="noConversion"/>
  </si>
  <si>
    <t>4*Power Shelf + 4* Pizza Box (all Size)</t>
    <phoneticPr fontId="16" type="noConversion"/>
  </si>
  <si>
    <t>1*RMC + 1*Management SW+ 1* Minipack3</t>
    <phoneticPr fontId="16" type="noConversion"/>
  </si>
  <si>
    <t>1A72BSJ00-600-GNG</t>
    <phoneticPr fontId="16" type="noConversion"/>
  </si>
  <si>
    <r>
      <t xml:space="preserve">Server Chassis-MGX
</t>
    </r>
    <r>
      <rPr>
        <sz val="12"/>
        <color theme="1"/>
        <rFont val="Calibri"/>
        <family val="2"/>
      </rPr>
      <t xml:space="preserve">1. Based on PM Edison to add Compute Tray without GPU 1A72BSJ00-600-GNG as 1A72BSJ00-600-G second source.
</t>
    </r>
    <r>
      <rPr>
        <b/>
        <sz val="12"/>
        <color theme="1"/>
        <rFont val="Calibri"/>
        <family val="2"/>
      </rPr>
      <t xml:space="preserve">Rack n PWR Sub
</t>
    </r>
    <r>
      <rPr>
        <sz val="12"/>
        <color theme="1"/>
        <rFont val="Calibri"/>
        <family val="2"/>
      </rPr>
      <t>1. Delete VCM : 1A72CCY00-600-G/ 1A72CD400-600-G.</t>
    </r>
    <phoneticPr fontId="6" type="noConversion"/>
  </si>
  <si>
    <t>Mercury_Compute Tray Assembly, EVT2, without GPU</t>
    <phoneticPr fontId="16" type="noConversion"/>
  </si>
  <si>
    <t>Unit</t>
    <phoneticPr fontId="16" type="noConversion"/>
  </si>
  <si>
    <t>EA</t>
    <phoneticPr fontId="16" type="noConversion"/>
  </si>
  <si>
    <t>ECO No.</t>
    <phoneticPr fontId="16" type="noConversion"/>
  </si>
  <si>
    <t>Meta/ ODM
Managed</t>
    <phoneticPr fontId="16" type="noConversion"/>
  </si>
  <si>
    <t>ODM</t>
    <phoneticPr fontId="16" type="noConversion"/>
  </si>
  <si>
    <t>Meta</t>
    <phoneticPr fontId="16" type="noConversion"/>
  </si>
  <si>
    <t>EA</t>
  </si>
  <si>
    <t>Meta</t>
    <phoneticPr fontId="16" type="noConversion"/>
  </si>
  <si>
    <t>X19</t>
    <phoneticPr fontId="6" type="noConversion"/>
  </si>
  <si>
    <t>Based on Meta request to add new column : Meta/ ODM Managed</t>
    <phoneticPr fontId="6" type="noConversion"/>
  </si>
  <si>
    <t>Tina Lee</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</si>
</sst>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quot;$&quot;* #,##0_-;\-&quot;$&quot;* #,##0_-;_-&quot;$&quot;* &quot;-&quot;_-;_-@_-"/>
    <numFmt numFmtId="44" formatCode="_-&quot;$&quot;* #,##0.00_-;\-&quot;$&quot;* #,##0.00_-;_-&quot;$&quot;* &quot;-&quot;??_-;_-@_-"/>
    <numFmt numFmtId="43" formatCode="_-* #,##0.00_-;\-* #,##0.00_-;_-* &quot;-&quot;??_-;_-@_-"/>
    <numFmt numFmtId="176" formatCode="&quot;?#,##0;[Red]\-&quot;&quot;?&quot;#,##0"/>
    <numFmt numFmtId="177" formatCode="&quot;$&quot;\ #,##0_);\(&quot;$&quot;\ #,##0\)"/>
    <numFmt numFmtId="178" formatCode="&quot;$&quot;\ #,##0_);[Red]\(&quot;$&quot;\ #,##0\)"/>
    <numFmt numFmtId="179" formatCode="\60\4\7\:"/>
    <numFmt numFmtId="180" formatCode="\5\50\5\:"/>
    <numFmt numFmtId="181" formatCode="\T\B\A\,0"/>
    <numFmt numFmtId="182" formatCode="&quot;$&quot;#,##0.00;[Red]&quot;$&quot;#,##0.00"/>
    <numFmt numFmtId="183" formatCode="_-* #,##0_-;\-* #,##0_-;_-* &quot;-&quot;??_-;_-@_-"/>
    <numFmt numFmtId="184" formatCode="###0_);\(#,##0\)"/>
    <numFmt numFmtId="185" formatCode="\(###0\)"/>
    <numFmt numFmtId="186" formatCode="0.00_)"/>
  </numFmts>
  <fonts count="67">
    <font>
      <sz val="12"/>
      <color theme="1"/>
      <name val="新細明體"/>
      <family val="1"/>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1"/>
      <charset val="136"/>
    </font>
    <font>
      <sz val="10"/>
      <name val="Arial"/>
      <family val="2"/>
    </font>
    <font>
      <sz val="9"/>
      <name val="宋体"/>
      <family val="3"/>
      <charset val="136"/>
    </font>
    <font>
      <sz val="9"/>
      <name val="細明體"/>
      <family val="3"/>
    </font>
    <font>
      <sz val="12"/>
      <name val="新細明體"/>
      <family val="1"/>
      <charset val="136"/>
    </font>
    <font>
      <sz val="10"/>
      <color indexed="8"/>
      <name val="MS Sans Serif"/>
      <family val="2"/>
    </font>
    <font>
      <sz val="9"/>
      <name val="細明體"/>
      <family val="3"/>
      <charset val="136"/>
    </font>
    <font>
      <sz val="12"/>
      <name val="Calibri"/>
      <family val="2"/>
    </font>
    <font>
      <sz val="12"/>
      <name val="新細明體"/>
      <family val="1"/>
    </font>
    <font>
      <b/>
      <sz val="12"/>
      <name val="Calibri"/>
      <family val="2"/>
    </font>
    <font>
      <strike/>
      <sz val="12"/>
      <name val="Calibri"/>
      <family val="2"/>
    </font>
    <font>
      <sz val="12"/>
      <color theme="1"/>
      <name val="Calibri"/>
      <family val="2"/>
    </font>
    <font>
      <sz val="9"/>
      <name val="新細明體"/>
      <family val="1"/>
      <charset val="136"/>
      <scheme val="minor"/>
    </font>
    <font>
      <sz val="12"/>
      <color theme="1"/>
      <name val="新細明體"/>
      <family val="1"/>
      <charset val="136"/>
      <scheme val="minor"/>
    </font>
    <font>
      <b/>
      <sz val="14"/>
      <name val="Calibri"/>
      <family val="2"/>
    </font>
    <font>
      <sz val="10"/>
      <name val="Calibri"/>
      <family val="2"/>
    </font>
    <font>
      <sz val="11"/>
      <name val="Calibri"/>
      <family val="2"/>
    </font>
    <font>
      <sz val="11"/>
      <color theme="1"/>
      <name val="Calibri"/>
      <family val="2"/>
    </font>
    <font>
      <sz val="10"/>
      <name val="Arial"/>
      <family val="2"/>
      <charset val="1"/>
    </font>
    <font>
      <sz val="12"/>
      <color rgb="FF000000"/>
      <name val="新細明體"/>
      <family val="2"/>
      <charset val="1"/>
    </font>
    <font>
      <sz val="10"/>
      <color rgb="FF000000"/>
      <name val="MS Sans Serif"/>
      <family val="2"/>
      <charset val="1"/>
    </font>
    <font>
      <b/>
      <sz val="12"/>
      <color theme="1"/>
      <name val="Calibri"/>
      <family val="2"/>
    </font>
    <font>
      <b/>
      <sz val="12"/>
      <name val="Arial"/>
      <family val="2"/>
    </font>
    <font>
      <sz val="12"/>
      <name val="Times New Roman"/>
      <family val="1"/>
    </font>
    <font>
      <sz val="11"/>
      <color indexed="8"/>
      <name val="宋体"/>
      <family val="3"/>
      <charset val="136"/>
    </font>
    <font>
      <sz val="12"/>
      <color indexed="8"/>
      <name val="新細明體"/>
      <family val="1"/>
      <charset val="136"/>
    </font>
    <font>
      <sz val="11"/>
      <color indexed="9"/>
      <name val="宋体"/>
    </font>
    <font>
      <sz val="10"/>
      <color indexed="8"/>
      <name val="Arial"/>
      <family val="2"/>
    </font>
    <font>
      <sz val="10"/>
      <name val="MS Sans Serif"/>
      <family val="2"/>
    </font>
    <font>
      <u/>
      <sz val="8"/>
      <color indexed="12"/>
      <name val="Times New Roman"/>
      <family val="1"/>
    </font>
    <font>
      <b/>
      <sz val="11"/>
      <color indexed="8"/>
      <name val="宋体"/>
    </font>
    <font>
      <sz val="11"/>
      <color indexed="52"/>
      <name val="宋体"/>
    </font>
    <font>
      <sz val="12"/>
      <name val="宋体"/>
    </font>
    <font>
      <sz val="11"/>
      <color indexed="8"/>
      <name val="新細明體"/>
      <family val="1"/>
      <charset val="136"/>
      <scheme val="minor"/>
    </font>
    <font>
      <sz val="11"/>
      <color indexed="8"/>
      <name val="宋体"/>
    </font>
    <font>
      <sz val="12"/>
      <color indexed="9"/>
      <name val="新細明體"/>
      <family val="1"/>
      <charset val="136"/>
    </font>
    <font>
      <b/>
      <sz val="12"/>
      <color indexed="8"/>
      <name val="新細明體"/>
      <family val="1"/>
      <charset val="136"/>
    </font>
    <font>
      <sz val="12"/>
      <color indexed="17"/>
      <name val="新細明體"/>
      <family val="1"/>
      <charset val="136"/>
    </font>
    <font>
      <sz val="12"/>
      <color indexed="52"/>
      <name val="新細明體"/>
      <family val="1"/>
      <charset val="136"/>
    </font>
    <font>
      <b/>
      <sz val="11"/>
      <name val="Calibri"/>
      <family val="2"/>
    </font>
    <font>
      <sz val="12"/>
      <color rgb="FFFF0000"/>
      <name val="Calibri"/>
      <family val="2"/>
    </font>
    <font>
      <b/>
      <sz val="11"/>
      <color theme="0"/>
      <name val="Calibri"/>
      <family val="2"/>
    </font>
    <font>
      <sz val="9"/>
      <name val="宋体"/>
    </font>
    <font>
      <sz val="9"/>
      <color indexed="81"/>
      <name val="Tahoma"/>
      <family val="2"/>
    </font>
    <font>
      <sz val="12"/>
      <color rgb="FF000000"/>
      <name val="Calibri"/>
      <family val="2"/>
    </font>
    <font>
      <sz val="12"/>
      <color theme="0"/>
      <name val="Calibri"/>
      <family val="2"/>
    </font>
    <font>
      <sz val="9"/>
      <name val="新細明體"/>
      <family val="2"/>
      <charset val="136"/>
      <scheme val="minor"/>
    </font>
    <font>
      <sz val="9"/>
      <color indexed="81"/>
      <name val="Calibri"/>
      <family val="2"/>
    </font>
    <font>
      <sz val="11"/>
      <color rgb="FFFF0000"/>
      <name val="Calibri"/>
      <family val="2"/>
    </font>
    <font>
      <sz val="11"/>
      <name val="微軟正黑體"/>
      <family val="2"/>
      <charset val="136"/>
    </font>
    <font>
      <sz val="12"/>
      <color theme="4"/>
      <name val="Calibri"/>
      <family val="2"/>
    </font>
    <font>
      <u/>
      <sz val="12"/>
      <color theme="1"/>
      <name val="Calibri"/>
      <family val="2"/>
    </font>
    <font>
      <sz val="12"/>
      <color rgb="FF0000FF"/>
      <name val="Calibri"/>
      <family val="2"/>
    </font>
    <font>
      <sz val="11"/>
      <color rgb="FF0000FF"/>
      <name val="Calibri"/>
      <family val="2"/>
    </font>
    <font>
      <sz val="12"/>
      <color indexed="81"/>
      <name val="Calibri"/>
      <family val="2"/>
    </font>
    <font>
      <sz val="10"/>
      <color rgb="FF000000"/>
      <name val="新細明體"/>
      <family val="2"/>
      <scheme val="minor"/>
    </font>
    <font>
      <b/>
      <sz val="18"/>
      <name val="Calibri"/>
      <family val="2"/>
    </font>
    <font>
      <sz val="12"/>
      <color rgb="FF000000"/>
      <name val="新細明體"/>
      <family val="1"/>
      <charset val="136"/>
    </font>
    <font>
      <sz val="12"/>
      <color theme="1"/>
      <name val="新細明體"/>
      <family val="2"/>
      <scheme val="minor"/>
    </font>
    <font>
      <sz val="10"/>
      <color rgb="FF000000"/>
      <name val="MS Sans Serif"/>
      <family val="2"/>
    </font>
    <font>
      <sz val="11"/>
      <color rgb="FF000000"/>
      <name val="新細明體"/>
      <family val="1"/>
      <charset val="136"/>
    </font>
    <font>
      <sz val="10"/>
      <name val="微軟正黑體"/>
      <family val="2"/>
      <charset val="136"/>
    </font>
    <font>
      <sz val="12"/>
      <color rgb="FF000000"/>
      <name val="新細明體"/>
      <family val="1"/>
    </font>
  </fonts>
  <fills count="3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indexed="4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rgb="FF0070C0"/>
        <bgColor indexed="64"/>
      </patternFill>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1"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57">
    <xf numFmtId="0" fontId="0" fillId="0" borderId="0"/>
    <xf numFmtId="0" fontId="9" fillId="0" borderId="0"/>
    <xf numFmtId="0" fontId="8" fillId="0" borderId="0"/>
    <xf numFmtId="0" fontId="5" fillId="0" borderId="0"/>
    <xf numFmtId="0" fontId="8" fillId="0" borderId="0"/>
    <xf numFmtId="0" fontId="5" fillId="0" borderId="0"/>
    <xf numFmtId="0" fontId="8" fillId="0" borderId="0"/>
    <xf numFmtId="0" fontId="12" fillId="0" borderId="0"/>
    <xf numFmtId="0" fontId="8"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alignment vertical="center"/>
    </xf>
    <xf numFmtId="0" fontId="22" fillId="0" borderId="0"/>
    <xf numFmtId="0" fontId="23" fillId="0" borderId="0"/>
    <xf numFmtId="0" fontId="22" fillId="0" borderId="0"/>
    <xf numFmtId="0" fontId="17" fillId="0" borderId="0">
      <alignment vertical="center"/>
    </xf>
    <xf numFmtId="0" fontId="24" fillId="0" borderId="0"/>
    <xf numFmtId="0" fontId="3" fillId="0" borderId="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9" fillId="7" borderId="0" applyNumberFormat="0" applyBorder="0" applyAlignment="0" applyProtection="0">
      <alignment vertical="center"/>
    </xf>
    <xf numFmtId="0" fontId="29" fillId="8" borderId="0" applyNumberFormat="0" applyBorder="0" applyAlignment="0" applyProtection="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8" fillId="10" borderId="0" applyNumberFormat="0" applyBorder="0" applyAlignment="0" applyProtection="0">
      <alignment vertical="center"/>
    </xf>
    <xf numFmtId="0" fontId="28" fillId="13" borderId="0" applyNumberFormat="0" applyBorder="0" applyAlignment="0" applyProtection="0">
      <alignment vertical="center"/>
    </xf>
    <xf numFmtId="0" fontId="28" fillId="16"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9" fillId="10" borderId="0" applyNumberFormat="0" applyBorder="0" applyAlignment="0" applyProtection="0">
      <alignment vertical="center"/>
    </xf>
    <xf numFmtId="0" fontId="29" fillId="13"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176" fontId="5" fillId="0" borderId="0" applyFill="0" applyBorder="0" applyAlignment="0"/>
    <xf numFmtId="177" fontId="27" fillId="0" borderId="0" applyFill="0" applyBorder="0" applyAlignment="0"/>
    <xf numFmtId="178" fontId="27" fillId="0" borderId="0" applyFill="0" applyBorder="0" applyAlignment="0"/>
    <xf numFmtId="179" fontId="5" fillId="0" borderId="0" applyFill="0" applyBorder="0" applyAlignment="0"/>
    <xf numFmtId="180" fontId="5" fillId="0" borderId="0" applyFill="0" applyBorder="0" applyAlignment="0"/>
    <xf numFmtId="176" fontId="5" fillId="0" borderId="0" applyFill="0" applyBorder="0" applyAlignment="0"/>
    <xf numFmtId="181" fontId="5" fillId="0" borderId="0" applyFill="0" applyBorder="0" applyAlignment="0"/>
    <xf numFmtId="177" fontId="27" fillId="0" borderId="0" applyFill="0" applyBorder="0" applyAlignment="0"/>
    <xf numFmtId="0" fontId="5" fillId="0" borderId="0" applyFont="0" applyFill="0" applyBorder="0" applyAlignment="0" applyProtection="0"/>
    <xf numFmtId="176" fontId="5" fillId="0" borderId="0" applyFont="0" applyFill="0" applyBorder="0" applyAlignment="0" applyProtection="0"/>
    <xf numFmtId="182" fontId="5" fillId="0" borderId="0" applyFont="0" applyFill="0" applyBorder="0" applyAlignment="0" applyProtection="0"/>
    <xf numFmtId="0" fontId="5" fillId="0" borderId="0" applyFont="0" applyFill="0" applyBorder="0" applyAlignment="0" applyProtection="0"/>
    <xf numFmtId="177" fontId="27" fillId="0" borderId="0" applyFont="0" applyFill="0" applyBorder="0" applyAlignment="0" applyProtection="0"/>
    <xf numFmtId="181" fontId="5" fillId="0" borderId="0" applyFont="0" applyFill="0" applyBorder="0" applyAlignment="0" applyProtection="0"/>
    <xf numFmtId="14" fontId="31" fillId="0" borderId="0" applyFill="0" applyBorder="0" applyAlignment="0"/>
    <xf numFmtId="38" fontId="32" fillId="0" borderId="2">
      <alignment vertical="center"/>
    </xf>
    <xf numFmtId="176" fontId="5" fillId="0" borderId="0" applyFill="0" applyBorder="0" applyAlignment="0"/>
    <xf numFmtId="177" fontId="27" fillId="0" borderId="0" applyFill="0" applyBorder="0" applyAlignment="0"/>
    <xf numFmtId="176" fontId="5" fillId="0" borderId="0" applyFill="0" applyBorder="0" applyAlignment="0"/>
    <xf numFmtId="181" fontId="5" fillId="0" borderId="0" applyFill="0" applyBorder="0" applyAlignment="0"/>
    <xf numFmtId="177" fontId="27" fillId="0" borderId="0" applyFill="0" applyBorder="0" applyAlignment="0"/>
    <xf numFmtId="0" fontId="26" fillId="0" borderId="3" applyNumberFormat="0" applyAlignment="0" applyProtection="0">
      <alignment horizontal="left" vertical="center"/>
    </xf>
    <xf numFmtId="0" fontId="26" fillId="0" borderId="4">
      <alignment horizontal="left" vertical="center"/>
    </xf>
    <xf numFmtId="0" fontId="33" fillId="0" borderId="0" applyNumberFormat="0" applyFill="0" applyBorder="0" applyAlignment="0" applyProtection="0">
      <alignment vertical="top"/>
      <protection locked="0"/>
    </xf>
    <xf numFmtId="176" fontId="5" fillId="0" borderId="0" applyFill="0" applyBorder="0" applyAlignment="0"/>
    <xf numFmtId="177" fontId="27" fillId="0" borderId="0" applyFill="0" applyBorder="0" applyAlignment="0"/>
    <xf numFmtId="176" fontId="5" fillId="0" borderId="0" applyFill="0" applyBorder="0" applyAlignment="0"/>
    <xf numFmtId="181" fontId="5" fillId="0" borderId="0" applyFill="0" applyBorder="0" applyAlignment="0"/>
    <xf numFmtId="177" fontId="27" fillId="0" borderId="0" applyFill="0" applyBorder="0" applyAlignment="0"/>
    <xf numFmtId="183" fontId="27" fillId="0" borderId="0"/>
    <xf numFmtId="0" fontId="5" fillId="0" borderId="0"/>
    <xf numFmtId="0" fontId="5" fillId="0" borderId="0"/>
    <xf numFmtId="180" fontId="5" fillId="0" borderId="0" applyFont="0" applyFill="0" applyBorder="0" applyAlignment="0" applyProtection="0"/>
    <xf numFmtId="182" fontId="5" fillId="0" borderId="0" applyFont="0" applyFill="0" applyBorder="0" applyAlignment="0" applyProtection="0"/>
    <xf numFmtId="184" fontId="5" fillId="0" borderId="0" applyFont="0" applyFill="0" applyBorder="0" applyAlignment="0" applyProtection="0"/>
    <xf numFmtId="176" fontId="5" fillId="0" borderId="0" applyFill="0" applyBorder="0" applyAlignment="0"/>
    <xf numFmtId="177" fontId="27" fillId="0" borderId="0" applyFill="0" applyBorder="0" applyAlignment="0"/>
    <xf numFmtId="176" fontId="5" fillId="0" borderId="0" applyFill="0" applyBorder="0" applyAlignment="0"/>
    <xf numFmtId="181" fontId="5" fillId="0" borderId="0" applyFill="0" applyBorder="0" applyAlignment="0"/>
    <xf numFmtId="177" fontId="27" fillId="0" borderId="0" applyFill="0" applyBorder="0" applyAlignment="0"/>
    <xf numFmtId="49" fontId="31" fillId="0" borderId="0" applyFill="0" applyBorder="0" applyAlignment="0"/>
    <xf numFmtId="184" fontId="5" fillId="0" borderId="0" applyFill="0" applyBorder="0" applyAlignment="0"/>
    <xf numFmtId="185" fontId="5" fillId="0" borderId="0" applyFill="0" applyBorder="0" applyAlignment="0"/>
    <xf numFmtId="186" fontId="8" fillId="0" borderId="0"/>
    <xf numFmtId="0" fontId="34" fillId="0" borderId="5" applyNumberFormat="0" applyFill="0" applyAlignment="0" applyProtection="0">
      <alignment vertical="center"/>
    </xf>
    <xf numFmtId="0" fontId="5" fillId="21" borderId="6" applyNumberFormat="0" applyFont="0" applyAlignment="0" applyProtection="0">
      <alignment vertical="center"/>
    </xf>
    <xf numFmtId="0" fontId="5" fillId="0" borderId="0"/>
    <xf numFmtId="0" fontId="5" fillId="0" borderId="0" applyFont="0" applyFill="0" applyBorder="0" applyAlignment="0" applyProtection="0"/>
    <xf numFmtId="0" fontId="5" fillId="0" borderId="0" applyFont="0" applyFill="0" applyBorder="0" applyAlignment="0" applyProtection="0"/>
    <xf numFmtId="0" fontId="5" fillId="0" borderId="0"/>
    <xf numFmtId="42" fontId="8"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5" borderId="0" applyNumberFormat="0" applyBorder="0" applyAlignment="0" applyProtection="0">
      <alignment vertical="center"/>
    </xf>
    <xf numFmtId="0" fontId="35" fillId="0" borderId="7" applyNumberFormat="0" applyFill="0" applyAlignment="0" applyProtection="0">
      <alignment vertical="center"/>
    </xf>
    <xf numFmtId="0" fontId="5" fillId="0" borderId="0"/>
    <xf numFmtId="0" fontId="36" fillId="0" borderId="0"/>
    <xf numFmtId="0" fontId="36" fillId="0" borderId="0"/>
    <xf numFmtId="0" fontId="37" fillId="0" borderId="0"/>
    <xf numFmtId="0" fontId="38" fillId="7" borderId="0" applyNumberFormat="0" applyBorder="0" applyAlignment="0" applyProtection="0">
      <alignment vertical="center"/>
    </xf>
    <xf numFmtId="0" fontId="38" fillId="8" borderId="0" applyNumberFormat="0" applyBorder="0" applyAlignment="0" applyProtection="0">
      <alignment vertical="center"/>
    </xf>
    <xf numFmtId="0" fontId="38" fillId="9" borderId="0" applyNumberFormat="0" applyBorder="0" applyAlignment="0" applyProtection="0">
      <alignment vertical="center"/>
    </xf>
    <xf numFmtId="0" fontId="38"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8" fillId="10" borderId="0" applyNumberFormat="0" applyBorder="0" applyAlignment="0" applyProtection="0">
      <alignment vertical="center"/>
    </xf>
    <xf numFmtId="0" fontId="38" fillId="13"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5" fillId="0" borderId="0" applyNumberFormat="0" applyFont="0" applyFill="0" applyBorder="0" applyAlignment="0" applyProtection="0"/>
    <xf numFmtId="0" fontId="40" fillId="0" borderId="5" applyNumberFormat="0" applyFill="0" applyAlignment="0" applyProtection="0">
      <alignment vertical="center"/>
    </xf>
    <xf numFmtId="0" fontId="41" fillId="9" borderId="0" applyNumberFormat="0" applyBorder="0" applyAlignment="0" applyProtection="0">
      <alignment vertical="center"/>
    </xf>
    <xf numFmtId="0" fontId="42" fillId="0" borderId="7" applyNumberFormat="0" applyFill="0" applyAlignment="0" applyProtection="0">
      <alignment vertical="center"/>
    </xf>
    <xf numFmtId="0" fontId="5" fillId="21" borderId="6" applyNumberFormat="0" applyFont="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9" fillId="25" borderId="0" applyNumberFormat="0" applyBorder="0" applyAlignment="0" applyProtection="0">
      <alignment vertical="center"/>
    </xf>
    <xf numFmtId="0" fontId="5" fillId="0" borderId="0"/>
    <xf numFmtId="0" fontId="59" fillId="0" borderId="0"/>
    <xf numFmtId="0" fontId="2" fillId="0" borderId="0">
      <alignment vertical="center"/>
    </xf>
    <xf numFmtId="0" fontId="1" fillId="0" borderId="0">
      <alignment vertical="center"/>
    </xf>
    <xf numFmtId="0" fontId="62" fillId="0" borderId="0"/>
    <xf numFmtId="0" fontId="61" fillId="0" borderId="0"/>
    <xf numFmtId="0" fontId="12" fillId="0" borderId="0"/>
    <xf numFmtId="0" fontId="12" fillId="0" borderId="0"/>
    <xf numFmtId="0" fontId="63" fillId="0" borderId="0"/>
    <xf numFmtId="0" fontId="5" fillId="0" borderId="0"/>
    <xf numFmtId="0" fontId="64" fillId="0" borderId="0">
      <alignment vertical="center"/>
    </xf>
    <xf numFmtId="0" fontId="65" fillId="0" borderId="0"/>
    <xf numFmtId="0" fontId="8" fillId="0" borderId="0"/>
    <xf numFmtId="0" fontId="66" fillId="0" borderId="0"/>
  </cellStyleXfs>
  <cellXfs count="182">
    <xf numFmtId="0" fontId="0" fillId="0" borderId="0" xfId="0"/>
    <xf numFmtId="0" fontId="11" fillId="0" borderId="0" xfId="1" applyFont="1" applyAlignment="1">
      <alignment horizontal="center" vertical="center"/>
    </xf>
    <xf numFmtId="0" fontId="11" fillId="0" borderId="0" xfId="0" applyFont="1" applyAlignment="1">
      <alignment horizontal="center" vertical="center" wrapText="1"/>
    </xf>
    <xf numFmtId="49" fontId="11" fillId="0" borderId="0" xfId="6" applyNumberFormat="1" applyFont="1" applyAlignment="1">
      <alignment horizontal="center" vertical="center" shrinkToFit="1"/>
    </xf>
    <xf numFmtId="49" fontId="11" fillId="0" borderId="0" xfId="0" applyNumberFormat="1" applyFont="1" applyAlignment="1">
      <alignment horizontal="left" vertical="center"/>
    </xf>
    <xf numFmtId="0" fontId="11" fillId="0" borderId="0" xfId="2" applyFont="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0" fontId="15" fillId="0" borderId="0" xfId="0" applyFont="1" applyAlignment="1">
      <alignment horizontal="center" vertical="center"/>
    </xf>
    <xf numFmtId="0" fontId="15" fillId="0" borderId="0" xfId="0" applyFont="1"/>
    <xf numFmtId="0" fontId="11" fillId="2" borderId="1" xfId="2" applyFont="1" applyFill="1" applyBorder="1" applyAlignment="1">
      <alignment horizontal="center" vertical="center" wrapText="1"/>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0" fontId="20" fillId="0" borderId="1" xfId="0" applyFont="1" applyBorder="1" applyAlignment="1">
      <alignment vertical="center" wrapText="1"/>
    </xf>
    <xf numFmtId="0" fontId="11" fillId="3" borderId="1" xfId="1" applyFont="1" applyFill="1" applyBorder="1" applyAlignment="1">
      <alignment horizontal="center" vertical="center"/>
    </xf>
    <xf numFmtId="0" fontId="11" fillId="0" borderId="0" xfId="8" applyFont="1" applyAlignment="1">
      <alignment horizontal="left" vertical="center"/>
    </xf>
    <xf numFmtId="0" fontId="11" fillId="0" borderId="0" xfId="8" applyFont="1" applyAlignment="1">
      <alignment horizontal="center" vertical="center"/>
    </xf>
    <xf numFmtId="0" fontId="11" fillId="0" borderId="0" xfId="0" applyFont="1" applyAlignment="1">
      <alignment horizontal="left" vertical="center"/>
    </xf>
    <xf numFmtId="0" fontId="14" fillId="4" borderId="1" xfId="8" applyFont="1" applyFill="1" applyBorder="1" applyAlignment="1">
      <alignment horizontal="center" vertical="center"/>
    </xf>
    <xf numFmtId="0" fontId="14" fillId="5" borderId="1" xfId="8" applyFont="1" applyFill="1" applyBorder="1" applyAlignment="1">
      <alignment horizontal="center" vertical="center"/>
    </xf>
    <xf numFmtId="0" fontId="11" fillId="0" borderId="1" xfId="0" applyFont="1" applyBorder="1" applyAlignment="1">
      <alignment horizontal="center" vertical="center"/>
    </xf>
    <xf numFmtId="0" fontId="25" fillId="0" borderId="1" xfId="0" applyFont="1" applyBorder="1" applyAlignment="1">
      <alignment vertical="center"/>
    </xf>
    <xf numFmtId="0" fontId="25"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25" fillId="0" borderId="1" xfId="0" applyFont="1" applyBorder="1" applyAlignment="1">
      <alignment horizontal="center" vertical="center"/>
    </xf>
    <xf numFmtId="0" fontId="43" fillId="6" borderId="1" xfId="0" applyFont="1" applyFill="1" applyBorder="1" applyAlignment="1">
      <alignment horizontal="center" vertical="center"/>
    </xf>
    <xf numFmtId="0" fontId="45" fillId="26" borderId="1" xfId="0" applyFont="1" applyFill="1" applyBorder="1" applyAlignment="1">
      <alignment horizontal="center" vertical="center" wrapText="1"/>
    </xf>
    <xf numFmtId="0" fontId="21" fillId="0" borderId="0" xfId="0" applyFont="1"/>
    <xf numFmtId="0" fontId="21" fillId="0" borderId="1" xfId="0" applyFont="1" applyBorder="1" applyAlignment="1">
      <alignment horizontal="center" vertical="center"/>
    </xf>
    <xf numFmtId="0" fontId="11" fillId="0" borderId="1" xfId="11"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49" fontId="11" fillId="0" borderId="1" xfId="0" applyNumberFormat="1" applyFont="1" applyBorder="1" applyAlignment="1">
      <alignment horizontal="left" vertical="center"/>
    </xf>
    <xf numFmtId="0" fontId="11" fillId="0" borderId="1" xfId="0" applyFont="1" applyBorder="1" applyAlignment="1">
      <alignment horizontal="left" vertical="center" wrapText="1"/>
    </xf>
    <xf numFmtId="0" fontId="25" fillId="0" borderId="1" xfId="2" applyFont="1" applyBorder="1" applyAlignment="1">
      <alignment horizontal="left" vertical="center" wrapText="1"/>
    </xf>
    <xf numFmtId="0" fontId="20" fillId="0" borderId="1" xfId="0" applyFont="1" applyBorder="1" applyAlignment="1">
      <alignment horizontal="left" vertical="center" wrapText="1"/>
    </xf>
    <xf numFmtId="49" fontId="15" fillId="0" borderId="0" xfId="0" applyNumberFormat="1" applyFont="1" applyAlignment="1">
      <alignment horizontal="center" vertical="center" wrapText="1"/>
    </xf>
    <xf numFmtId="0" fontId="15" fillId="0" borderId="1" xfId="0" applyFont="1" applyBorder="1" applyAlignment="1">
      <alignment horizontal="center" vertical="center"/>
    </xf>
    <xf numFmtId="49" fontId="15" fillId="0" borderId="1" xfId="0" applyNumberFormat="1" applyFont="1" applyBorder="1" applyAlignment="1">
      <alignment horizontal="left" vertical="center"/>
    </xf>
    <xf numFmtId="0" fontId="15" fillId="0" borderId="1" xfId="11" applyFont="1" applyBorder="1" applyAlignment="1">
      <alignment horizontal="center" vertical="center"/>
    </xf>
    <xf numFmtId="0" fontId="15" fillId="0" borderId="1" xfId="2" applyFont="1" applyBorder="1" applyAlignment="1">
      <alignment horizontal="center" vertical="center"/>
    </xf>
    <xf numFmtId="0" fontId="48" fillId="0" borderId="8" xfId="0" applyFont="1" applyBorder="1" applyAlignment="1">
      <alignment horizontal="center" vertical="center" wrapText="1"/>
    </xf>
    <xf numFmtId="0" fontId="48" fillId="0" borderId="8" xfId="0" applyFont="1" applyBorder="1" applyAlignment="1">
      <alignment horizontal="center" vertical="center"/>
    </xf>
    <xf numFmtId="0" fontId="15" fillId="0" borderId="1" xfId="0" applyFont="1" applyBorder="1" applyAlignment="1">
      <alignment horizontal="left" vertical="center" wrapText="1"/>
    </xf>
    <xf numFmtId="0" fontId="49" fillId="27"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5" fillId="28" borderId="0" xfId="0" applyFont="1" applyFill="1" applyAlignment="1">
      <alignment horizontal="center" vertical="center"/>
    </xf>
    <xf numFmtId="49" fontId="11" fillId="0" borderId="1" xfId="0" applyNumberFormat="1" applyFont="1" applyBorder="1" applyAlignment="1">
      <alignmen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wrapText="1"/>
    </xf>
    <xf numFmtId="49" fontId="11" fillId="0" borderId="0" xfId="0" applyNumberFormat="1" applyFont="1" applyAlignment="1">
      <alignment horizontal="center" vertical="center" wrapText="1"/>
    </xf>
    <xf numFmtId="49" fontId="15" fillId="0" borderId="1" xfId="2" applyNumberFormat="1" applyFont="1" applyBorder="1" applyAlignment="1">
      <alignment horizontal="left" vertical="center"/>
    </xf>
    <xf numFmtId="0" fontId="15" fillId="0" borderId="8" xfId="0" applyFont="1" applyBorder="1" applyAlignment="1">
      <alignment horizontal="center" vertical="center"/>
    </xf>
    <xf numFmtId="0" fontId="15" fillId="0" borderId="1" xfId="8" applyFont="1" applyBorder="1" applyAlignment="1">
      <alignment horizontal="left" vertical="center" wrapText="1"/>
    </xf>
    <xf numFmtId="0" fontId="15" fillId="0" borderId="0" xfId="8" applyFont="1" applyAlignment="1">
      <alignment horizontal="center" vertical="center"/>
    </xf>
    <xf numFmtId="0" fontId="15" fillId="0" borderId="1" xfId="3" applyFont="1" applyBorder="1" applyAlignment="1">
      <alignment horizontal="center" vertical="center"/>
    </xf>
    <xf numFmtId="0" fontId="11" fillId="0" borderId="0" xfId="11" applyFont="1" applyAlignment="1">
      <alignment horizontal="center" vertical="center"/>
    </xf>
    <xf numFmtId="49" fontId="11" fillId="0" borderId="0" xfId="11" applyNumberFormat="1" applyFont="1" applyAlignment="1">
      <alignment horizontal="left" vertical="center"/>
    </xf>
    <xf numFmtId="0" fontId="11" fillId="0" borderId="0" xfId="11" applyFont="1" applyAlignment="1">
      <alignment horizontal="center" vertical="center" wrapText="1"/>
    </xf>
    <xf numFmtId="0" fontId="15" fillId="0" borderId="1" xfId="0" applyFont="1" applyBorder="1" applyAlignment="1">
      <alignment vertical="center" wrapText="1"/>
    </xf>
    <xf numFmtId="0" fontId="15" fillId="0" borderId="1" xfId="11" applyFont="1" applyBorder="1" applyAlignment="1">
      <alignment horizontal="left" vertical="center"/>
    </xf>
    <xf numFmtId="49" fontId="15" fillId="0" borderId="1" xfId="0" applyNumberFormat="1" applyFont="1" applyBorder="1" applyAlignment="1">
      <alignment horizontal="left" vertical="center" wrapText="1"/>
    </xf>
    <xf numFmtId="49" fontId="11" fillId="0" borderId="1" xfId="0" applyNumberFormat="1" applyFont="1" applyBorder="1" applyAlignment="1">
      <alignment horizontal="left" vertical="center" wrapText="1"/>
    </xf>
    <xf numFmtId="0" fontId="15" fillId="0" borderId="0" xfId="3" applyFont="1" applyAlignment="1">
      <alignment vertical="center"/>
    </xf>
    <xf numFmtId="0" fontId="15" fillId="0" borderId="10" xfId="0" applyFont="1" applyBorder="1" applyAlignment="1">
      <alignment horizontal="center" vertical="center"/>
    </xf>
    <xf numFmtId="0" fontId="11" fillId="0" borderId="1" xfId="11" applyFont="1" applyBorder="1" applyAlignment="1">
      <alignment horizontal="left" vertical="center" wrapText="1"/>
    </xf>
    <xf numFmtId="49" fontId="15" fillId="0" borderId="1" xfId="11" applyNumberFormat="1" applyFont="1" applyBorder="1" applyAlignment="1">
      <alignment horizontal="left" vertical="center" wrapText="1"/>
    </xf>
    <xf numFmtId="0" fontId="21" fillId="29" borderId="1" xfId="0" applyFont="1" applyFill="1" applyBorder="1" applyAlignment="1">
      <alignment horizontal="center" vertical="center"/>
    </xf>
    <xf numFmtId="0" fontId="25" fillId="0" borderId="1" xfId="0" applyFont="1" applyBorder="1" applyAlignment="1">
      <alignment horizontal="left" vertical="center" wrapText="1"/>
    </xf>
    <xf numFmtId="49" fontId="25" fillId="0" borderId="1" xfId="0" applyNumberFormat="1" applyFont="1" applyBorder="1" applyAlignment="1">
      <alignment horizontal="center" vertical="center" wrapText="1"/>
    </xf>
    <xf numFmtId="0" fontId="11" fillId="0" borderId="8" xfId="0" applyFont="1" applyBorder="1" applyAlignment="1">
      <alignment horizontal="center" vertical="center" wrapText="1"/>
    </xf>
    <xf numFmtId="0" fontId="11" fillId="0" borderId="8" xfId="0" applyFont="1" applyBorder="1" applyAlignment="1">
      <alignment horizontal="center" vertical="center"/>
    </xf>
    <xf numFmtId="0" fontId="11" fillId="0" borderId="1" xfId="2" applyFont="1" applyBorder="1" applyAlignment="1">
      <alignment horizontal="center" vertical="center"/>
    </xf>
    <xf numFmtId="49" fontId="11" fillId="0" borderId="1" xfId="5" applyNumberFormat="1" applyFont="1" applyBorder="1" applyAlignment="1">
      <alignment vertical="center" wrapText="1"/>
    </xf>
    <xf numFmtId="49" fontId="11" fillId="0" borderId="1" xfId="2" applyNumberFormat="1" applyFont="1" applyBorder="1" applyAlignment="1">
      <alignment horizontal="left" vertical="center"/>
    </xf>
    <xf numFmtId="0" fontId="11" fillId="0" borderId="1" xfId="2" applyFont="1" applyBorder="1" applyAlignment="1">
      <alignment horizontal="center" vertical="center" wrapText="1"/>
    </xf>
    <xf numFmtId="0" fontId="11" fillId="0" borderId="1" xfId="1" applyFont="1" applyBorder="1" applyAlignment="1">
      <alignment horizontal="center" vertical="center" wrapText="1"/>
    </xf>
    <xf numFmtId="49" fontId="15" fillId="0" borderId="1" xfId="6" applyNumberFormat="1" applyFont="1" applyBorder="1" applyAlignment="1">
      <alignment horizontal="left" vertical="center" shrinkToFit="1"/>
    </xf>
    <xf numFmtId="0" fontId="15" fillId="0" borderId="1" xfId="1" applyFont="1" applyBorder="1" applyAlignment="1">
      <alignment horizontal="center" vertical="center"/>
    </xf>
    <xf numFmtId="0" fontId="15" fillId="0" borderId="1" xfId="8" applyFont="1" applyBorder="1" applyAlignment="1">
      <alignment horizontal="left" vertical="center"/>
    </xf>
    <xf numFmtId="0" fontId="11" fillId="0" borderId="1" xfId="3" applyFont="1" applyBorder="1" applyAlignment="1">
      <alignment horizontal="center" vertical="center"/>
    </xf>
    <xf numFmtId="0" fontId="11" fillId="0" borderId="9" xfId="0" applyFont="1" applyBorder="1" applyAlignment="1">
      <alignment horizontal="center" vertical="center"/>
    </xf>
    <xf numFmtId="49" fontId="11" fillId="0" borderId="1" xfId="11" applyNumberFormat="1" applyFont="1" applyBorder="1" applyAlignment="1">
      <alignment horizontal="left" vertical="center" wrapText="1"/>
    </xf>
    <xf numFmtId="0" fontId="15" fillId="0" borderId="11" xfId="0" applyFont="1" applyBorder="1" applyAlignment="1">
      <alignment horizontal="center" vertical="center"/>
    </xf>
    <xf numFmtId="0" fontId="11" fillId="0" borderId="11" xfId="0" applyFont="1" applyBorder="1" applyAlignment="1">
      <alignment horizontal="center" vertical="center"/>
    </xf>
    <xf numFmtId="0" fontId="15" fillId="0" borderId="1" xfId="0" applyFont="1" applyBorder="1"/>
    <xf numFmtId="14" fontId="15" fillId="0" borderId="1" xfId="0" applyNumberFormat="1" applyFont="1" applyBorder="1" applyAlignment="1">
      <alignment horizontal="center"/>
    </xf>
    <xf numFmtId="49" fontId="15" fillId="0" borderId="1" xfId="0" applyNumberFormat="1" applyFont="1" applyBorder="1" applyAlignment="1">
      <alignment horizontal="center" vertical="center" wrapText="1"/>
    </xf>
    <xf numFmtId="0" fontId="15" fillId="0" borderId="1" xfId="0" applyFont="1" applyBorder="1" applyAlignment="1">
      <alignment wrapText="1"/>
    </xf>
    <xf numFmtId="0" fontId="15" fillId="0" borderId="1" xfId="0" applyFont="1" applyBorder="1" applyAlignment="1">
      <alignment horizontal="center" wrapText="1"/>
    </xf>
    <xf numFmtId="49" fontId="11" fillId="0" borderId="0" xfId="2" applyNumberFormat="1" applyFont="1" applyAlignment="1">
      <alignment horizontal="left" vertical="center"/>
    </xf>
    <xf numFmtId="0" fontId="15" fillId="0" borderId="0" xfId="0" applyFont="1" applyAlignment="1">
      <alignment horizontal="left" vertical="center" wrapText="1"/>
    </xf>
    <xf numFmtId="0" fontId="15" fillId="0" borderId="1" xfId="0" applyFont="1" applyBorder="1" applyAlignment="1">
      <alignment horizontal="left" vertical="top" wrapText="1"/>
    </xf>
    <xf numFmtId="14" fontId="15" fillId="0" borderId="1" xfId="0" applyNumberFormat="1" applyFont="1" applyBorder="1" applyAlignment="1">
      <alignment horizontal="center" vertical="center"/>
    </xf>
    <xf numFmtId="0" fontId="11" fillId="30" borderId="0" xfId="0" applyFont="1" applyFill="1" applyAlignment="1">
      <alignment horizontal="center" vertical="center"/>
    </xf>
    <xf numFmtId="0" fontId="15" fillId="0" borderId="1" xfId="2" applyFont="1" applyBorder="1" applyAlignment="1">
      <alignment horizontal="left" vertical="center" wrapText="1"/>
    </xf>
    <xf numFmtId="0" fontId="11" fillId="0" borderId="1" xfId="0" applyFont="1" applyBorder="1" applyAlignment="1">
      <alignment vertical="center"/>
    </xf>
    <xf numFmtId="0" fontId="15" fillId="0" borderId="1" xfId="2" applyFont="1" applyBorder="1" applyAlignment="1">
      <alignment horizontal="center" vertical="center" wrapText="1"/>
    </xf>
    <xf numFmtId="0" fontId="15" fillId="0" borderId="1" xfId="0" applyFont="1" applyBorder="1" applyAlignment="1">
      <alignment vertical="center"/>
    </xf>
    <xf numFmtId="0" fontId="11" fillId="0" borderId="0" xfId="11" applyFont="1" applyAlignment="1">
      <alignment vertical="center"/>
    </xf>
    <xf numFmtId="0" fontId="11" fillId="0" borderId="0" xfId="145" applyFont="1" applyAlignment="1">
      <alignment horizontal="center" vertical="center"/>
    </xf>
    <xf numFmtId="0" fontId="11" fillId="0" borderId="1" xfId="145" applyFont="1" applyBorder="1" applyAlignment="1">
      <alignment horizontal="center" vertical="center"/>
    </xf>
    <xf numFmtId="0" fontId="11" fillId="0" borderId="1" xfId="145" applyFont="1" applyBorder="1" applyAlignment="1">
      <alignment horizontal="center" vertical="center" wrapText="1"/>
    </xf>
    <xf numFmtId="0" fontId="11" fillId="0" borderId="1" xfId="145" applyFont="1" applyBorder="1" applyAlignment="1">
      <alignment horizontal="left" vertical="center" wrapText="1"/>
    </xf>
    <xf numFmtId="49" fontId="11" fillId="0" borderId="1" xfId="145" applyNumberFormat="1" applyFont="1" applyBorder="1" applyAlignment="1">
      <alignment horizontal="left" vertical="center"/>
    </xf>
    <xf numFmtId="0" fontId="15" fillId="0" borderId="0" xfId="145" applyFont="1" applyAlignment="1">
      <alignment horizontal="center" vertical="center"/>
    </xf>
    <xf numFmtId="0" fontId="15" fillId="0" borderId="1" xfId="145" applyFont="1" applyBorder="1" applyAlignment="1">
      <alignment horizontal="center" vertical="center"/>
    </xf>
    <xf numFmtId="0" fontId="15" fillId="0" borderId="1" xfId="145" applyFont="1" applyBorder="1" applyAlignment="1">
      <alignment horizontal="center" vertical="center" wrapText="1"/>
    </xf>
    <xf numFmtId="49" fontId="15" fillId="0" borderId="1" xfId="145" applyNumberFormat="1" applyFont="1" applyBorder="1" applyAlignment="1">
      <alignment horizontal="left" vertical="center"/>
    </xf>
    <xf numFmtId="49" fontId="15" fillId="0" borderId="1" xfId="145" applyNumberFormat="1" applyFont="1" applyBorder="1" applyAlignment="1">
      <alignment horizontal="left" vertical="center" wrapText="1"/>
    </xf>
    <xf numFmtId="0" fontId="15" fillId="0" borderId="8" xfId="145" applyFont="1" applyBorder="1" applyAlignment="1">
      <alignment horizontal="center" vertical="center"/>
    </xf>
    <xf numFmtId="0" fontId="11" fillId="0" borderId="1" xfId="145" applyFont="1" applyBorder="1" applyAlignment="1">
      <alignment vertical="center" wrapText="1"/>
    </xf>
    <xf numFmtId="0" fontId="15" fillId="0" borderId="0" xfId="11" applyFont="1" applyAlignment="1">
      <alignment horizontal="center" vertical="center" wrapText="1"/>
    </xf>
    <xf numFmtId="0" fontId="25" fillId="0" borderId="1" xfId="11" applyFont="1" applyBorder="1" applyAlignment="1">
      <alignment horizontal="center" vertical="center" wrapText="1"/>
    </xf>
    <xf numFmtId="0" fontId="21" fillId="3" borderId="1" xfId="0" applyFont="1" applyFill="1" applyBorder="1" applyAlignment="1">
      <alignment horizontal="center" vertical="center"/>
    </xf>
    <xf numFmtId="14" fontId="15" fillId="0" borderId="1" xfId="0" applyNumberFormat="1" applyFont="1" applyBorder="1" applyAlignment="1">
      <alignment vertical="center"/>
    </xf>
    <xf numFmtId="0" fontId="15" fillId="0" borderId="0" xfId="0" applyFont="1" applyAlignment="1">
      <alignment horizontal="center"/>
    </xf>
    <xf numFmtId="0" fontId="15" fillId="0" borderId="1" xfId="1" applyFont="1" applyBorder="1" applyAlignment="1">
      <alignment horizontal="center" vertical="center" wrapText="1"/>
    </xf>
    <xf numFmtId="0" fontId="11" fillId="0" borderId="10" xfId="11" applyFont="1" applyBorder="1" applyAlignment="1">
      <alignment horizontal="center" vertical="center"/>
    </xf>
    <xf numFmtId="0" fontId="15" fillId="0" borderId="4" xfId="0" applyFont="1" applyBorder="1" applyAlignment="1">
      <alignment horizontal="center" vertical="center"/>
    </xf>
    <xf numFmtId="0" fontId="11" fillId="0" borderId="1" xfId="11" applyFont="1" applyBorder="1" applyAlignment="1">
      <alignment horizontal="left" vertical="center"/>
    </xf>
    <xf numFmtId="49" fontId="11" fillId="0" borderId="1" xfId="0" applyNumberFormat="1" applyFont="1" applyBorder="1" applyAlignment="1">
      <alignment vertical="center"/>
    </xf>
    <xf numFmtId="0" fontId="11" fillId="0" borderId="1" xfId="3" applyFont="1" applyBorder="1" applyAlignment="1">
      <alignment horizontal="center" vertical="center" wrapText="1"/>
    </xf>
    <xf numFmtId="49" fontId="11" fillId="0" borderId="10" xfId="6" applyNumberFormat="1" applyFont="1" applyBorder="1" applyAlignment="1">
      <alignment horizontal="left" vertical="center" shrinkToFit="1"/>
    </xf>
    <xf numFmtId="49" fontId="11" fillId="0" borderId="1" xfId="6" applyNumberFormat="1" applyFont="1" applyBorder="1" applyAlignment="1">
      <alignment horizontal="left" vertical="center" shrinkToFit="1"/>
    </xf>
    <xf numFmtId="0" fontId="11" fillId="0" borderId="1" xfId="8" applyFont="1" applyBorder="1" applyAlignment="1">
      <alignment horizontal="left" vertical="center"/>
    </xf>
    <xf numFmtId="0" fontId="11" fillId="0" borderId="1" xfId="0" applyFont="1" applyBorder="1" applyAlignment="1">
      <alignment horizontal="center" wrapText="1"/>
    </xf>
    <xf numFmtId="0" fontId="48" fillId="0" borderId="1" xfId="0" applyFont="1" applyBorder="1" applyAlignment="1">
      <alignment horizontal="center" vertical="center"/>
    </xf>
    <xf numFmtId="0" fontId="11" fillId="0" borderId="1" xfId="1" applyFont="1" applyBorder="1" applyAlignment="1">
      <alignment horizontal="center" vertical="center"/>
    </xf>
    <xf numFmtId="49" fontId="11" fillId="0" borderId="1" xfId="8" applyNumberFormat="1" applyFont="1" applyBorder="1" applyAlignment="1">
      <alignment horizontal="left" vertical="top" wrapText="1"/>
    </xf>
    <xf numFmtId="49" fontId="11" fillId="0" borderId="1" xfId="8" applyNumberFormat="1" applyFont="1" applyBorder="1" applyAlignment="1">
      <alignment horizontal="left" vertical="center" wrapText="1"/>
    </xf>
    <xf numFmtId="49" fontId="11" fillId="0" borderId="12" xfId="0" applyNumberFormat="1" applyFont="1" applyBorder="1" applyAlignment="1">
      <alignment horizontal="left" vertical="center"/>
    </xf>
    <xf numFmtId="0" fontId="11" fillId="0" borderId="9" xfId="0" applyFont="1" applyBorder="1" applyAlignment="1">
      <alignment horizontal="center" vertical="center" wrapText="1"/>
    </xf>
    <xf numFmtId="49" fontId="11" fillId="0" borderId="1" xfId="11" applyNumberFormat="1" applyFont="1" applyBorder="1" applyAlignment="1">
      <alignment horizontal="left" vertical="center"/>
    </xf>
    <xf numFmtId="0" fontId="11" fillId="0" borderId="1" xfId="0" applyFont="1" applyBorder="1" applyAlignment="1">
      <alignment horizontal="left" vertical="center"/>
    </xf>
    <xf numFmtId="0" fontId="11" fillId="0" borderId="10" xfId="0" applyFont="1" applyBorder="1" applyAlignment="1">
      <alignment horizontal="center" vertical="center"/>
    </xf>
    <xf numFmtId="49" fontId="11" fillId="0" borderId="1" xfId="0" applyNumberFormat="1" applyFont="1" applyBorder="1" applyAlignment="1">
      <alignment horizontal="center" vertical="center" wrapText="1"/>
    </xf>
    <xf numFmtId="0" fontId="11" fillId="0" borderId="1" xfId="0" applyFont="1" applyBorder="1" applyAlignment="1">
      <alignment horizontal="center"/>
    </xf>
    <xf numFmtId="0" fontId="11" fillId="0" borderId="1" xfId="0" applyFont="1" applyBorder="1" applyAlignment="1">
      <alignment wrapText="1"/>
    </xf>
    <xf numFmtId="0" fontId="48" fillId="0" borderId="1" xfId="0" applyFont="1" applyBorder="1" applyAlignment="1">
      <alignment horizontal="center" vertical="center" wrapText="1"/>
    </xf>
    <xf numFmtId="0" fontId="15" fillId="0" borderId="12" xfId="0" applyFont="1" applyBorder="1" applyAlignment="1">
      <alignment horizontal="center" vertical="center"/>
    </xf>
    <xf numFmtId="0" fontId="11" fillId="0" borderId="13" xfId="11" applyFont="1" applyBorder="1" applyAlignment="1">
      <alignment horizontal="center" vertical="center"/>
    </xf>
    <xf numFmtId="0" fontId="15" fillId="0" borderId="14" xfId="0" applyFont="1" applyBorder="1" applyAlignment="1">
      <alignment horizontal="center" vertical="center"/>
    </xf>
    <xf numFmtId="0" fontId="15" fillId="0" borderId="12" xfId="0" applyFont="1" applyBorder="1" applyAlignment="1">
      <alignment vertical="center" wrapText="1"/>
    </xf>
    <xf numFmtId="0" fontId="11" fillId="0" borderId="1" xfId="2" applyFont="1" applyBorder="1" applyAlignment="1">
      <alignment horizontal="left" vertical="center" wrapText="1"/>
    </xf>
    <xf numFmtId="0" fontId="11" fillId="0" borderId="4" xfId="0" applyFont="1" applyBorder="1" applyAlignment="1">
      <alignment horizontal="center" vertical="center"/>
    </xf>
    <xf numFmtId="0" fontId="11" fillId="0" borderId="12" xfId="0" applyFont="1" applyBorder="1" applyAlignment="1">
      <alignment horizontal="center" vertical="center"/>
    </xf>
    <xf numFmtId="0" fontId="11" fillId="0" borderId="14" xfId="0" applyFont="1" applyBorder="1" applyAlignment="1">
      <alignment horizontal="center" vertical="center"/>
    </xf>
    <xf numFmtId="0" fontId="11" fillId="0" borderId="12" xfId="0" applyFont="1" applyBorder="1" applyAlignment="1">
      <alignment vertical="center" wrapText="1"/>
    </xf>
    <xf numFmtId="0" fontId="25" fillId="0" borderId="1" xfId="0" applyFont="1" applyBorder="1" applyAlignment="1">
      <alignment wrapText="1"/>
    </xf>
    <xf numFmtId="0" fontId="48" fillId="0" borderId="9" xfId="0" applyFont="1" applyBorder="1" applyAlignment="1">
      <alignment horizontal="center" vertical="center"/>
    </xf>
    <xf numFmtId="0" fontId="15" fillId="0" borderId="15" xfId="0" applyFont="1" applyBorder="1" applyAlignment="1">
      <alignment horizontal="center" wrapText="1"/>
    </xf>
    <xf numFmtId="0" fontId="48" fillId="0" borderId="15" xfId="0" applyFont="1" applyBorder="1" applyAlignment="1">
      <alignment horizontal="center" vertical="center"/>
    </xf>
    <xf numFmtId="0" fontId="11" fillId="0" borderId="8" xfId="0" applyFont="1" applyBorder="1" applyAlignment="1">
      <alignment horizontal="center"/>
    </xf>
    <xf numFmtId="49" fontId="49" fillId="27" borderId="1" xfId="6" applyNumberFormat="1" applyFont="1" applyFill="1" applyBorder="1" applyAlignment="1">
      <alignment horizontal="left" vertical="center" shrinkToFit="1"/>
    </xf>
    <xf numFmtId="0" fontId="49" fillId="27" borderId="1" xfId="0" applyFont="1" applyFill="1" applyBorder="1" applyAlignment="1">
      <alignment horizontal="center" vertical="center"/>
    </xf>
    <xf numFmtId="0" fontId="49" fillId="27" borderId="10" xfId="11" applyFont="1" applyFill="1" applyBorder="1" applyAlignment="1">
      <alignment horizontal="center" vertical="center"/>
    </xf>
    <xf numFmtId="0" fontId="49" fillId="27" borderId="11" xfId="0" applyFont="1" applyFill="1" applyBorder="1" applyAlignment="1">
      <alignment horizontal="center" vertical="center"/>
    </xf>
    <xf numFmtId="0" fontId="49" fillId="27" borderId="1" xfId="0" applyFont="1" applyFill="1" applyBorder="1" applyAlignment="1">
      <alignment vertical="center" wrapText="1"/>
    </xf>
    <xf numFmtId="0" fontId="49" fillId="27" borderId="1" xfId="11" applyFont="1" applyFill="1" applyBorder="1" applyAlignment="1">
      <alignment horizontal="center" vertical="center"/>
    </xf>
    <xf numFmtId="0" fontId="49" fillId="31" borderId="1" xfId="8" applyFont="1" applyFill="1" applyBorder="1" applyAlignment="1">
      <alignment horizontal="left" vertical="center" wrapText="1"/>
    </xf>
    <xf numFmtId="0" fontId="15" fillId="0" borderId="1" xfId="144" applyFont="1" applyBorder="1" applyAlignment="1">
      <alignment horizontal="center" vertical="center" wrapText="1"/>
    </xf>
    <xf numFmtId="0" fontId="15" fillId="28" borderId="1" xfId="0" applyFont="1" applyFill="1" applyBorder="1" applyAlignment="1">
      <alignment horizontal="center" vertical="center"/>
    </xf>
    <xf numFmtId="0" fontId="13" fillId="0" borderId="1" xfId="11" applyFont="1" applyBorder="1" applyAlignment="1">
      <alignment horizontal="center" vertical="center"/>
    </xf>
    <xf numFmtId="0" fontId="60" fillId="0" borderId="13" xfId="11" applyFont="1" applyBorder="1" applyAlignment="1">
      <alignment horizontal="center" vertical="center"/>
    </xf>
    <xf numFmtId="0" fontId="60" fillId="0" borderId="16" xfId="11" applyFont="1" applyBorder="1" applyAlignment="1">
      <alignment horizontal="center" vertical="center"/>
    </xf>
    <xf numFmtId="0" fontId="60" fillId="0" borderId="14" xfId="11" applyFont="1" applyBorder="1" applyAlignment="1">
      <alignment horizontal="center" vertical="center"/>
    </xf>
    <xf numFmtId="0" fontId="60" fillId="0" borderId="17" xfId="11" applyFont="1" applyBorder="1" applyAlignment="1">
      <alignment horizontal="center" vertical="center"/>
    </xf>
    <xf numFmtId="0" fontId="60" fillId="0" borderId="18" xfId="11" applyFont="1" applyBorder="1" applyAlignment="1">
      <alignment horizontal="center" vertical="center"/>
    </xf>
    <xf numFmtId="0" fontId="60" fillId="0" borderId="19" xfId="11" applyFont="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vertical="center"/>
    </xf>
    <xf numFmtId="0" fontId="25" fillId="0" borderId="1" xfId="0" applyFont="1" applyBorder="1" applyAlignment="1">
      <alignment horizontal="center" vertical="center"/>
    </xf>
    <xf numFmtId="0" fontId="13" fillId="0" borderId="10" xfId="0" applyFont="1" applyBorder="1" applyAlignment="1">
      <alignment horizontal="center" vertical="center"/>
    </xf>
    <xf numFmtId="0" fontId="13" fillId="0" borderId="4" xfId="0" applyFont="1" applyBorder="1" applyAlignment="1">
      <alignment horizontal="center" vertical="center"/>
    </xf>
    <xf numFmtId="0" fontId="13" fillId="0" borderId="11" xfId="0" applyFont="1" applyBorder="1" applyAlignment="1">
      <alignment horizontal="center" vertical="center"/>
    </xf>
    <xf numFmtId="0" fontId="13" fillId="0" borderId="1" xfId="0" applyFont="1" applyBorder="1" applyAlignment="1">
      <alignment horizontal="center" vertical="center"/>
    </xf>
    <xf numFmtId="0" fontId="11" fillId="0" borderId="1" xfId="0" applyFont="1" applyBorder="1" applyAlignment="1">
      <alignment horizontal="center" vertical="center"/>
    </xf>
    <xf numFmtId="0" fontId="15" fillId="0" borderId="1" xfId="0" applyFont="1" applyBorder="1" applyAlignment="1">
      <alignment horizontal="center" vertical="center"/>
    </xf>
    <xf numFmtId="0" fontId="11" fillId="2" borderId="1" xfId="0" applyFont="1" applyFill="1" applyBorder="1" applyAlignment="1">
      <alignment horizontal="center" vertical="center"/>
    </xf>
    <xf numFmtId="0" fontId="15" fillId="0" borderId="1" xfId="0" applyFont="1" applyFill="1" applyBorder="1" applyAlignment="1">
      <alignment horizontal="center" vertical="center"/>
    </xf>
  </cellXfs>
  <cellStyles count="157">
    <cellStyle name=" 2" xfId="1" xr:uid="{00000000-0005-0000-0000-000000000000}"/>
    <cellStyle name=" 2 2" xfId="18" xr:uid="{00000000-0005-0000-0000-000001000000}"/>
    <cellStyle name=" 2 3" xfId="151" xr:uid="{78D403FE-8FD6-436F-AF40-DB68AF7A2C23}"/>
    <cellStyle name="20% - 强调文字颜色 1" xfId="20" xr:uid="{00000000-0005-0000-0000-000002000000}"/>
    <cellStyle name="20% - 强调文字颜色 1 2" xfId="114" xr:uid="{00000000-0005-0000-0000-000003000000}"/>
    <cellStyle name="20% - 强调文字颜色 2" xfId="21" xr:uid="{00000000-0005-0000-0000-000004000000}"/>
    <cellStyle name="20% - 强调文字颜色 2 2" xfId="115" xr:uid="{00000000-0005-0000-0000-000005000000}"/>
    <cellStyle name="20% - 强调文字颜色 3" xfId="22" xr:uid="{00000000-0005-0000-0000-000006000000}"/>
    <cellStyle name="20% - 强调文字颜色 3 2" xfId="116" xr:uid="{00000000-0005-0000-0000-000007000000}"/>
    <cellStyle name="20% - 强调文字颜色 4" xfId="23" xr:uid="{00000000-0005-0000-0000-000008000000}"/>
    <cellStyle name="20% - 强调文字颜色 4 2" xfId="117" xr:uid="{00000000-0005-0000-0000-000009000000}"/>
    <cellStyle name="20% - 强调文字颜色 5" xfId="24" xr:uid="{00000000-0005-0000-0000-00000A000000}"/>
    <cellStyle name="20% - 强调文字颜色 5 2" xfId="118" xr:uid="{00000000-0005-0000-0000-00000B000000}"/>
    <cellStyle name="20% - 强调文字颜色 6" xfId="25" xr:uid="{00000000-0005-0000-0000-00000C000000}"/>
    <cellStyle name="20% - 强调文字颜色 6 2" xfId="119" xr:uid="{00000000-0005-0000-0000-00000D000000}"/>
    <cellStyle name="20% - 輔色1 2" xfId="26" xr:uid="{00000000-0005-0000-0000-00000E000000}"/>
    <cellStyle name="20% - 輔色2 2" xfId="27" xr:uid="{00000000-0005-0000-0000-00000F000000}"/>
    <cellStyle name="20% - 輔色3 2" xfId="28" xr:uid="{00000000-0005-0000-0000-000010000000}"/>
    <cellStyle name="20% - 輔色4 2" xfId="29" xr:uid="{00000000-0005-0000-0000-000011000000}"/>
    <cellStyle name="20% - 輔色5 2" xfId="30" xr:uid="{00000000-0005-0000-0000-000012000000}"/>
    <cellStyle name="20% - 輔色6 2" xfId="31" xr:uid="{00000000-0005-0000-0000-000013000000}"/>
    <cellStyle name="40% - 强调文字颜色 1" xfId="32" xr:uid="{00000000-0005-0000-0000-000014000000}"/>
    <cellStyle name="40% - 强调文字颜色 1 2" xfId="120" xr:uid="{00000000-0005-0000-0000-000015000000}"/>
    <cellStyle name="40% - 强调文字颜色 2" xfId="33" xr:uid="{00000000-0005-0000-0000-000016000000}"/>
    <cellStyle name="40% - 强调文字颜色 2 2" xfId="121" xr:uid="{00000000-0005-0000-0000-000017000000}"/>
    <cellStyle name="40% - 强调文字颜色 3" xfId="34" xr:uid="{00000000-0005-0000-0000-000018000000}"/>
    <cellStyle name="40% - 强调文字颜色 3 2" xfId="122" xr:uid="{00000000-0005-0000-0000-000019000000}"/>
    <cellStyle name="40% - 强调文字颜色 4" xfId="35" xr:uid="{00000000-0005-0000-0000-00001A000000}"/>
    <cellStyle name="40% - 强调文字颜色 4 2" xfId="123" xr:uid="{00000000-0005-0000-0000-00001B000000}"/>
    <cellStyle name="40% - 强调文字颜色 5" xfId="36" xr:uid="{00000000-0005-0000-0000-00001C000000}"/>
    <cellStyle name="40% - 强调文字颜色 5 2" xfId="124" xr:uid="{00000000-0005-0000-0000-00001D000000}"/>
    <cellStyle name="40% - 强调文字颜色 6" xfId="37" xr:uid="{00000000-0005-0000-0000-00001E000000}"/>
    <cellStyle name="40% - 强调文字颜色 6 2" xfId="125" xr:uid="{00000000-0005-0000-0000-00001F000000}"/>
    <cellStyle name="40% - 輔色1 2" xfId="38" xr:uid="{00000000-0005-0000-0000-000020000000}"/>
    <cellStyle name="40% - 輔色2 2" xfId="39" xr:uid="{00000000-0005-0000-0000-000021000000}"/>
    <cellStyle name="40% - 輔色3 2" xfId="40" xr:uid="{00000000-0005-0000-0000-000022000000}"/>
    <cellStyle name="40% - 輔色4 2" xfId="41" xr:uid="{00000000-0005-0000-0000-000023000000}"/>
    <cellStyle name="40% - 輔色5 2" xfId="42" xr:uid="{00000000-0005-0000-0000-000024000000}"/>
    <cellStyle name="40% - 輔色6 2" xfId="43" xr:uid="{00000000-0005-0000-0000-000025000000}"/>
    <cellStyle name="60% - 强调文字颜色 1" xfId="44" xr:uid="{00000000-0005-0000-0000-000026000000}"/>
    <cellStyle name="60% - 强调文字颜色 2" xfId="45" xr:uid="{00000000-0005-0000-0000-000027000000}"/>
    <cellStyle name="60% - 强调文字颜色 3" xfId="46" xr:uid="{00000000-0005-0000-0000-000028000000}"/>
    <cellStyle name="60% - 强调文字颜色 4" xfId="47" xr:uid="{00000000-0005-0000-0000-000029000000}"/>
    <cellStyle name="60% - 强调文字颜色 5" xfId="48" xr:uid="{00000000-0005-0000-0000-00002A000000}"/>
    <cellStyle name="60% - 强调文字颜色 6" xfId="49" xr:uid="{00000000-0005-0000-0000-00002B000000}"/>
    <cellStyle name="60% - 輔色1 2" xfId="126" xr:uid="{00000000-0005-0000-0000-00002C000000}"/>
    <cellStyle name="60% - 輔色2 2" xfId="127" xr:uid="{00000000-0005-0000-0000-00002D000000}"/>
    <cellStyle name="60% - 輔色3 2" xfId="128" xr:uid="{00000000-0005-0000-0000-00002E000000}"/>
    <cellStyle name="60% - 輔色4 2" xfId="129" xr:uid="{00000000-0005-0000-0000-00002F000000}"/>
    <cellStyle name="60% - 輔色5 2" xfId="130" xr:uid="{00000000-0005-0000-0000-000030000000}"/>
    <cellStyle name="60% - 輔色6 2" xfId="131" xr:uid="{00000000-0005-0000-0000-000031000000}"/>
    <cellStyle name="Calc Currency (0)" xfId="50" xr:uid="{00000000-0005-0000-0000-000032000000}"/>
    <cellStyle name="Calc Currency (2)" xfId="51" xr:uid="{00000000-0005-0000-0000-000033000000}"/>
    <cellStyle name="Calc Percent (0)" xfId="52" xr:uid="{00000000-0005-0000-0000-000034000000}"/>
    <cellStyle name="Calc Percent (1)" xfId="53" xr:uid="{00000000-0005-0000-0000-000035000000}"/>
    <cellStyle name="Calc Percent (2)" xfId="54" xr:uid="{00000000-0005-0000-0000-000036000000}"/>
    <cellStyle name="Calc Units (0)" xfId="55" xr:uid="{00000000-0005-0000-0000-000037000000}"/>
    <cellStyle name="Calc Units (1)" xfId="56" xr:uid="{00000000-0005-0000-0000-000038000000}"/>
    <cellStyle name="Calc Units (2)" xfId="57" xr:uid="{00000000-0005-0000-0000-000039000000}"/>
    <cellStyle name="Comma [0]_#6 Temps &amp; Contractors" xfId="58" xr:uid="{00000000-0005-0000-0000-00003A000000}"/>
    <cellStyle name="Comma [00]" xfId="59" xr:uid="{00000000-0005-0000-0000-00003B000000}"/>
    <cellStyle name="Comma_#6 Temps &amp; Contractors" xfId="60" xr:uid="{00000000-0005-0000-0000-00003C000000}"/>
    <cellStyle name="Currency [0]_#6 Temps &amp; Contractors" xfId="61" xr:uid="{00000000-0005-0000-0000-00003D000000}"/>
    <cellStyle name="Currency [00]" xfId="62" xr:uid="{00000000-0005-0000-0000-00003E000000}"/>
    <cellStyle name="Currency_#6 Temps &amp; Contractors" xfId="63" xr:uid="{00000000-0005-0000-0000-00003F000000}"/>
    <cellStyle name="Date Short" xfId="64" xr:uid="{00000000-0005-0000-0000-000040000000}"/>
    <cellStyle name="DELTA" xfId="65" xr:uid="{00000000-0005-0000-0000-000041000000}"/>
    <cellStyle name="Enter Currency (0)" xfId="66" xr:uid="{00000000-0005-0000-0000-000042000000}"/>
    <cellStyle name="Enter Currency (2)" xfId="67" xr:uid="{00000000-0005-0000-0000-000043000000}"/>
    <cellStyle name="Enter Units (0)" xfId="68" xr:uid="{00000000-0005-0000-0000-000044000000}"/>
    <cellStyle name="Enter Units (1)" xfId="69" xr:uid="{00000000-0005-0000-0000-000045000000}"/>
    <cellStyle name="Enter Units (2)" xfId="70" xr:uid="{00000000-0005-0000-0000-000046000000}"/>
    <cellStyle name="Header1" xfId="71" xr:uid="{00000000-0005-0000-0000-000047000000}"/>
    <cellStyle name="Header2" xfId="72" xr:uid="{00000000-0005-0000-0000-000048000000}"/>
    <cellStyle name="Hyperlink_PLDT" xfId="73" xr:uid="{00000000-0005-0000-0000-000049000000}"/>
    <cellStyle name="Link Currency (0)" xfId="74" xr:uid="{00000000-0005-0000-0000-00004A000000}"/>
    <cellStyle name="Link Currency (2)" xfId="75" xr:uid="{00000000-0005-0000-0000-00004B000000}"/>
    <cellStyle name="Link Units (0)" xfId="76" xr:uid="{00000000-0005-0000-0000-00004C000000}"/>
    <cellStyle name="Link Units (1)" xfId="77" xr:uid="{00000000-0005-0000-0000-00004D000000}"/>
    <cellStyle name="Link Units (2)" xfId="78" xr:uid="{00000000-0005-0000-0000-00004E000000}"/>
    <cellStyle name="Norm੎੎ 2" xfId="2" xr:uid="{00000000-0005-0000-0000-00004F000000}"/>
    <cellStyle name="Norm੎੎ 2 2" xfId="150" xr:uid="{83B7DEE7-1978-4D28-AD18-6ED756E32220}"/>
    <cellStyle name="Normal - Style1" xfId="79" xr:uid="{00000000-0005-0000-0000-000050000000}"/>
    <cellStyle name="Normal 1" xfId="80" xr:uid="{00000000-0005-0000-0000-000051000000}"/>
    <cellStyle name="Normal_# 41-Market &amp;Trends" xfId="81" xr:uid="{00000000-0005-0000-0000-000052000000}"/>
    <cellStyle name="Percent [0]" xfId="82" xr:uid="{00000000-0005-0000-0000-000053000000}"/>
    <cellStyle name="Percent [00]" xfId="83" xr:uid="{00000000-0005-0000-0000-000054000000}"/>
    <cellStyle name="Percent_#6 Temps &amp; Contractors" xfId="84" xr:uid="{00000000-0005-0000-0000-000055000000}"/>
    <cellStyle name="PrePop Currency (0)" xfId="85" xr:uid="{00000000-0005-0000-0000-000056000000}"/>
    <cellStyle name="PrePop Currency (2)" xfId="86" xr:uid="{00000000-0005-0000-0000-000057000000}"/>
    <cellStyle name="PrePop Units (0)" xfId="87" xr:uid="{00000000-0005-0000-0000-000058000000}"/>
    <cellStyle name="PrePop Units (1)" xfId="88" xr:uid="{00000000-0005-0000-0000-000059000000}"/>
    <cellStyle name="PrePop Units (2)" xfId="89" xr:uid="{00000000-0005-0000-0000-00005A000000}"/>
    <cellStyle name="Text Indent A" xfId="90" xr:uid="{00000000-0005-0000-0000-00005B000000}"/>
    <cellStyle name="Text Indent B" xfId="91" xr:uid="{00000000-0005-0000-0000-00005C000000}"/>
    <cellStyle name="Text Indent C" xfId="92" xr:uid="{00000000-0005-0000-0000-00005D000000}"/>
    <cellStyle name="一般" xfId="0" builtinId="0"/>
    <cellStyle name="一般 11" xfId="144" xr:uid="{E418B6AA-02B4-4315-8127-43566A66EE84}"/>
    <cellStyle name="一般 2" xfId="3" xr:uid="{00000000-0005-0000-0000-00005F000000}"/>
    <cellStyle name="一般 2 2" xfId="11" xr:uid="{00000000-0005-0000-0000-000060000000}"/>
    <cellStyle name="一般 2 2 2" xfId="143" xr:uid="{00000000-0005-0000-0000-000061000000}"/>
    <cellStyle name="一般 2 2 2 2" xfId="154" xr:uid="{EA761DD6-56CA-438E-9014-94272267DE26}"/>
    <cellStyle name="一般 2 2 3" xfId="113" xr:uid="{00000000-0005-0000-0000-000062000000}"/>
    <cellStyle name="一般 2 2 3 2" xfId="156" xr:uid="{78FCBE04-A42A-4CB4-9D32-FDCBEA447136}"/>
    <cellStyle name="一般 2 2 4" xfId="148" xr:uid="{F1A9F3BC-8CB4-4A14-A908-DAF2258BA5BF}"/>
    <cellStyle name="一般 2 3" xfId="14" xr:uid="{00000000-0005-0000-0000-000063000000}"/>
    <cellStyle name="一般 2 3 2" xfId="132" xr:uid="{00000000-0005-0000-0000-000064000000}"/>
    <cellStyle name="一般 3" xfId="4" xr:uid="{00000000-0005-0000-0000-000065000000}"/>
    <cellStyle name="一般 3 2" xfId="17" xr:uid="{00000000-0005-0000-0000-000066000000}"/>
    <cellStyle name="一般 3 3" xfId="93" xr:uid="{00000000-0005-0000-0000-000067000000}"/>
    <cellStyle name="一般 4" xfId="9" xr:uid="{00000000-0005-0000-0000-000068000000}"/>
    <cellStyle name="一般 4 2" xfId="15" xr:uid="{00000000-0005-0000-0000-000069000000}"/>
    <cellStyle name="一般 4 3" xfId="153" xr:uid="{1A18B361-C26E-4A5F-B548-FC1F74F08698}"/>
    <cellStyle name="一般 4 4" xfId="155" xr:uid="{46CD7A79-2012-4002-AA32-2E2B152B3C09}"/>
    <cellStyle name="一般 5" xfId="10" xr:uid="{00000000-0005-0000-0000-00006A000000}"/>
    <cellStyle name="一般 5 2" xfId="147" xr:uid="{879D5205-F7F1-4846-8A92-3D89786FDB01}"/>
    <cellStyle name="一般 6" xfId="12" xr:uid="{00000000-0005-0000-0000-00006B000000}"/>
    <cellStyle name="一般 7" xfId="19" xr:uid="{00000000-0005-0000-0000-00006C000000}"/>
    <cellStyle name="一般 8" xfId="145" xr:uid="{1FCE0744-F5E7-4590-9006-E9582E177D13}"/>
    <cellStyle name="一般 9" xfId="146" xr:uid="{14413C1C-6C2D-4C75-9A24-0C39EC22FACC}"/>
    <cellStyle name="一般_EPOS ME BOM" xfId="5" xr:uid="{00000000-0005-0000-0000-00006D000000}"/>
    <cellStyle name="一般_S_BOMP_BomForm_~6274372 2 2" xfId="6" xr:uid="{00000000-0005-0000-0000-00006E000000}"/>
    <cellStyle name="千分位 2" xfId="13" xr:uid="{00000000-0005-0000-0000-000070000000}"/>
    <cellStyle name="汇总" xfId="94" xr:uid="{00000000-0005-0000-0000-00008F000000}"/>
    <cellStyle name="合計 2" xfId="133" xr:uid="{00000000-0005-0000-0000-000071000000}"/>
    <cellStyle name="好 2" xfId="134" xr:uid="{00000000-0005-0000-0000-000072000000}"/>
    <cellStyle name="注释" xfId="95" xr:uid="{00000000-0005-0000-0000-000073000000}"/>
    <cellStyle name="样式 1" xfId="96" xr:uid="{00000000-0005-0000-0000-000074000000}"/>
    <cellStyle name="桁?切? [0.00]_PERSONAL" xfId="97" xr:uid="{00000000-0005-0000-0000-000075000000}"/>
    <cellStyle name="桁?切?_PERSONAL" xfId="98" xr:uid="{00000000-0005-0000-0000-000076000000}"/>
    <cellStyle name="常规 2" xfId="7" xr:uid="{00000000-0005-0000-0000-000077000000}"/>
    <cellStyle name="常规 2 2" xfId="99" xr:uid="{00000000-0005-0000-0000-000078000000}"/>
    <cellStyle name="常规 3" xfId="8" xr:uid="{00000000-0005-0000-0000-000079000000}"/>
    <cellStyle name="常规 3 2" xfId="149" xr:uid="{A8B4B120-B2DA-421D-BEA4-D0A55FCA3A27}"/>
    <cellStyle name="常规 6" xfId="16" xr:uid="{00000000-0005-0000-0000-00007A000000}"/>
    <cellStyle name="常规 6 2" xfId="152" xr:uid="{4D71B347-69DC-48AB-9592-A30A6CCCE932}"/>
    <cellStyle name="貨幣[0]_laroux" xfId="100" xr:uid="{00000000-0005-0000-0000-00007B000000}"/>
    <cellStyle name="通貨 [0.00]_PERSONAL" xfId="101" xr:uid="{00000000-0005-0000-0000-00007C000000}"/>
    <cellStyle name="通貨_PERSONAL" xfId="102" xr:uid="{00000000-0005-0000-0000-00007D000000}"/>
    <cellStyle name="連結的儲存格 2" xfId="135" xr:uid="{00000000-0005-0000-0000-00007E000000}"/>
    <cellStyle name="備註 2" xfId="136" xr:uid="{00000000-0005-0000-0000-00007F000000}"/>
    <cellStyle name="强调文字颜色 1" xfId="103" xr:uid="{00000000-0005-0000-0000-000080000000}"/>
    <cellStyle name="强调文字颜色 2" xfId="104" xr:uid="{00000000-0005-0000-0000-000081000000}"/>
    <cellStyle name="强调文字颜色 3" xfId="105" xr:uid="{00000000-0005-0000-0000-000082000000}"/>
    <cellStyle name="强调文字颜色 4" xfId="106" xr:uid="{00000000-0005-0000-0000-000083000000}"/>
    <cellStyle name="强调文字颜色 5" xfId="107" xr:uid="{00000000-0005-0000-0000-000084000000}"/>
    <cellStyle name="强调文字颜色 6" xfId="108" xr:uid="{00000000-0005-0000-0000-000085000000}"/>
    <cellStyle name="链接单元格" xfId="109" xr:uid="{00000000-0005-0000-0000-000090000000}"/>
    <cellStyle name="輔色1 2" xfId="137" xr:uid="{00000000-0005-0000-0000-000086000000}"/>
    <cellStyle name="輔色2 2" xfId="138" xr:uid="{00000000-0005-0000-0000-000087000000}"/>
    <cellStyle name="輔色3 2" xfId="139" xr:uid="{00000000-0005-0000-0000-000088000000}"/>
    <cellStyle name="輔色4 2" xfId="140" xr:uid="{00000000-0005-0000-0000-000089000000}"/>
    <cellStyle name="輔色5 2" xfId="141" xr:uid="{00000000-0005-0000-0000-00008A000000}"/>
    <cellStyle name="輔色6 2" xfId="142" xr:uid="{00000000-0005-0000-0000-00008B000000}"/>
    <cellStyle name="標準_PERSONAL" xfId="110" xr:uid="{00000000-0005-0000-0000-00008C000000}"/>
    <cellStyle name="艎" xfId="111" xr:uid="{00000000-0005-0000-0000-00008D000000}"/>
    <cellStyle name="艎 2" xfId="112" xr:uid="{00000000-0005-0000-0000-00008E000000}"/>
  </cellStyles>
  <dxfs count="7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fgColor rgb="FFFFFF00"/>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fgColor rgb="FFFFFF00"/>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Medium9"/>
  <colors>
    <mruColors>
      <color rgb="FF0000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2007_03\lily\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ris_li\project\Andy\Vm1\WIN\schedule\WWforecast\MPP_June01_Qu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nm.efoxconn.com/DOCUME~1/F2101856/LOCALS~1/Temp/notes4E85C8/DOCUME~1/d04719/LOCALS~1/Temp/user/s11337/chen/QUOTE/blade%20center/Blade%20Center_CostAnaly_0826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Fannyidg\IMS\Dell\Schedule\DELL-CQ4'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2E998"/>
      <sheetName val="曲線圖"/>
      <sheetName val="iPhone RMA"/>
      <sheetName val="Mrp"/>
      <sheetName val="Detail Schedule"/>
      <sheetName val="OverTime Rule"/>
      <sheetName val="ArchII"/>
      <sheetName val="Detail"/>
      <sheetName val="Vise"/>
      <sheetName val="Xbox"/>
      <sheetName val="Monthly  Report"/>
      <sheetName val="#REF"/>
      <sheetName val="FA300600"/>
      <sheetName val="DELL CELKEM"/>
      <sheetName val="RISER"/>
      <sheetName val="Planner"/>
      <sheetName val="AVALANCHE"/>
      <sheetName val="fin. nákl."/>
      <sheetName val="rez. nakl"/>
      <sheetName val="mzdy"/>
      <sheetName val="PxL"/>
      <sheetName val="VVVVVVVa"/>
      <sheetName val="VVVVVVVb"/>
      <sheetName val="Hardtool Costs"/>
      <sheetName val="Softtool-Proto Costs"/>
      <sheetName val="Packaging Sheet"/>
      <sheetName val="Assembly Costs"/>
      <sheetName val="Min Quoted Qty"/>
      <sheetName val="FA_LISTING"/>
      <sheetName val="base"/>
      <sheetName val="Others"/>
      <sheetName val="Data lists"/>
      <sheetName val="Optiplex"/>
      <sheetName val="Latitude"/>
      <sheetName val="WS"/>
      <sheetName val="Monitor"/>
      <sheetName val="Server"/>
      <sheetName val="DGJコスト"/>
      <sheetName val="その他"/>
      <sheetName val="MFG MVA Assumption"/>
      <sheetName val="Basic Assumption"/>
      <sheetName val="Material List"/>
      <sheetName val="Pre-BOM"/>
      <sheetName val="Master Lists"/>
      <sheetName val="Information"/>
      <sheetName val="3"/>
      <sheetName val="Bom(P1)"/>
      <sheetName val="Issues List"/>
      <sheetName val="Rates"/>
      <sheetName val="2010產能預估"/>
      <sheetName val="Turing DVT1 Yield"/>
      <sheetName val="giathanh1"/>
      <sheetName val="livebox"/>
      <sheetName val="Sep wk1 FATP capa. plan"/>
      <sheetName val="Sel Ops spending"/>
      <sheetName val="Ops cost"/>
      <sheetName val="3-May"/>
      <sheetName val="10-May"/>
      <sheetName val="12-May"/>
      <sheetName val="2-Jun"/>
      <sheetName val="工程"/>
      <sheetName val="人資&amp;總務"/>
      <sheetName val="Turing_DVT1_Yield1"/>
      <sheetName val="Turing_DVT1_Yield"/>
      <sheetName val="Workings"/>
      <sheetName val="SI-1"/>
      <sheetName val="reference"/>
      <sheetName val="ﾀｰｹﾞｯﾄコスト"/>
      <sheetName val="ME-Partlist"/>
      <sheetName val="JUN1 V9.0 POR 06052003"/>
      <sheetName val="DELL_Schedule"/>
      <sheetName val="三.BY區域生產達成曲線及直通率"/>
      <sheetName val="RIQER"/>
      <sheetName val="KKKKKKKK"/>
      <sheetName val="Array2"/>
      <sheetName val="U6_RF"/>
      <sheetName val="MDR"/>
      <sheetName val="A4_-_Issue_Log"/>
      <sheetName val="A1_-_SOX_Project_Objectives"/>
      <sheetName val="董"/>
      <sheetName val="MTL1"/>
      <sheetName val="Burnin"/>
      <sheetName val="預算明細-分項"/>
      <sheetName val="Sheet1"/>
      <sheetName val="XL6Poppy"/>
      <sheetName val="72HY"/>
      <sheetName val="75EX"/>
      <sheetName val="72HX"/>
      <sheetName val="75EY"/>
      <sheetName val="表紙"/>
      <sheetName val="內容"/>
      <sheetName val="工作表函數"/>
      <sheetName val="PLcost"/>
      <sheetName val="pu-Part"/>
      <sheetName val="sm_Pcost"/>
      <sheetName val="iPhone_RMA"/>
      <sheetName val="Turing_DVT1_Yield2"/>
      <sheetName val="DELL_CELKEM"/>
      <sheetName val="fin__nákl_"/>
      <sheetName val="rez__nakl"/>
      <sheetName val="Sep_wk1_FATP_capa__plan"/>
      <sheetName val="Sel_Ops_spending"/>
      <sheetName val="Ops_cost"/>
      <sheetName val="Monthly__Report"/>
      <sheetName val="Data_lists"/>
      <sheetName val="JUN1_V9_0_POR_06052003"/>
      <sheetName val="三_BY區域生產達成曲線及直通率"/>
      <sheetName val="Hardtool_Costs"/>
      <sheetName val="Softtool-Proto_Costs"/>
      <sheetName val="Packaging_Sheet"/>
      <sheetName val="Assembly_Costs"/>
      <sheetName val="Min_Quoted_Qty"/>
      <sheetName val="清冊"/>
      <sheetName val="Input commodity fallout"/>
      <sheetName val="Reporting"/>
      <sheetName val="Jan to Aug"/>
      <sheetName val="_x0000__x0000__x0000__x0000__x0000__x0000__x0000__x0000_"/>
      <sheetName val="C_BF3 MSL _March"/>
      <sheetName val="General Instructions"/>
      <sheetName val="S2895 cost bom"/>
      <sheetName val="All"/>
      <sheetName val="MetricsData"/>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U21_RF IFX"/>
      <sheetName val="U1 Toshiba 16G(878)"/>
      <sheetName val="客戶別"/>
      <sheetName val="外售營收趨勢圖-NEW-OK"/>
      <sheetName val="Input"/>
      <sheetName val="成品current"/>
      <sheetName val="08"/>
      <sheetName val="SCR"/>
      <sheetName val="TNS Input"/>
      <sheetName val="Tables_x"/>
      <sheetName val="PA"/>
      <sheetName val="AsiaPac Natural Class"/>
      <sheetName val="WiFi"/>
      <sheetName val="Laser"/>
      <sheetName val="Data Summary"/>
      <sheetName val="V&amp;I"/>
      <sheetName val="Menu Items"/>
      <sheetName val="Outsourcin PPV (Sep FOL)"/>
      <sheetName val="Blf2+LOM cost bom_080902"/>
      <sheetName val="Cover"/>
      <sheetName val="METAL data"/>
      <sheetName val="Cost Breakdown"/>
      <sheetName val="Internal Hourly Rate"/>
      <sheetName val="Metal Hard Tooling "/>
      <sheetName val="Materials Quarterly"/>
      <sheetName val="Time_Scale"/>
      <sheetName val="Consumables"/>
      <sheetName val="Fab Summary"/>
      <sheetName val="TACT"/>
      <sheetName val="_x005f_x0000__x005f_x0000__x005f_x0000__x005f_x0000__x0"/>
      <sheetName val="pal"/>
      <sheetName val="SheetMetal"/>
      <sheetName val="Overhead calculations"/>
      <sheetName val="SPM Units"/>
      <sheetName val="期初B"/>
      <sheetName val="Receiving Inspection"/>
      <sheetName val="&quot;B&quot; Quote Model"/>
      <sheetName val="Overhead summary"/>
      <sheetName val="ISRDATA"/>
      <sheetName val="eBOM"/>
      <sheetName val="204BOM"/>
      <sheetName val="BB Table"/>
      <sheetName val="6"/>
      <sheetName val="Sheet2"/>
      <sheetName val="零件清單"/>
      <sheetName val="database"/>
      <sheetName val="9906"/>
      <sheetName val="Kod3 Table"/>
      <sheetName val="Lookup Tables"/>
      <sheetName val="綜合2"/>
      <sheetName val="Inputs"/>
      <sheetName val="Working"/>
      <sheetName val="UU"/>
      <sheetName val="CKD BE HC Table"/>
      <sheetName val="PARTS"/>
      <sheetName val="生產計劃"/>
      <sheetName val="非機種"/>
      <sheetName val="統計処理(H)"/>
      <sheetName val="統計?理(H)"/>
      <sheetName val="2003 Target"/>
      <sheetName val="Shipments"/>
      <sheetName val="万年历"/>
      <sheetName val="2003 prod2"/>
      <sheetName val="產能明細"/>
      <sheetName val="Macro1"/>
      <sheetName val="D_ASIA_PVT"/>
      <sheetName val="VERSION-TABLE"/>
      <sheetName val="七.8S專案稽核報表"/>
      <sheetName val="庫齡板 Daily"/>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U21_RF_IFX"/>
      <sheetName val="U1_Toshiba_16G(878)"/>
      <sheetName val="Debug check list"/>
      <sheetName val="WIP_STATION_REPAIR_Q"/>
      <sheetName val="主副工單結案"/>
      <sheetName val="Data"/>
      <sheetName val="未達標項目改善對策跟進表"/>
      <sheetName val="June wk3"/>
      <sheetName val="自定義"/>
      <sheetName val="Capacity By Modle"/>
      <sheetName val="614-BOM"/>
      <sheetName val="7-教育訓練實施狀況（2）-OK "/>
      <sheetName val="華中SQM部KPI達成狀況"/>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WKS P1 Personel output "/>
      <sheetName val="Improve plan orientation"/>
      <sheetName val="Dell NSK MDS LRR"/>
      <sheetName val="WI MODEM及SCAN"/>
      <sheetName val="Rosa "/>
      <sheetName val="plan"/>
      <sheetName val="FAE reports"/>
      <sheetName val="Stock"/>
      <sheetName val="主線維修WIP統計"/>
      <sheetName val="問題點"/>
      <sheetName val="法規課84上半年經營實績"/>
      <sheetName val="AMR"/>
      <sheetName val="AJ&amp;AP"/>
      <sheetName val="emea"/>
      <sheetName val="????????"/>
      <sheetName val="F&amp;E"/>
      <sheetName val="All Parts"/>
      <sheetName val="销售记录"/>
      <sheetName val="Slim Merlot Block Diagram"/>
      <sheetName val="總結報告"/>
      <sheetName val="趨勢分析"/>
      <sheetName val="比對分析"/>
      <sheetName val="Cork"/>
      <sheetName val="________"/>
      <sheetName val="A58"/>
      <sheetName val="A58 2012"/>
      <sheetName val="Demand&amp;Supply"/>
      <sheetName val="TOOL"/>
      <sheetName val="wsp 12-03"/>
      <sheetName val="TOTAL"/>
      <sheetName val="Mix"/>
      <sheetName val="ABO"/>
      <sheetName val="Forwarder_Plan"/>
      <sheetName val="EFFA Error Code"/>
      <sheetName val="intel target"/>
      <sheetName val="L02-1F 制十三課維修層別CG報廢狀況 "/>
      <sheetName val="L02-1F 制十三課維修層別HSG報廢狀況 "/>
      <sheetName val="Multibay Optical"/>
      <sheetName val="原因分析"/>
      <sheetName val="DateConv"/>
      <sheetName val="Panelization"/>
      <sheetName val="GlassAreaSumamry"/>
      <sheetName val="DemAll"/>
      <sheetName val="YsizeA"/>
      <sheetName val="inspect capa"/>
      <sheetName val="General Inputs"/>
      <sheetName val="Inventory Trend"/>
      <sheetName val="WAT 分析報表 "/>
      <sheetName val="Sheet5"/>
      <sheetName val="金屬SQM部"/>
      <sheetName val="非金屬SQM部"/>
      <sheetName val="管理中心 KPI達成情況總覽及趨勢分析"/>
      <sheetName val="五湖SQM部KPI目標"/>
      <sheetName val="匯總"/>
      <sheetName val="model"/>
      <sheetName val="資料庫"/>
      <sheetName val="Index"/>
      <sheetName val="MAP"/>
      <sheetName val="查詢補發扣檔"/>
      <sheetName val="Size"/>
      <sheetName val="核算项目明细表"/>
      <sheetName val="Raw Data"/>
      <sheetName val="Actuals"/>
      <sheetName val="actual_PL"/>
      <sheetName val="forecast_sales"/>
      <sheetName val="forecast_PL"/>
      <sheetName val="Comps"/>
      <sheetName val="銀行存款"/>
      <sheetName val="標準與實際成本差異分析（對內銷售）"/>
      <sheetName val="Project"/>
      <sheetName val="ME Overall Summary"/>
      <sheetName val="_x005f_x005f_x005f_x0000__x005f_x005f_x005f_x0000__x005"/>
      <sheetName val="統計_理(H)"/>
      <sheetName val="Glossary"/>
      <sheetName val="Proto 1"/>
      <sheetName val="Metal_list"/>
      <sheetName val="LIST"/>
      <sheetName val="L1 SP"/>
      <sheetName val="L1 CA"/>
      <sheetName val="L1 CD"/>
      <sheetName val="L1 HD"/>
      <sheetName val="codes"/>
      <sheetName val="GSO's File"/>
      <sheetName val="Dean's File"/>
      <sheetName val="ExportData"/>
      <sheetName val="IA1"/>
      <sheetName val="21R4167"/>
      <sheetName val="small card 基本資料0216_04"/>
      <sheetName val="09"/>
      <sheetName val="_x005f_x005f_x005f_x005f_x005f_x005f_x005f_x0000__x005f"/>
      <sheetName val="Day1精實人力"/>
      <sheetName val="詳細資料"/>
      <sheetName val="Cosmetic MIL"/>
      <sheetName val="Data Index"/>
      <sheetName val="Data Verify"/>
      <sheetName val="工作表1"/>
      <sheetName val="截止單據"/>
      <sheetName val="Data sheet"/>
      <sheetName val="1.4"/>
      <sheetName val="1.25"/>
      <sheetName val="H11"/>
      <sheetName val="H1+UPH!$B$11"/>
      <sheetName val="POH"/>
      <sheetName val="mfgquote"/>
      <sheetName val="ESTG"/>
      <sheetName val="ADSL MPS"/>
      <sheetName val="TE Plan"/>
      <sheetName val="C3111"/>
      <sheetName val="貿Meitu7"/>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線體名稱&amp;配置&amp;機種料號對照表"/>
      <sheetName val="HDa16"/>
      <sheetName val="稅後淨利趨勢圖-$"/>
      <sheetName val="稅後淨利趨勢圖-%"/>
      <sheetName val="費用趨勢圖-NEW"/>
      <sheetName val="廠內存貨"/>
      <sheetName val="Rank"/>
      <sheetName val="Commodity"/>
      <sheetName val="Freemode Item TOPX Yield"/>
      <sheetName val="Shot"/>
      <sheetName val="CTO PO"/>
      <sheetName val="ZNC67"/>
      <sheetName val="Entry-Mid FRU"/>
      <sheetName val="部門階層"/>
      <sheetName val="Summary"/>
      <sheetName val="ENG_1_Workmanship_Defect"/>
      <sheetName val="BANFF"/>
      <sheetName val="_x0000__x0000__x0000__x0000__x0"/>
      <sheetName val="_x005f_x0000__x005f_x0000__x005"/>
      <sheetName val="物料規格"/>
      <sheetName val="Ramp"/>
      <sheetName val="Gantt"/>
      <sheetName val="Def"/>
      <sheetName val="T1 Tact Time"/>
      <sheetName val="T1-PVD &amp; CVD release chamber調查表"/>
      <sheetName val="Dry etch release chamber"/>
      <sheetName val="inspection tact time"/>
      <sheetName val="inspection capa."/>
      <sheetName val="Material Category Summary"/>
      <sheetName val="表三甲"/>
      <sheetName val="master"/>
      <sheetName val="2月收入成本明?表"/>
      <sheetName val="?人欠款??分析表"/>
      <sheetName val="2005MPS"/>
      <sheetName val="Priority Item issue"/>
      <sheetName val="Change History"/>
      <sheetName val="Test coverage"/>
      <sheetName val="TFB RL Aging Day"/>
      <sheetName val="GL Sales"/>
      <sheetName val="Starter Export"/>
      <sheetName val="Labour"/>
      <sheetName val="Index(匯率)"/>
      <sheetName val="PNref"/>
      <sheetName val="Capacity_By_Modle"/>
      <sheetName val="intel_target"/>
      <sheetName val="周邊預算明細"/>
      <sheetName val="G18出勤工時及UPPH (2)"/>
      <sheetName val="QIP SMT"/>
      <sheetName val="UD1 QIT report"/>
      <sheetName val="PO-K類"/>
      <sheetName val="追加預算2"/>
      <sheetName val="General info"/>
      <sheetName val="加班时数"/>
      <sheetName val="仪校仪器月报 (2)"/>
      <sheetName val="周生產"/>
      <sheetName val="一厂"/>
      <sheetName val="1.13"/>
      <sheetName val="Menu_Items"/>
      <sheetName val="0518"/>
      <sheetName val="0414data"/>
      <sheetName val="Sheet2_(2)"/>
      <sheetName val="Blf2+LOM_cost_bom_080902"/>
      <sheetName val="UP_DB1"/>
      <sheetName val="Intel_Lan_+_AD1885_EBOM"/>
      <sheetName val="0512MB"/>
      <sheetName val="Gage_R&amp;R_-_ANOVA_Method"/>
      <sheetName val="選項"/>
      <sheetName val="CT"/>
      <sheetName val="Dbase"/>
      <sheetName val="RATE"/>
      <sheetName val="Cp_Cpk_15"/>
      <sheetName val="Fixture_Kickoff"/>
      <sheetName val="Scenario1-Fixture"/>
      <sheetName val="TABLES"/>
      <sheetName val="Subs"/>
      <sheetName val="Sign_Off"/>
      <sheetName val="Hous_Rates"/>
      <sheetName val="Anah_Rates"/>
      <sheetName val="Minn_Rates"/>
      <sheetName val="Mont_Rates"/>
      <sheetName val="MonthMapping"/>
      <sheetName val="Formulas"/>
      <sheetName val="An_pack"/>
      <sheetName val="Part_Data"/>
      <sheetName val="Toolplan"/>
      <sheetName val="All_Parts"/>
      <sheetName val="PartsList"/>
      <sheetName val="Paso_Rates"/>
      <sheetName val="生產計劃表"/>
      <sheetName val="Sheet4"/>
      <sheetName val="Engers"/>
      <sheetName val="Equipment_List_(CBD_format)"/>
      <sheetName val="Valores"/>
      <sheetName val="Lud_Rates"/>
      <sheetName val="Calimero_BOM"/>
      <sheetName val="311910-006"/>
      <sheetName val="311910-003"/>
      <sheetName val="311910-004"/>
      <sheetName val="311910-005"/>
      <sheetName val="311910-013"/>
      <sheetName val="311910-012"/>
      <sheetName val="311910-023"/>
      <sheetName val="311910-022"/>
      <sheetName val="Schedule Gantt Chart"/>
      <sheetName val="報價"/>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Version_Control"/>
      <sheetName val="Initial_Input"/>
      <sheetName val="Cpk-Cav1"/>
      <sheetName val="Yield-temp"/>
      <sheetName val="樣口投料控管"/>
      <sheetName val="Broadway"/>
      <sheetName val="JGP Holidays"/>
      <sheetName val="Logistic"/>
      <sheetName val="Prepaid"/>
      <sheetName val="project data"/>
      <sheetName val="Cashflow"/>
      <sheetName val="exchange rate"/>
      <sheetName val="Ex"/>
      <sheetName val="Comm Matrix"/>
      <sheetName val="MTBF_check"/>
      <sheetName val="TFCSBU01"/>
      <sheetName val="原因分析 "/>
      <sheetName val="Line Down Report Rule"/>
      <sheetName val="Definition"/>
      <sheetName val="2FDAY"/>
      <sheetName val="KT1 Qual"/>
      <sheetName val="active"/>
      <sheetName val="FA FPY"/>
      <sheetName val="选取栏"/>
      <sheetName val="Pilot Run"/>
      <sheetName val="주E95711"/>
      <sheetName val="Valid Values"/>
      <sheetName val="liste"/>
      <sheetName val="Mat Summary"/>
      <sheetName val="Baseline &amp; Summary"/>
      <sheetName val="Team List"/>
      <sheetName val="A-Note Bug list"/>
      <sheetName val="SelectValue"/>
      <sheetName val="Fixed sg&amp;A "/>
      <sheetName val="Vol 2"/>
      <sheetName val="Vol 1"/>
      <sheetName val="D.Lab"/>
      <sheetName val="Fixed Factory Overheads"/>
      <sheetName val="Matl Burden"/>
      <sheetName val="pcbo 工時"/>
      <sheetName val="Macros"/>
      <sheetName val="daily"/>
      <sheetName val="Pre-Runin"/>
      <sheetName val="bal_sheet"/>
      <sheetName val="Pebble FAE reports"/>
      <sheetName val="Overall Summary "/>
      <sheetName val="Sheet1 (2)"/>
      <sheetName val="AIR (Inbound material)"/>
      <sheetName val="WKXWKB"/>
      <sheetName val="9K3"/>
      <sheetName val="多層板M"/>
      <sheetName val="TEMPMAT9308"/>
      <sheetName val="Line balance"/>
      <sheetName val="132499"/>
      <sheetName val="QIP_SMT"/>
      <sheetName val="UD1_QIT_report"/>
      <sheetName val="Line_balance"/>
      <sheetName val="SBB Table"/>
      <sheetName val="Product Map"/>
      <sheetName val="Sheet3"/>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zsdr82 Tab."/>
      <sheetName val="Note"/>
      <sheetName val="Raw BOMS"/>
      <sheetName val="_x005f_x005f_x005f_x005f_x005f_x005f_x005f_x005f_x005f_x005f_"/>
      <sheetName val="CORAM"/>
      <sheetName val="RAMReceive"/>
      <sheetName val="Nimitz Base Cover"/>
      <sheetName val="FA Definitions"/>
      <sheetName val="FCT August"/>
      <sheetName val="FO"/>
      <sheetName val="Assy"/>
      <sheetName val="Parameter"/>
      <sheetName val="Sales"/>
      <sheetName val="Assumptions"/>
      <sheetName val="Part Data"/>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Entity table"/>
      <sheetName val="3-In-1 Chart OTD"/>
      <sheetName val="#REF!"/>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Freight Breakdown"/>
      <sheetName val="AI"/>
      <sheetName val="TopandBtmsideSMT"/>
      <sheetName val="Schedule"/>
      <sheetName val="Inventory_Turns"/>
      <sheetName val="On-line_FCT"/>
      <sheetName val="Part_Names"/>
      <sheetName val="BLUFORD_R12"/>
      <sheetName val="BoxBuild"/>
      <sheetName val="PrdMatrix"/>
      <sheetName val="BudgetFY00"/>
      <sheetName val="Philips_-_AOL"/>
      <sheetName val="Bluford3_MB_BOM-Intel_LAN"/>
      <sheetName val="ManualAssyandWaveSolder"/>
      <sheetName val="129_COA"/>
      <sheetName val="Q406_incoming"/>
      <sheetName val="Test"/>
      <sheetName val="Dec99"/>
      <sheetName val="Microsoft"/>
      <sheetName val="Compaq"/>
      <sheetName val="Palm"/>
      <sheetName val="Cisco"/>
      <sheetName val="Adtran"/>
      <sheetName val="FinalAssy"/>
      <sheetName val="ACT_VS_FCST"/>
      <sheetName val="Sheet_6"/>
      <sheetName val="Job2005"/>
      <sheetName val="8-09-02"/>
      <sheetName val="Master_List"/>
      <sheetName val="Cover_sheet"/>
      <sheetName val="MENU"/>
      <sheetName val="Motorola_-_GI"/>
      <sheetName val="Motorola_-_Zenith"/>
      <sheetName val="Price_Summary"/>
      <sheetName val="QuoteSummary"/>
      <sheetName val="Philips_-_WebTV"/>
      <sheetName val="Nov"/>
      <sheetName val="Offline"/>
      <sheetName val="Packing"/>
      <sheetName val="Prep"/>
      <sheetName val="Quote_Data"/>
      <sheetName val="STDVGL"/>
      <sheetName val="Intel"/>
      <sheetName val="Verifone"/>
      <sheetName val="New_Workings"/>
      <sheetName val="Sum_Sheet"/>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VI1 Test Result"/>
      <sheetName val="Viewing angles"/>
      <sheetName val="ant. B"/>
      <sheetName val="Elec.&amp;SW"/>
      <sheetName val="Test Summary"/>
      <sheetName val="NR3L IRT parts"/>
      <sheetName val="PM01-F09"/>
      <sheetName val="ver3.0 (LTM170EU)"/>
      <sheetName val="Value"/>
      <sheetName val="Texas-M SJC"/>
      <sheetName val="Country List"/>
      <sheetName val="COG"/>
      <sheetName val="VI1_Test_Result"/>
      <sheetName val="Viewing_angles"/>
      <sheetName val="KT1_Qual"/>
      <sheetName val="ant__B"/>
      <sheetName val="Elec_&amp;SW"/>
      <sheetName val="Test_Summary"/>
      <sheetName val="NR3L_IRT_parts"/>
      <sheetName val="ver3_0_(LTM170EU)"/>
      <sheetName val="Sheet6"/>
      <sheetName val="MPS Q3 FY04"/>
      <sheetName val="MPS Q4 FY04"/>
      <sheetName val="Summary definition"/>
      <sheetName val="人力對比"/>
      <sheetName val="Raggie-T3工時(13.5K)V.1"/>
      <sheetName val="Trend chart"/>
      <sheetName val="FATP MLB LOSS"/>
      <sheetName val="FCT Test"/>
      <sheetName val="²M¥U"/>
      <sheetName val="Building Blocks"/>
      <sheetName val="Configurations"/>
      <sheetName val="Master List"/>
      <sheetName val="Inforun"/>
      <sheetName val="총조"/>
      <sheetName val="ITEM"/>
      <sheetName val="실행계획1-7"/>
      <sheetName val="재공현황"/>
      <sheetName val="현우실적"/>
      <sheetName val="Process List"/>
      <sheetName val="GB5RF040-1202-7H"/>
      <sheetName val="1.營收獲利推移圖"/>
      <sheetName val="反攻料號成本規劃"/>
      <sheetName val="VOC產能"/>
      <sheetName val="Bondi Display Back"/>
      <sheetName val="BC"/>
      <sheetName val="CBT"/>
      <sheetName val="36 Mexico"/>
      <sheetName val="0501HUB"/>
      <sheetName val="2250"/>
      <sheetName val="On Hand"/>
      <sheetName val="BF3_Jan_Cost"/>
      <sheetName val="Q_K810VU+939 CostBOM_Rev012004"/>
      <sheetName val="Liteon"/>
      <sheetName val="External Data"/>
      <sheetName val="A Shift"/>
      <sheetName val="B Shift"/>
      <sheetName val="C Shift"/>
      <sheetName val="D Shift"/>
      <sheetName val="4X3.5 Chassis"/>
      <sheetName val="Saturday"/>
      <sheetName val="Sunday"/>
      <sheetName val="Monday"/>
      <sheetName val="Tuesday"/>
      <sheetName val="Wednesday"/>
      <sheetName val="Thursday"/>
      <sheetName val="Friday"/>
      <sheetName val="Int'l Summary"/>
      <sheetName val="Port Summary"/>
      <sheetName val="00000000"/>
      <sheetName val="Source"/>
      <sheetName val="Settings"/>
      <sheetName val="????_x0"/>
      <sheetName val="zasset"/>
      <sheetName val="L02-1F 制十三課維修層ꀥ돛㴣_x0000_Ԁ̙_x0000_"/>
      <sheetName val="L02-1F 制十三課維修層%_x0000_Ԁ_x0000_退⊃鰛_x0002__x0000_"/>
      <sheetName val="L02-1F 制十三課維修層ꀥ돛㴣"/>
      <sheetName val="L02-1F 制十三課維修層逥飢怅_x0000_Ԁ栙_x0000_"/>
      <sheetName val="L02-1F 制十三課維修層%_x0000_Ԁ_x0000__x0000_䙑䟆_x0002__x0000_"/>
      <sheetName val="L02-1F 制十三課維修層%_x0000_Ԁ_x0000_ꀀ卅囐_x0002__x0000_"/>
      <sheetName val="L02-1F 制十三課維修層%_x0000_Ԁ_x0000_倀镂᱒_x0002__x0000_"/>
      <sheetName val="L02-1F 制十三課維修層%_x0000_Ԁ_x0000_　瓔੎_x0002__x0000_"/>
      <sheetName val="By Action"/>
      <sheetName val="By Owner"/>
      <sheetName val="직원신상"/>
      <sheetName val="離職率"/>
      <sheetName val="Location"/>
      <sheetName val="Post IN Award NegCorvette Tower"/>
      <sheetName val="lists"/>
      <sheetName val="耗材趨勢圖（刀具）"/>
      <sheetName val="2006MPS"/>
      <sheetName val="Master List MU%  "/>
      <sheetName val="LCD"/>
      <sheetName val="Drop Down List"/>
      <sheetName val="Price Summary"/>
      <sheetName val="商业街广场"/>
      <sheetName val="Bearlake 4 SKUs conbimed_"/>
      <sheetName val="CCD master file"/>
      <sheetName val="Asus_BOM"/>
      <sheetName val="ALLOCATION"/>
      <sheetName val="Start"/>
      <sheetName val="Expedite Cost"/>
      <sheetName val="3FPKW Commodities"/>
      <sheetName val="INSTRUCTIONS (do not remove)"/>
      <sheetName val="Q_BF3 FBOM-update011504 (2)"/>
      <sheetName val="2009 Unit Price"/>
      <sheetName val="2009Forecast QTY "/>
      <sheetName val="New Workings"/>
      <sheetName val="LaborDetail"/>
      <sheetName val="DEFAULTS-Override"/>
      <sheetName val="MaterialDetail"/>
      <sheetName val="P &amp; L"/>
      <sheetName val="P&amp;LDetail"/>
      <sheetName val="NCVM"/>
      <sheetName val="Mont Rates"/>
      <sheetName val="PL &amp; VS"/>
      <sheetName val="PN &amp; PL"/>
      <sheetName val="SMI Aging Analysis Data"/>
      <sheetName val="Door Access (2)"/>
      <sheetName val="Tempos"/>
      <sheetName val="daily data Orchid"/>
      <sheetName val="OP"/>
      <sheetName val="RIRER"/>
      <sheetName val="hibak"/>
      <sheetName val="NPI"/>
      <sheetName val="ROIC"/>
      <sheetName val="Inventory Turns"/>
      <sheetName val="Indirect Labour"/>
      <sheetName val="Call Down Data OLD"/>
      <sheetName val="Master GW v3 Sorted"/>
      <sheetName val="Labor Input Data"/>
      <sheetName val="Material Input Data"/>
      <sheetName val="Quantity Input Data"/>
      <sheetName val="Lookup"/>
      <sheetName val="VAM Report Input"/>
      <sheetName val="Summary Revenue"/>
      <sheetName val="Molding Data"/>
      <sheetName val="Input Table"/>
      <sheetName val="Molding Outputs"/>
      <sheetName val="part_costs"/>
      <sheetName val="20748-1"/>
      <sheetName val="20748-2"/>
      <sheetName val="20748-3"/>
      <sheetName val="20748-4"/>
      <sheetName val="DOE Config"/>
      <sheetName val="Main"/>
      <sheetName val="Report"/>
      <sheetName val="TEXT"/>
      <sheetName val="Matl usage"/>
      <sheetName val="Matl totals"/>
      <sheetName val="ShipTo Locations"/>
      <sheetName val="Displays"/>
      <sheetName val="Guide"/>
      <sheetName val="HVT2 SMT"/>
      <sheetName val="Ship to addresses"/>
      <sheetName val="Yield %s"/>
      <sheetName val="standard input"/>
      <sheetName val="Waterfall "/>
      <sheetName val="Percent_online"/>
      <sheetName val="AMD MB FBOM_010303"/>
      <sheetName val="Mock Up"/>
      <sheetName val="BF3 MB cost _0708 from MSL"/>
      <sheetName val="RickelsRFQPWA# 2"/>
      <sheetName val="Management Review"/>
      <sheetName val="32&quot; Part list"/>
      <sheetName val="32&quot; Summary"/>
      <sheetName val="_x005f_x005f_x005f_x0000__x005f"/>
      <sheetName val="_x005f_x005f_x005f_x005f_"/>
      <sheetName val="定義選項"/>
      <sheetName val="Detail_Schedule"/>
      <sheetName val="OverTime_Rule"/>
      <sheetName val="GSO's_File"/>
      <sheetName val="Dean's_File"/>
      <sheetName val="FAE_reports"/>
      <sheetName val="small_card_基本資料0216_04"/>
      <sheetName val="Dell_NSK_MDS_LRR"/>
      <sheetName val="WI_MODEM及SCAN"/>
      <sheetName val="Rosa_"/>
      <sheetName val="A-Note_Bug_list"/>
      <sheetName val="AMD_MB_FBOM_010303"/>
      <sheetName val="Mat_Summary"/>
      <sheetName val="Mock_Up"/>
      <sheetName val="Team_List"/>
      <sheetName val="BF3_MB_cost__0708_from_MSL"/>
      <sheetName val="Proto_1"/>
      <sheetName val="Raw_BOMS"/>
      <sheetName val="WKS_P1_Personel_output_"/>
      <sheetName val="Improve_plan_orientation"/>
      <sheetName val="Data_Summary"/>
      <sheetName val="L1_SP"/>
      <sheetName val="L1_CA"/>
      <sheetName val="L1_CD"/>
      <sheetName val="L1_HD"/>
      <sheetName val="project_data"/>
      <sheetName val="exchange_rate"/>
      <sheetName val="Comm_Matrix"/>
      <sheetName val="RickelsRFQPWA#_2"/>
      <sheetName val="Management_Review"/>
      <sheetName val="32&quot;_Part_list"/>
      <sheetName val="32&quot;_Summary"/>
      <sheetName val="DELL_CELKEM3"/>
      <sheetName val="fin__nákl_3"/>
      <sheetName val="rez__nakl3"/>
      <sheetName val="Hardtool_Costs3"/>
      <sheetName val="Softtool-Proto_Costs3"/>
      <sheetName val="Packaging_Sheet3"/>
      <sheetName val="Assembly_Costs3"/>
      <sheetName val="Min_Quoted_Qty3"/>
      <sheetName val="Master_Lists2"/>
      <sheetName val="Turing_DVT1_Yield5"/>
      <sheetName val="TNS_Input2"/>
      <sheetName val="iPhone_RMA3"/>
      <sheetName val="Data_lists3"/>
      <sheetName val="Kod3_Table2"/>
      <sheetName val="Issues_List2"/>
      <sheetName val="Detail_Schedule2"/>
      <sheetName val="OverTime_Rule2"/>
      <sheetName val="GSO's_File2"/>
      <sheetName val="Dean's_File2"/>
      <sheetName val="FAE_reports2"/>
      <sheetName val="small_card_基本資料0216_042"/>
      <sheetName val="Dell_NSK_MDS_LRR2"/>
      <sheetName val="WI_MODEM及SCAN2"/>
      <sheetName val="Rosa_2"/>
      <sheetName val="Blf2+LOM_cost_bom_0809022"/>
      <sheetName val="MFG_MVA_Assumption2"/>
      <sheetName val="Basic_Assumption2"/>
      <sheetName val="Material_List2"/>
      <sheetName val="Receiving_Inspection2"/>
      <sheetName val="A-Note_Bug_list2"/>
      <sheetName val="AMD_MB_FBOM_0103032"/>
      <sheetName val="&quot;B&quot;_Quote_Model2"/>
      <sheetName val="Mat_Summary2"/>
      <sheetName val="Mock_Up2"/>
      <sheetName val="Team_List2"/>
      <sheetName val="BF3_MB_cost__0708_from_MSL2"/>
      <sheetName val="Proto_12"/>
      <sheetName val="Raw_BOMS2"/>
      <sheetName val="Debug_check_list2"/>
      <sheetName val="Sep_wk1_FATP_capa__plan3"/>
      <sheetName val="Sel_Ops_spending3"/>
      <sheetName val="Ops_cost3"/>
      <sheetName val="U21_RF_IFX3"/>
      <sheetName val="Monthly__Report3"/>
      <sheetName val="JUN1_V9_0_POR_060520033"/>
      <sheetName val="三_BY區域生產達成曲線及直通率3"/>
      <sheetName val="WKS_P1_Personel_output_2"/>
      <sheetName val="Improve_plan_orientation2"/>
      <sheetName val="Input_commodity_fallout2"/>
      <sheetName val="AsiaPac_Natural_Class2"/>
      <sheetName val="U1_Toshiba_16G(878)3"/>
      <sheetName val="七_8S專案稽核報表2"/>
      <sheetName val="庫齡板_Daily2"/>
      <sheetName val="C_BF3_MSL__March2"/>
      <sheetName val="General_Instructions2"/>
      <sheetName val="S2895_cost_bom2"/>
      <sheetName val="Capacity_By_Modle2"/>
      <sheetName val="Materials_Quarterly2"/>
      <sheetName val="Fab_Summary2"/>
      <sheetName val="Jan_to_Aug2"/>
      <sheetName val="Data_Summary2"/>
      <sheetName val="Menu_Items2"/>
      <sheetName val="Outsourcin_PPV_(Sep_FOL)2"/>
      <sheetName val="METAL_data2"/>
      <sheetName val="Cost_Breakdown2"/>
      <sheetName val="Internal_Hourly_Rate2"/>
      <sheetName val="Metal_Hard_Tooling_2"/>
      <sheetName val="L1_SP2"/>
      <sheetName val="L1_CA2"/>
      <sheetName val="L1_CD2"/>
      <sheetName val="L1_HD2"/>
      <sheetName val="BB_Table2"/>
      <sheetName val="project_data2"/>
      <sheetName val="exchange_rate2"/>
      <sheetName val="Comm_Matrix2"/>
      <sheetName val="RickelsRFQPWA#_22"/>
      <sheetName val="Management_Review2"/>
      <sheetName val="Part_Data2"/>
      <sheetName val="32&quot;_Part_list2"/>
      <sheetName val="32&quot;_Summary2"/>
      <sheetName val="DELL_CELKEM2"/>
      <sheetName val="fin__nákl_2"/>
      <sheetName val="rez__nakl2"/>
      <sheetName val="Hardtool_Costs2"/>
      <sheetName val="Softtool-Proto_Costs2"/>
      <sheetName val="Packaging_Sheet2"/>
      <sheetName val="Assembly_Costs2"/>
      <sheetName val="Min_Quoted_Qty2"/>
      <sheetName val="Master_Lists1"/>
      <sheetName val="Turing_DVT1_Yield4"/>
      <sheetName val="TNS_Input1"/>
      <sheetName val="iPhone_RMA2"/>
      <sheetName val="Data_lists2"/>
      <sheetName val="Kod3_Table1"/>
      <sheetName val="Issues_List1"/>
      <sheetName val="Detail_Schedule1"/>
      <sheetName val="OverTime_Rule1"/>
      <sheetName val="GSO's_File1"/>
      <sheetName val="Dean's_File1"/>
      <sheetName val="FAE_reports1"/>
      <sheetName val="small_card_基本資料0216_041"/>
      <sheetName val="Dell_NSK_MDS_LRR1"/>
      <sheetName val="WI_MODEM及SCAN1"/>
      <sheetName val="Rosa_1"/>
      <sheetName val="Blf2+LOM_cost_bom_0809021"/>
      <sheetName val="MFG_MVA_Assumption1"/>
      <sheetName val="Basic_Assumption1"/>
      <sheetName val="Material_List1"/>
      <sheetName val="Receiving_Inspection1"/>
      <sheetName val="A-Note_Bug_list1"/>
      <sheetName val="AMD_MB_FBOM_0103031"/>
      <sheetName val="&quot;B&quot;_Quote_Model1"/>
      <sheetName val="Mat_Summary1"/>
      <sheetName val="Mock_Up1"/>
      <sheetName val="Team_List1"/>
      <sheetName val="BF3_MB_cost__0708_from_MSL1"/>
      <sheetName val="Proto_11"/>
      <sheetName val="Raw_BOMS1"/>
      <sheetName val="Debug_check_list1"/>
      <sheetName val="Sep_wk1_FATP_capa__plan2"/>
      <sheetName val="Sel_Ops_spending2"/>
      <sheetName val="Ops_cost2"/>
      <sheetName val="U21_RF_IFX2"/>
      <sheetName val="Monthly__Report2"/>
      <sheetName val="JUN1_V9_0_POR_060520032"/>
      <sheetName val="三_BY區域生產達成曲線及直通率2"/>
      <sheetName val="WKS_P1_Personel_output_1"/>
      <sheetName val="Improve_plan_orientation1"/>
      <sheetName val="Input_commodity_fallout1"/>
      <sheetName val="AsiaPac_Natural_Class1"/>
      <sheetName val="U1_Toshiba_16G(878)2"/>
      <sheetName val="七_8S專案稽核報表1"/>
      <sheetName val="庫齡板_Daily1"/>
      <sheetName val="C_BF3_MSL__March1"/>
      <sheetName val="General_Instructions1"/>
      <sheetName val="S2895_cost_bom1"/>
      <sheetName val="Capacity_By_Modle1"/>
      <sheetName val="Materials_Quarterly1"/>
      <sheetName val="Fab_Summary1"/>
      <sheetName val="Jan_to_Aug1"/>
      <sheetName val="Data_Summary1"/>
      <sheetName val="Menu_Items1"/>
      <sheetName val="Outsourcin_PPV_(Sep_FOL)1"/>
      <sheetName val="METAL_data1"/>
      <sheetName val="Cost_Breakdown1"/>
      <sheetName val="Internal_Hourly_Rate1"/>
      <sheetName val="Metal_Hard_Tooling_1"/>
      <sheetName val="L1_SP1"/>
      <sheetName val="L1_CA1"/>
      <sheetName val="L1_CD1"/>
      <sheetName val="L1_HD1"/>
      <sheetName val="BB_Table1"/>
      <sheetName val="project_data1"/>
      <sheetName val="exchange_rate1"/>
      <sheetName val="Comm_Matrix1"/>
      <sheetName val="RickelsRFQPWA#_21"/>
      <sheetName val="Management_Review1"/>
      <sheetName val="Part_Data1"/>
      <sheetName val="32&quot;_Part_list1"/>
      <sheetName val="32&quot;_Summary1"/>
      <sheetName val="_x005f_x005f_x005f_x005f_x005f_x005f_x005f_x005f_"/>
      <sheetName val="Lucy_Cayenne RoHS Material Cost"/>
      <sheetName val="Cayenne RoHS-0726"/>
      <sheetName val="5C Sum"/>
      <sheetName val="ODM OWN cost by month"/>
      <sheetName val="Dropdown I"/>
      <sheetName val="Dropdwon II"/>
      <sheetName val="Detailed Quote (AIO)"/>
      <sheetName val="Freight"/>
      <sheetName val="4. Detailed quote"/>
      <sheetName val="cost table 201501"/>
      <sheetName val="Reason Codes"/>
      <sheetName val="FA300600.xls"/>
      <sheetName val="数据暂存"/>
      <sheetName val="_3 (2)"/>
      <sheetName val="AIR_(Inbound_material)"/>
      <sheetName val="Dropdown_I"/>
      <sheetName val="Dropdwon_II"/>
      <sheetName val="Detailed_Quote_(AIO)"/>
      <sheetName val="Sheet1_(2)2"/>
      <sheetName val="Sheet1_(2)1"/>
      <sheetName val="Sheet1_(2)"/>
      <sheetName val="【產品標示單-綠】_"/>
      <sheetName val="CPH_Level_of_Machine"/>
      <sheetName val="2003_Target"/>
      <sheetName val="2003_prod2"/>
      <sheetName val="SupplierBaseInput"/>
      <sheetName val="數據來源"/>
      <sheetName val="MPM"/>
      <sheetName val="蘆竹"/>
      <sheetName val="TY9007本勞"/>
      <sheetName val="SFIS_Data_WW31"/>
      <sheetName val="ESSM_Syst"/>
      <sheetName val="蘆竹5月薪"/>
      <sheetName val="PCSM"/>
      <sheetName val="PRVF"/>
      <sheetName val="Quantity_WW31"/>
      <sheetName val="BSF"/>
      <sheetName val="Sheet1_(2)3"/>
      <sheetName val="委外工單結案率"/>
      <sheetName val="連絡書１"/>
      <sheetName val="DELL_CELKEM4"/>
      <sheetName val="fin__nákl_4"/>
      <sheetName val="rez__nakl4"/>
      <sheetName val="Sheet1_(2)4"/>
      <sheetName val="Setup"/>
      <sheetName val="DELL_CELKEM5"/>
      <sheetName val="fin__nákl_5"/>
      <sheetName val="rez__nakl5"/>
      <sheetName val="Sheet1_(2)5"/>
      <sheetName val="Error Groups"/>
      <sheetName val="RCSPlan"/>
      <sheetName val="组装LB2"/>
      <sheetName val="sm Pcost"/>
      <sheetName val="Data-MS"/>
      <sheetName val="Total transition plan"/>
      <sheetName val="IP-1 INSP-CAV #2"/>
      <sheetName val="HGA ENG"/>
      <sheetName val="產能分析"/>
      <sheetName val="FLX Consolflxidated"/>
      <sheetName val="Lsc"/>
      <sheetName val="daily quality summary"/>
      <sheetName val="K8M800_MBOM"/>
      <sheetName val="Bluford3 MB BOM-Intel LAN"/>
      <sheetName val="G8WZA5 PKG部品表"/>
      <sheetName val="by supplier(value)"/>
      <sheetName val="Calculation"/>
      <sheetName val="1492分攤"/>
      <sheetName val="差异分攤"/>
      <sheetName val="FRU Cost"/>
      <sheetName val="TE"/>
      <sheetName val="工作表2"/>
      <sheetName val="下拉菜单备用页"/>
      <sheetName val="EC Charge"/>
      <sheetName val="Rework"/>
      <sheetName val="3-FPYR"/>
      <sheetName val="RAMP UP(SMT)"/>
      <sheetName val="MACRO"/>
      <sheetName val="選單類別"/>
      <sheetName val="Pilot_Run"/>
      <sheetName val="Valid_Values"/>
      <sheetName val="Baseline_&amp;_Summary"/>
      <sheetName val="Fixed_sg&amp;A_"/>
      <sheetName val="Vol_2"/>
      <sheetName val="Vol_1"/>
      <sheetName val="D_Lab"/>
      <sheetName val="Fixed_Factory_Overheads"/>
      <sheetName val="Matl_Burden"/>
      <sheetName val="pcbo_工時"/>
      <sheetName val="Pebble_FAE_reports"/>
      <sheetName val="FA_FPY"/>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Overhead_calculations1"/>
      <sheetName val="SPM_Units1"/>
      <sheetName val="Overhead_summary1"/>
      <sheetName val="Lookup_Tables1"/>
      <sheetName val="7-教育訓練實施狀況（2）-OK_"/>
      <sheetName val="June_wk3"/>
      <sheetName val="CKD_BE_HC_Table"/>
      <sheetName val="Slim_Merlot_Block_Diagram"/>
      <sheetName val="Multibay_Optical"/>
      <sheetName val="EFFA_Error_Code"/>
      <sheetName val="1_4"/>
      <sheetName val="1_25"/>
      <sheetName val="L02-1F_制十三課維修層別CG報廢狀況_"/>
      <sheetName val="L02-1F_制十三課維修層別HSG報廢狀況_"/>
      <sheetName val="A58_2012"/>
      <sheetName val="wsp_12-03"/>
      <sheetName val="inspect_capa"/>
      <sheetName val="General_Inputs"/>
      <sheetName val="Inventory_Trend"/>
      <sheetName val="WAT_分析報表_"/>
      <sheetName val="ME_Overall_Summary"/>
      <sheetName val="管理中心_KPI達成情況總覽及趨勢分析"/>
      <sheetName val="Cosmetic_MIL"/>
      <sheetName val="Data_Index"/>
      <sheetName val="Data_Verify"/>
      <sheetName val="Data_sheet"/>
      <sheetName val="ADSL_MPS"/>
      <sheetName val="TE_Plan"/>
      <sheetName val="FRU_Cost"/>
      <sheetName val="Freemode_Item_TOPX_Yield"/>
      <sheetName val="CTO_PO"/>
      <sheetName val="Entry-Mid_FRU"/>
      <sheetName val="Raw_Data"/>
      <sheetName val="T1_Tact_Time"/>
      <sheetName val="T1-PVD_&amp;_CVD_release_chamber調查表"/>
      <sheetName val="Dry_etch_release_chamber"/>
      <sheetName val="inspection_tact_time"/>
      <sheetName val="inspection_capa_"/>
      <sheetName val="Material_Category_Summary"/>
      <sheetName val="COMMMON_POOL拆分"/>
      <sheetName val="NJ_MM"/>
      <sheetName val="RSMI_2016_09_調整"/>
      <sheetName val="Line_Down_Report_Rule"/>
      <sheetName val="Overall_Summary_"/>
      <sheetName val="Drop_Down_List"/>
      <sheetName val="Int'l_Summary"/>
      <sheetName val="Port_Summary"/>
      <sheetName val="EC_Charge"/>
      <sheetName val="RAMP_UP(SMT)"/>
      <sheetName val="OUTPUTS"/>
      <sheetName val="OUTPUTS-Override"/>
      <sheetName val="INPUTS-Specials"/>
      <sheetName val="FINAL"/>
      <sheetName val="BR$$$"/>
      <sheetName val="Mechanical Assembly-Mission-MT"/>
      <sheetName val="Import Freight"/>
      <sheetName val="Material Group"/>
      <sheetName val="Item Class"/>
      <sheetName val="Antenna Window"/>
      <sheetName val="_____x0"/>
      <sheetName val="Master_Lists3"/>
      <sheetName val="Hardtool_Costs4"/>
      <sheetName val="Softtool-Proto_Costs4"/>
      <sheetName val="Packaging_Sheet4"/>
      <sheetName val="Assembly_Costs4"/>
      <sheetName val="Min_Quoted_Qty4"/>
      <sheetName val="Turing_DVT1_Yield6"/>
      <sheetName val="TNS_Input3"/>
      <sheetName val="iPhone_RMA4"/>
      <sheetName val="Data_lists4"/>
      <sheetName val="Kod3_Table3"/>
      <sheetName val="Issues_List3"/>
      <sheetName val="MFG_MVA_Assumption3"/>
      <sheetName val="Basic_Assumption3"/>
      <sheetName val="Material_List3"/>
      <sheetName val="Debug_check_list3"/>
      <sheetName val="Sep_wk1_FATP_capa__plan4"/>
      <sheetName val="Sel_Ops_spending4"/>
      <sheetName val="Ops_cost4"/>
      <sheetName val="U21_RF_IFX4"/>
      <sheetName val="Monthly__Report4"/>
      <sheetName val="JUN1_V9_0_POR_060520034"/>
      <sheetName val="三_BY區域生產達成曲線及直通率4"/>
      <sheetName val="Input_commodity_fallout3"/>
      <sheetName val="AsiaPac_Natural_Class3"/>
      <sheetName val="U1_Toshiba_16G(878)4"/>
      <sheetName val="七_8S專案稽核報表3"/>
      <sheetName val="庫齡板_Daily3"/>
      <sheetName val="C_BF3_MSL__March3"/>
      <sheetName val="General_Instructions3"/>
      <sheetName val="S2895_cost_bom3"/>
      <sheetName val="Materials_Quarterly3"/>
      <sheetName val="Fab_Summary3"/>
      <sheetName val="Jan_to_Aug3"/>
      <sheetName val="Cost_Breakdown3"/>
      <sheetName val="BB_Table3"/>
      <sheetName val="Pilot_Run2"/>
      <sheetName val="Valid_Values2"/>
      <sheetName val="Baseline_&amp;_Summary2"/>
      <sheetName val="KT1_Qual2"/>
      <sheetName val="Fixed_sg&amp;A_2"/>
      <sheetName val="Vol_22"/>
      <sheetName val="Vol_12"/>
      <sheetName val="D_Lab2"/>
      <sheetName val="Fixed_Factory_Overheads2"/>
      <sheetName val="Matl_Burden2"/>
      <sheetName val="pcbo_工時2"/>
      <sheetName val="Pebble_FAE_reports2"/>
      <sheetName val="FA_FPY2"/>
      <sheetName val="WW_($)3"/>
      <sheetName val="$AMF_(T)3"/>
      <sheetName val="Metheor_2GHz3"/>
      <sheetName val="Green_Lantern_sound3"/>
      <sheetName val="GL_snd_2GHz3"/>
      <sheetName val="Green_Lantern_No_sound3"/>
      <sheetName val="GL_nsnd_2GHz3"/>
      <sheetName val="Tesla_Respin3"/>
      <sheetName val="AMF_($)3"/>
      <sheetName val="EMF_($)3"/>
      <sheetName val="APCC_($)3"/>
      <sheetName val="CCC_($)3"/>
      <sheetName val="Brazil_($)3"/>
      <sheetName val="Risers_($)3"/>
      <sheetName val="Servers_($)3"/>
      <sheetName val="Overhead_calculations3"/>
      <sheetName val="SPM_Units3"/>
      <sheetName val="Receiving_Inspection3"/>
      <sheetName val="&quot;B&quot;_Quote_Model3"/>
      <sheetName val="Overhead_summary3"/>
      <sheetName val="Lookup_Tables3"/>
      <sheetName val="7-教育訓練實施狀況（2）-OK_2"/>
      <sheetName val="June_wk32"/>
      <sheetName val="CKD_BE_HC_Table2"/>
      <sheetName val="2003_Target2"/>
      <sheetName val="2003_prod22"/>
      <sheetName val="Slim_Merlot_Block_Diagram2"/>
      <sheetName val="All_Parts2"/>
      <sheetName val="intel_target2"/>
      <sheetName val="Multibay_Optical2"/>
      <sheetName val="EFFA_Error_Code2"/>
      <sheetName val="1_42"/>
      <sheetName val="1_252"/>
      <sheetName val="L02-1F_制十三課維修層別CG報廢狀況_2"/>
      <sheetName val="L02-1F_制十三課維修層別HSG報廢狀況_2"/>
      <sheetName val="A58_20122"/>
      <sheetName val="wsp_12-032"/>
      <sheetName val="inspect_capa2"/>
      <sheetName val="General_Inputs2"/>
      <sheetName val="Inventory_Trend2"/>
      <sheetName val="WAT_分析報表_2"/>
      <sheetName val="ME_Overall_Summary2"/>
      <sheetName val="管理中心_KPI達成情況總覽及趨勢分析2"/>
      <sheetName val="Cosmetic_MIL2"/>
      <sheetName val="Data_Index2"/>
      <sheetName val="Data_Verify2"/>
      <sheetName val="Data_sheet2"/>
      <sheetName val="ADSL_MPS2"/>
      <sheetName val="TE_Plan2"/>
      <sheetName val="FRU_Cost2"/>
      <sheetName val="Pilot_Run1"/>
      <sheetName val="Valid_Values1"/>
      <sheetName val="Baseline_&amp;_Summary1"/>
      <sheetName val="KT1_Qual1"/>
      <sheetName val="Fixed_sg&amp;A_1"/>
      <sheetName val="Vol_21"/>
      <sheetName val="Vol_11"/>
      <sheetName val="D_Lab1"/>
      <sheetName val="Fixed_Factory_Overheads1"/>
      <sheetName val="Matl_Burden1"/>
      <sheetName val="pcbo_工時1"/>
      <sheetName val="Pebble_FAE_reports1"/>
      <sheetName val="FA_FPY1"/>
      <sheetName val="WW_($)2"/>
      <sheetName val="$AMF_(T)2"/>
      <sheetName val="Metheor_2GHz2"/>
      <sheetName val="Green_Lantern_sound2"/>
      <sheetName val="GL_snd_2GHz2"/>
      <sheetName val="Green_Lantern_No_sound2"/>
      <sheetName val="GL_nsnd_2GHz2"/>
      <sheetName val="Tesla_Respin2"/>
      <sheetName val="AMF_($)2"/>
      <sheetName val="EMF_($)2"/>
      <sheetName val="APCC_($)2"/>
      <sheetName val="CCC_($)2"/>
      <sheetName val="Brazil_($)2"/>
      <sheetName val="Risers_($)2"/>
      <sheetName val="Servers_($)2"/>
      <sheetName val="Overhead_calculations2"/>
      <sheetName val="SPM_Units2"/>
      <sheetName val="Overhead_summary2"/>
      <sheetName val="Lookup_Tables2"/>
      <sheetName val="7-教育訓練實施狀況（2）-OK_1"/>
      <sheetName val="June_wk31"/>
      <sheetName val="CKD_BE_HC_Table1"/>
      <sheetName val="2003_Target1"/>
      <sheetName val="2003_prod21"/>
      <sheetName val="Slim_Merlot_Block_Diagram1"/>
      <sheetName val="All_Parts1"/>
      <sheetName val="intel_target1"/>
      <sheetName val="Multibay_Optical1"/>
      <sheetName val="EFFA_Error_Code1"/>
      <sheetName val="1_41"/>
      <sheetName val="1_251"/>
      <sheetName val="L02-1F_制十三課維修層別CG報廢狀況_1"/>
      <sheetName val="L02-1F_制十三課維修層別HSG報廢狀況_1"/>
      <sheetName val="A58_20121"/>
      <sheetName val="wsp_12-031"/>
      <sheetName val="inspect_capa1"/>
      <sheetName val="General_Inputs1"/>
      <sheetName val="Inventory_Trend1"/>
      <sheetName val="WAT_分析報表_1"/>
      <sheetName val="ME_Overall_Summary1"/>
      <sheetName val="管理中心_KPI達成情況總覽及趨勢分析1"/>
      <sheetName val="Cosmetic_MIL1"/>
      <sheetName val="Data_Index1"/>
      <sheetName val="Data_Verify1"/>
      <sheetName val="Data_sheet1"/>
      <sheetName val="ADSL_MPS1"/>
      <sheetName val="TE_Plan1"/>
      <sheetName val="FRU_Cost1"/>
      <sheetName val="Detail_Schedule3"/>
      <sheetName val="OverTime_Rule3"/>
      <sheetName val="Master_Lists4"/>
      <sheetName val="GSO's_File3"/>
      <sheetName val="Dean's_File3"/>
      <sheetName val="FAE_reports3"/>
      <sheetName val="small_card_基本資料0216_043"/>
      <sheetName val="Dell_NSK_MDS_LRR3"/>
      <sheetName val="WI_MODEM及SCAN3"/>
      <sheetName val="Rosa_3"/>
      <sheetName val="Hardtool_Costs5"/>
      <sheetName val="Softtool-Proto_Costs5"/>
      <sheetName val="Packaging_Sheet5"/>
      <sheetName val="Assembly_Costs5"/>
      <sheetName val="Min_Quoted_Qty5"/>
      <sheetName val="Turing_DVT1_Yield7"/>
      <sheetName val="TNS_Input4"/>
      <sheetName val="iPhone_RMA5"/>
      <sheetName val="Data_lists5"/>
      <sheetName val="Kod3_Table4"/>
      <sheetName val="Blf2+LOM_cost_bom_0809023"/>
      <sheetName val="Issues_List4"/>
      <sheetName val="MFG_MVA_Assumption4"/>
      <sheetName val="Basic_Assumption4"/>
      <sheetName val="Material_List4"/>
      <sheetName val="Debug_check_list4"/>
      <sheetName val="Sep_wk1_FATP_capa__plan5"/>
      <sheetName val="Sel_Ops_spending5"/>
      <sheetName val="Ops_cost5"/>
      <sheetName val="U21_RF_IFX5"/>
      <sheetName val="Monthly__Report5"/>
      <sheetName val="JUN1_V9_0_POR_060520035"/>
      <sheetName val="三_BY區域生產達成曲線及直通率5"/>
      <sheetName val="WKS_P1_Personel_output_3"/>
      <sheetName val="Improve_plan_orientation3"/>
      <sheetName val="Input_commodity_fallout4"/>
      <sheetName val="AsiaPac_Natural_Class4"/>
      <sheetName val="U1_Toshiba_16G(878)5"/>
      <sheetName val="七_8S專案稽核報表4"/>
      <sheetName val="庫齡板_Daily4"/>
      <sheetName val="C_BF3_MSL__March4"/>
      <sheetName val="General_Instructions4"/>
      <sheetName val="S2895_cost_bom4"/>
      <sheetName val="Capacity_By_Modle3"/>
      <sheetName val="Materials_Quarterly4"/>
      <sheetName val="Fab_Summary4"/>
      <sheetName val="Jan_to_Aug4"/>
      <sheetName val="Data_Summary3"/>
      <sheetName val="Menu_Items3"/>
      <sheetName val="Outsourcin_PPV_(Sep_FOL)3"/>
      <sheetName val="METAL_data3"/>
      <sheetName val="Cost_Breakdown4"/>
      <sheetName val="Internal_Hourly_Rate3"/>
      <sheetName val="Metal_Hard_Tooling_3"/>
      <sheetName val="Proto_13"/>
      <sheetName val="L1_SP3"/>
      <sheetName val="L1_CA3"/>
      <sheetName val="L1_CD3"/>
      <sheetName val="L1_HD3"/>
      <sheetName val="BB_Table4"/>
      <sheetName val="project_data3"/>
      <sheetName val="exchange_rate3"/>
      <sheetName val="Comm_Matrix3"/>
      <sheetName val="Pilot_Run3"/>
      <sheetName val="Valid_Values3"/>
      <sheetName val="Mat_Summary3"/>
      <sheetName val="Baseline_&amp;_Summary3"/>
      <sheetName val="Team_List3"/>
      <sheetName val="KT1_Qual3"/>
      <sheetName val="A-Note_Bug_list3"/>
      <sheetName val="Fixed_sg&amp;A_3"/>
      <sheetName val="Vol_23"/>
      <sheetName val="Vol_13"/>
      <sheetName val="D_Lab3"/>
      <sheetName val="Fixed_Factory_Overheads3"/>
      <sheetName val="Matl_Burden3"/>
      <sheetName val="pcbo_工時3"/>
      <sheetName val="Pebble_FAE_reports3"/>
      <sheetName val="FA_FPY3"/>
      <sheetName val="WW_($)4"/>
      <sheetName val="$AMF_(T)4"/>
      <sheetName val="Metheor_2GHz4"/>
      <sheetName val="Green_Lantern_sound4"/>
      <sheetName val="GL_snd_2GHz4"/>
      <sheetName val="Green_Lantern_No_sound4"/>
      <sheetName val="GL_nsnd_2GHz4"/>
      <sheetName val="Tesla_Respin4"/>
      <sheetName val="AMF_($)4"/>
      <sheetName val="EMF_($)4"/>
      <sheetName val="APCC_($)4"/>
      <sheetName val="CCC_($)4"/>
      <sheetName val="Brazil_($)4"/>
      <sheetName val="Risers_($)4"/>
      <sheetName val="Servers_($)4"/>
      <sheetName val="Overhead_calculations4"/>
      <sheetName val="SPM_Units4"/>
      <sheetName val="Receiving_Inspection4"/>
      <sheetName val="&quot;B&quot;_Quote_Model4"/>
      <sheetName val="Overhead_summary4"/>
      <sheetName val="Lookup_Tables4"/>
      <sheetName val="7-教育訓練實施狀況（2）-OK_3"/>
      <sheetName val="June_wk33"/>
      <sheetName val="CKD_BE_HC_Table3"/>
      <sheetName val="2003_Target3"/>
      <sheetName val="2003_prod23"/>
      <sheetName val="Slim_Merlot_Block_Diagram3"/>
      <sheetName val="All_Parts3"/>
      <sheetName val="intel_target3"/>
      <sheetName val="Multibay_Optical3"/>
      <sheetName val="EFFA_Error_Code3"/>
      <sheetName val="1_43"/>
      <sheetName val="1_253"/>
      <sheetName val="L02-1F_制十三課維修層別CG報廢狀況_3"/>
      <sheetName val="L02-1F_制十三課維修層別HSG報廢狀況_3"/>
      <sheetName val="A58_20123"/>
      <sheetName val="wsp_12-033"/>
      <sheetName val="inspect_capa3"/>
      <sheetName val="General_Inputs3"/>
      <sheetName val="Inventory_Trend3"/>
      <sheetName val="WAT_分析報表_3"/>
      <sheetName val="ME_Overall_Summary3"/>
      <sheetName val="管理中心_KPI達成情況總覽及趨勢分析3"/>
      <sheetName val="Cosmetic_MIL3"/>
      <sheetName val="Data_Index3"/>
      <sheetName val="Data_Verify3"/>
      <sheetName val="Data_sheet3"/>
      <sheetName val="ADSL_MPS3"/>
      <sheetName val="TE_Plan3"/>
      <sheetName val="AMD_MB_FBOM_0103033"/>
      <sheetName val="Mock_Up3"/>
      <sheetName val="BF3_MB_cost__0708_from_MSL3"/>
      <sheetName val="RickelsRFQPWA#_23"/>
      <sheetName val="Management_Review3"/>
      <sheetName val="FRU_Cost3"/>
      <sheetName val="Freemode_Item_TOPX_Yield1"/>
      <sheetName val="CTO_PO1"/>
      <sheetName val="Entry-Mid_FRU1"/>
      <sheetName val="Raw_Data1"/>
      <sheetName val="T1_Tact_Time1"/>
      <sheetName val="T1-PVD_&amp;_CVD_release_chamber調查1"/>
      <sheetName val="Dry_etch_release_chamber1"/>
      <sheetName val="inspection_tact_time1"/>
      <sheetName val="inspection_capa_1"/>
      <sheetName val="Material_Category_Summary1"/>
      <sheetName val="COMMMON_POOL拆分1"/>
      <sheetName val="NJ_MM1"/>
      <sheetName val="RSMI_2016_09_調整1"/>
      <sheetName val="Line_Down_Report_Rule1"/>
      <sheetName val="Overall_Summary_1"/>
      <sheetName val="Drop_Down_List1"/>
      <sheetName val="Int'l_Summary1"/>
      <sheetName val="Port_Summary1"/>
      <sheetName val="Price_Summary1"/>
      <sheetName val="EC_Charge1"/>
      <sheetName val="RAMP_UP(SMT)1"/>
      <sheetName val="Detail_Schedule4"/>
      <sheetName val="OverTime_Rule4"/>
      <sheetName val="Master_Lists5"/>
      <sheetName val="GSO's_File4"/>
      <sheetName val="Dean's_File4"/>
      <sheetName val="FAE_reports4"/>
      <sheetName val="small_card_基本資料0216_044"/>
      <sheetName val="Dell_NSK_MDS_LRR4"/>
      <sheetName val="WI_MODEM及SCAN4"/>
      <sheetName val="Rosa_4"/>
      <sheetName val="DELL_CELKEM6"/>
      <sheetName val="fin__nákl_6"/>
      <sheetName val="rez__nakl6"/>
      <sheetName val="Hardtool_Costs6"/>
      <sheetName val="Softtool-Proto_Costs6"/>
      <sheetName val="Packaging_Sheet6"/>
      <sheetName val="Assembly_Costs6"/>
      <sheetName val="Min_Quoted_Qty6"/>
      <sheetName val="Turing_DVT1_Yield8"/>
      <sheetName val="TNS_Input5"/>
      <sheetName val="iPhone_RMA6"/>
      <sheetName val="Data_lists6"/>
      <sheetName val="Kod3_Table5"/>
      <sheetName val="Blf2+LOM_cost_bom_0809024"/>
      <sheetName val="Issues_List5"/>
      <sheetName val="MFG_MVA_Assumption5"/>
      <sheetName val="Basic_Assumption5"/>
      <sheetName val="Material_List5"/>
      <sheetName val="Debug_check_list5"/>
      <sheetName val="Sep_wk1_FATP_capa__plan6"/>
      <sheetName val="Sel_Ops_spending6"/>
      <sheetName val="Ops_cost6"/>
      <sheetName val="U21_RF_IFX6"/>
      <sheetName val="Monthly__Report6"/>
      <sheetName val="JUN1_V9_0_POR_060520036"/>
      <sheetName val="三_BY區域生產達成曲線及直通率6"/>
      <sheetName val="WKS_P1_Personel_output_4"/>
      <sheetName val="Improve_plan_orientation4"/>
      <sheetName val="Input_commodity_fallout5"/>
      <sheetName val="AsiaPac_Natural_Class5"/>
      <sheetName val="U1_Toshiba_16G(878)6"/>
      <sheetName val="七_8S專案稽核報表5"/>
      <sheetName val="庫齡板_Daily5"/>
      <sheetName val="C_BF3_MSL__March5"/>
      <sheetName val="General_Instructions5"/>
      <sheetName val="S2895_cost_bom5"/>
      <sheetName val="Capacity_By_Modle4"/>
      <sheetName val="Materials_Quarterly5"/>
      <sheetName val="Fab_Summary5"/>
      <sheetName val="Jan_to_Aug5"/>
      <sheetName val="Data_Summary4"/>
      <sheetName val="Menu_Items4"/>
      <sheetName val="Outsourcin_PPV_(Sep_FOL)4"/>
      <sheetName val="METAL_data4"/>
      <sheetName val="Cost_Breakdown5"/>
      <sheetName val="Internal_Hourly_Rate4"/>
      <sheetName val="Metal_Hard_Tooling_4"/>
      <sheetName val="Proto_14"/>
      <sheetName val="L1_SP4"/>
      <sheetName val="L1_CA4"/>
      <sheetName val="L1_CD4"/>
      <sheetName val="L1_HD4"/>
      <sheetName val="BB_Table5"/>
      <sheetName val="project_data4"/>
      <sheetName val="exchange_rate4"/>
      <sheetName val="Comm_Matrix4"/>
      <sheetName val="Pilot_Run4"/>
      <sheetName val="Valid_Values4"/>
      <sheetName val="Mat_Summary4"/>
      <sheetName val="Baseline_&amp;_Summary4"/>
      <sheetName val="Team_List4"/>
      <sheetName val="KT1_Qual4"/>
      <sheetName val="A-Note_Bug_list4"/>
      <sheetName val="Fixed_sg&amp;A_4"/>
      <sheetName val="Vol_24"/>
      <sheetName val="Vol_14"/>
      <sheetName val="D_Lab4"/>
      <sheetName val="Fixed_Factory_Overheads4"/>
      <sheetName val="Matl_Burden4"/>
      <sheetName val="pcbo_工時4"/>
      <sheetName val="Pebble_FAE_reports4"/>
      <sheetName val="FA_FPY4"/>
      <sheetName val="WW_($)5"/>
      <sheetName val="$AMF_(T)5"/>
      <sheetName val="Metheor_2GHz5"/>
      <sheetName val="Green_Lantern_sound5"/>
      <sheetName val="GL_snd_2GHz5"/>
      <sheetName val="Green_Lantern_No_sound5"/>
      <sheetName val="GL_nsnd_2GHz5"/>
      <sheetName val="Tesla_Respin5"/>
      <sheetName val="AMF_($)5"/>
      <sheetName val="EMF_($)5"/>
      <sheetName val="APCC_($)5"/>
      <sheetName val="CCC_($)5"/>
      <sheetName val="Brazil_($)5"/>
      <sheetName val="Risers_($)5"/>
      <sheetName val="Servers_($)5"/>
      <sheetName val="Overhead_calculations5"/>
      <sheetName val="SPM_Units5"/>
      <sheetName val="Receiving_Inspection5"/>
      <sheetName val="&quot;B&quot;_Quote_Model5"/>
      <sheetName val="Overhead_summary5"/>
      <sheetName val="Lookup_Tables5"/>
      <sheetName val="7-教育訓練實施狀況（2）-OK_4"/>
      <sheetName val="June_wk34"/>
      <sheetName val="CKD_BE_HC_Table4"/>
      <sheetName val="2003_Target4"/>
      <sheetName val="2003_prod24"/>
      <sheetName val="Slim_Merlot_Block_Diagram4"/>
      <sheetName val="All_Parts4"/>
      <sheetName val="intel_target4"/>
      <sheetName val="Multibay_Optical4"/>
      <sheetName val="EFFA_Error_Code4"/>
      <sheetName val="1_44"/>
      <sheetName val="1_254"/>
      <sheetName val="L02-1F_制十三課維修層別CG報廢狀況_4"/>
      <sheetName val="L02-1F_制十三課維修層別HSG報廢狀況_4"/>
      <sheetName val="A58_20124"/>
      <sheetName val="wsp_12-034"/>
      <sheetName val="inspect_capa4"/>
      <sheetName val="General_Inputs4"/>
      <sheetName val="Inventory_Trend4"/>
      <sheetName val="WAT_分析報表_4"/>
      <sheetName val="ME_Overall_Summary4"/>
      <sheetName val="管理中心_KPI達成情況總覽及趨勢分析4"/>
      <sheetName val="Cosmetic_MIL4"/>
      <sheetName val="Data_Index4"/>
      <sheetName val="Data_Verify4"/>
      <sheetName val="Data_sheet4"/>
      <sheetName val="ADSL_MPS4"/>
      <sheetName val="TE_Plan4"/>
      <sheetName val="AMD_MB_FBOM_0103034"/>
      <sheetName val="Mock_Up4"/>
      <sheetName val="BF3_MB_cost__0708_from_MSL4"/>
      <sheetName val="RickelsRFQPWA#_24"/>
      <sheetName val="Management_Review4"/>
      <sheetName val="FRU_Cost4"/>
      <sheetName val="Freemode_Item_TOPX_Yield2"/>
      <sheetName val="CTO_PO2"/>
      <sheetName val="Entry-Mid_FRU2"/>
      <sheetName val="Raw_Data2"/>
      <sheetName val="T1_Tact_Time2"/>
      <sheetName val="T1-PVD_&amp;_CVD_release_chamber調查2"/>
      <sheetName val="Dry_etch_release_chamber2"/>
      <sheetName val="inspection_tact_time2"/>
      <sheetName val="inspection_capa_2"/>
      <sheetName val="Material_Category_Summary2"/>
      <sheetName val="COMMMON_POOL拆分2"/>
      <sheetName val="NJ_MM2"/>
      <sheetName val="RSMI_2016_09_調整2"/>
      <sheetName val="Line_Down_Report_Rule2"/>
      <sheetName val="Overall_Summary_2"/>
      <sheetName val="Drop_Down_List2"/>
      <sheetName val="Int'l_Summary2"/>
      <sheetName val="Port_Summary2"/>
      <sheetName val="Price_Summary2"/>
      <sheetName val="EC_Charge2"/>
      <sheetName val="RAMP_UP(SMT)2"/>
      <sheetName val="Detail_Schedule5"/>
      <sheetName val="OverTime_Rule5"/>
      <sheetName val="Master_Lists6"/>
      <sheetName val="GSO's_File5"/>
      <sheetName val="Dean's_File5"/>
      <sheetName val="FAE_reports5"/>
      <sheetName val="small_card_基本資料0216_045"/>
      <sheetName val="Dell_NSK_MDS_LRR5"/>
      <sheetName val="WI_MODEM及SCAN5"/>
      <sheetName val="Rosa_5"/>
      <sheetName val="DELL_CELKEM7"/>
      <sheetName val="fin__nákl_7"/>
      <sheetName val="rez__nakl7"/>
      <sheetName val="Hardtool_Costs7"/>
      <sheetName val="Softtool-Proto_Costs7"/>
      <sheetName val="Packaging_Sheet7"/>
      <sheetName val="Assembly_Costs7"/>
      <sheetName val="Min_Quoted_Qty7"/>
      <sheetName val="Turing_DVT1_Yield9"/>
      <sheetName val="TNS_Input6"/>
      <sheetName val="iPhone_RMA7"/>
      <sheetName val="Data_lists7"/>
      <sheetName val="Kod3_Table6"/>
      <sheetName val="Blf2+LOM_cost_bom_0809025"/>
      <sheetName val="Issues_List6"/>
      <sheetName val="MFG_MVA_Assumption6"/>
      <sheetName val="Basic_Assumption6"/>
      <sheetName val="Material_List6"/>
      <sheetName val="Debug_check_list6"/>
      <sheetName val="Sep_wk1_FATP_capa__plan7"/>
      <sheetName val="Sel_Ops_spending7"/>
      <sheetName val="Ops_cost7"/>
      <sheetName val="U21_RF_IFX7"/>
      <sheetName val="Monthly__Report7"/>
      <sheetName val="JUN1_V9_0_POR_060520037"/>
      <sheetName val="三_BY區域生產達成曲線及直通率7"/>
      <sheetName val="WKS_P1_Personel_output_5"/>
      <sheetName val="Improve_plan_orientation5"/>
      <sheetName val="Input_commodity_fallout6"/>
      <sheetName val="AsiaPac_Natural_Class6"/>
      <sheetName val="U1_Toshiba_16G(878)7"/>
      <sheetName val="七_8S專案稽核報表6"/>
      <sheetName val="庫齡板_Daily6"/>
      <sheetName val="C_BF3_MSL__March6"/>
      <sheetName val="General_Instructions6"/>
      <sheetName val="S2895_cost_bom6"/>
      <sheetName val="Capacity_By_Modle5"/>
      <sheetName val="Materials_Quarterly6"/>
      <sheetName val="Fab_Summary6"/>
      <sheetName val="Jan_to_Aug6"/>
      <sheetName val="Data_Summary5"/>
      <sheetName val="Menu_Items5"/>
      <sheetName val="Outsourcin_PPV_(Sep_FOL)5"/>
      <sheetName val="METAL_data5"/>
      <sheetName val="Cost_Breakdown6"/>
      <sheetName val="Internal_Hourly_Rate5"/>
      <sheetName val="Metal_Hard_Tooling_5"/>
      <sheetName val="Proto_15"/>
      <sheetName val="L1_SP5"/>
      <sheetName val="L1_CA5"/>
      <sheetName val="L1_CD5"/>
      <sheetName val="L1_HD5"/>
      <sheetName val="BB_Table6"/>
      <sheetName val="project_data5"/>
      <sheetName val="exchange_rate5"/>
      <sheetName val="Comm_Matrix5"/>
      <sheetName val="Pilot_Run5"/>
      <sheetName val="Valid_Values5"/>
      <sheetName val="Mat_Summary5"/>
      <sheetName val="Baseline_&amp;_Summary5"/>
      <sheetName val="Team_List5"/>
      <sheetName val="KT1_Qual5"/>
      <sheetName val="A-Note_Bug_list5"/>
      <sheetName val="Fixed_sg&amp;A_5"/>
      <sheetName val="Vol_25"/>
      <sheetName val="Vol_15"/>
      <sheetName val="D_Lab5"/>
      <sheetName val="Fixed_Factory_Overheads5"/>
      <sheetName val="Matl_Burden5"/>
      <sheetName val="pcbo_工時5"/>
      <sheetName val="Pebble_FAE_reports5"/>
      <sheetName val="FA_FPY5"/>
      <sheetName val="WW_($)6"/>
      <sheetName val="$AMF_(T)6"/>
      <sheetName val="Metheor_2GHz6"/>
      <sheetName val="Green_Lantern_sound6"/>
      <sheetName val="GL_snd_2GHz6"/>
      <sheetName val="Green_Lantern_No_sound6"/>
      <sheetName val="GL_nsnd_2GHz6"/>
      <sheetName val="Tesla_Respin6"/>
      <sheetName val="AMF_($)6"/>
      <sheetName val="EMF_($)6"/>
      <sheetName val="APCC_($)6"/>
      <sheetName val="CCC_($)6"/>
      <sheetName val="Brazil_($)6"/>
      <sheetName val="Risers_($)6"/>
      <sheetName val="Servers_($)6"/>
      <sheetName val="Overhead_calculations6"/>
      <sheetName val="SPM_Units6"/>
      <sheetName val="Receiving_Inspection6"/>
      <sheetName val="&quot;B&quot;_Quote_Model6"/>
      <sheetName val="Overhead_summary6"/>
      <sheetName val="Lookup_Tables6"/>
      <sheetName val="7-教育訓練實施狀況（2）-OK_5"/>
      <sheetName val="June_wk35"/>
      <sheetName val="CKD_BE_HC_Table5"/>
      <sheetName val="2003_Target5"/>
      <sheetName val="2003_prod25"/>
      <sheetName val="Slim_Merlot_Block_Diagram5"/>
      <sheetName val="All_Parts5"/>
      <sheetName val="intel_target5"/>
      <sheetName val="Multibay_Optical5"/>
      <sheetName val="EFFA_Error_Code5"/>
      <sheetName val="1_45"/>
      <sheetName val="1_255"/>
      <sheetName val="L02-1F_制十三課維修層別CG報廢狀況_5"/>
      <sheetName val="L02-1F_制十三課維修層別HSG報廢狀況_5"/>
      <sheetName val="A58_20125"/>
      <sheetName val="wsp_12-035"/>
      <sheetName val="inspect_capa5"/>
      <sheetName val="General_Inputs5"/>
      <sheetName val="Inventory_Trend5"/>
      <sheetName val="WAT_分析報表_5"/>
      <sheetName val="ME_Overall_Summary5"/>
      <sheetName val="管理中心_KPI達成情況總覽及趨勢分析5"/>
      <sheetName val="Cosmetic_MIL5"/>
      <sheetName val="Data_Index5"/>
      <sheetName val="Data_Verify5"/>
      <sheetName val="Data_sheet5"/>
      <sheetName val="ADSL_MPS5"/>
      <sheetName val="TE_Plan5"/>
      <sheetName val="AMD_MB_FBOM_0103035"/>
      <sheetName val="Mock_Up5"/>
      <sheetName val="BF3_MB_cost__0708_from_MSL5"/>
      <sheetName val="RickelsRFQPWA#_25"/>
      <sheetName val="Management_Review5"/>
      <sheetName val="FRU_Cost5"/>
      <sheetName val="Freemode_Item_TOPX_Yield3"/>
      <sheetName val="CTO_PO3"/>
      <sheetName val="Entry-Mid_FRU3"/>
      <sheetName val="Raw_Data3"/>
      <sheetName val="T1_Tact_Time3"/>
      <sheetName val="T1-PVD_&amp;_CVD_release_chamber調查3"/>
      <sheetName val="Dry_etch_release_chamber3"/>
      <sheetName val="inspection_tact_time3"/>
      <sheetName val="inspection_capa_3"/>
      <sheetName val="Material_Category_Summary3"/>
      <sheetName val="COMMMON_POOL拆分3"/>
      <sheetName val="NJ_MM3"/>
      <sheetName val="RSMI_2016_09_調整3"/>
      <sheetName val="Line_Down_Report_Rule3"/>
      <sheetName val="Overall_Summary_3"/>
      <sheetName val="Drop_Down_List3"/>
      <sheetName val="Int'l_Summary3"/>
      <sheetName val="Port_Summary3"/>
      <sheetName val="Price_Summary3"/>
      <sheetName val="EC_Charge3"/>
      <sheetName val="RAMP_UP(SMT)3"/>
      <sheetName val="_x005f_x0000_"/>
      <sheetName val="Mechanical Assembly"/>
      <sheetName val="RULES"/>
      <sheetName val="F&amp;P"/>
      <sheetName val="Saturn MVB bom_Aug.18'08"/>
      <sheetName val="626BOM"/>
      <sheetName val="allitems"/>
      <sheetName val="MRB"/>
      <sheetName val="INSP"/>
      <sheetName val="current quote"/>
      <sheetName val="Drop_Down_Menu"/>
      <sheetName val="FA300600_xls"/>
      <sheetName val="Item_Class"/>
      <sheetName val="selection lists"/>
      <sheetName val="SDL"/>
      <sheetName val="Nimitz_Base_Cover"/>
      <sheetName val="Mechanical_Assembly-Mission-MT"/>
      <sheetName val="Nimitz_Base_Cover2"/>
      <sheetName val="Mechanical_Assembly-Mission-MT2"/>
      <sheetName val="Nimitz_Base_Cover1"/>
      <sheetName val="Mechanical_Assembly-Mission-MT1"/>
      <sheetName val="CC507-4x3.5"/>
      <sheetName val="Q#3839"/>
      <sheetName val="1"/>
      <sheetName val="QuoteFormat"/>
      <sheetName val="Chris_HP"/>
      <sheetName val="Chris_Tyan"/>
      <sheetName val="Intel Lan + AD1885 EBOM"/>
      <sheetName val="IE"/>
      <sheetName val="Breakeven Analysis"/>
      <sheetName val="Glass 투입수 입력"/>
      <sheetName val="PNscost"/>
      <sheetName val="下拉選單Type2"/>
      <sheetName val="下拉選單 Type1"/>
      <sheetName val="資產負債表(第三季)"/>
      <sheetName val="附件一---外箱破損處理流程圖1"/>
      <sheetName val="下拉選單管理"/>
      <sheetName val="Agilent"/>
      <sheetName val="DBM"/>
      <sheetName val="3.9產出工時"/>
      <sheetName val="VB 毛刺線批退率 "/>
      <sheetName val="各制程品質明細"/>
      <sheetName val="CNC三夾毛刺線"/>
      <sheetName val="Notes"/>
      <sheetName val="附表4"/>
      <sheetName val="專案基本資料"/>
      <sheetName val="各職類人力金額"/>
      <sheetName val="不良统计"/>
      <sheetName val="不良分类"/>
      <sheetName val="Quotation"/>
      <sheetName val="Days Payable OS"/>
      <sheetName val="External"/>
      <sheetName val="Part Names"/>
      <sheetName val="Calculations"/>
      <sheetName val="S"/>
      <sheetName val="CSHARK L4"/>
      <sheetName val="IC Compare"/>
      <sheetName val="MRP  2"/>
      <sheetName val="FA 0509"/>
      <sheetName val="Links"/>
      <sheetName val="Lead"/>
      <sheetName val="固定成本影響"/>
      <sheetName val="公式資料"/>
      <sheetName val="Issue break down"/>
      <sheetName val="Dimension FA Tracking"/>
      <sheetName val="Tactility FA Tracking"/>
      <sheetName val="Cosmetic FA Tracking "/>
      <sheetName val="Function FA Tracking"/>
      <sheetName val="IT FA Tracking"/>
      <sheetName val="模板"/>
      <sheetName val="2月收入成本明_表"/>
      <sheetName val="_人欠款__分析表"/>
      <sheetName val="重大"/>
      <sheetName val="70X CNC3夾趨勢圖"/>
      <sheetName val="NDA Pareto"/>
      <sheetName val="MS60 PVT-ME-BOM"/>
      <sheetName val="Actual_B(樞紐)"/>
      <sheetName val="Budget_A(樞紐)"/>
      <sheetName val="Diff.Other re&amp;ex"/>
      <sheetName val="other revenue"/>
      <sheetName val="底稿 | 出貨量.營收.毛利.稅前.稅後(MNTD)"/>
      <sheetName val="中央作業 | 匯總表(MNTD)"/>
      <sheetName val="Estimation Result"/>
      <sheetName val="Quotation Details"/>
      <sheetName val="飽和度评估表"/>
      <sheetName val="Naming"/>
      <sheetName val="Naming 2"/>
      <sheetName val="Claim Summary"/>
      <sheetName val="標準工時資料庫"/>
      <sheetName val="NVRam3 ICT"/>
      <sheetName val="Customize Your Invoice"/>
      <sheetName val="陽極"/>
      <sheetName val="噴砂"/>
      <sheetName val="沖壓1-2"/>
      <sheetName val="拋光+清洗1"/>
      <sheetName val="沖壓3-8"/>
      <sheetName val="拋光+清洗2"/>
      <sheetName val="打標來料全檢"/>
      <sheetName val="机种list"/>
      <sheetName val="Cost calc."/>
      <sheetName val="１１月２９日費用見込み"/>
      <sheetName val="科目Mapping_期間"/>
      <sheetName val="科目對照"/>
      <sheetName val="Exh Branch(8K)(依前購)"/>
      <sheetName val="進貨驗收明細"/>
      <sheetName val="Tact_Time-Test"/>
      <sheetName val="Tact_Time-Photo"/>
      <sheetName val="CURR"/>
      <sheetName val="Cell-17&quot;(CF自製)"/>
      <sheetName val="非保稅"/>
      <sheetName val="Tact_Time_Etch"/>
      <sheetName val="Tact_Time-TF"/>
      <sheetName val="PDS"/>
      <sheetName val="Panels"/>
      <sheetName val="Price"/>
      <sheetName val="wlbu_ar"/>
      <sheetName val="部級--TFT_Center_&amp;_其他"/>
      <sheetName val="Defect_code"/>
      <sheetName val="MOD"/>
      <sheetName val="FA_0509"/>
      <sheetName val="6_分攤小時(Hourly_Rate分母)"/>
      <sheetName val="總表"/>
      <sheetName val="3480總表"/>
      <sheetName val="VD Daily Report_New"/>
      <sheetName val="G 系列"/>
      <sheetName val="(附件五)預算明細表"/>
      <sheetName val="T2 Array defect density"/>
      <sheetName val="LAM BEF_MRP"/>
      <sheetName val="dropdown-1"/>
      <sheetName val="Core Courses &amp; ILP Plan"/>
      <sheetName val="MPS Q3 FY05"/>
      <sheetName val="Core_Courses_&amp;_ILP_Plan"/>
      <sheetName val="External_Data"/>
      <sheetName val="A_Shift"/>
      <sheetName val="B_Shift"/>
      <sheetName val="C_Shift"/>
      <sheetName val="D_Shift"/>
      <sheetName val="Bluford3_MB_BOM-Intel_LAN1"/>
      <sheetName val="Mechanical_Assembly"/>
      <sheetName val="G8WZA5_PKG部品表"/>
      <sheetName val="Internal_rate1"/>
      <sheetName val="Master_List_Without_MU%__1"/>
      <sheetName val="RFQ_Info1"/>
      <sheetName val="Financial_Dashboard1"/>
      <sheetName val="NRE_-_pay_by_customer1"/>
      <sheetName val="PU_&amp;_RM1"/>
      <sheetName val="Cover_Page1"/>
      <sheetName val="Bearlake_4_SKUs_conbimed_"/>
      <sheetName val="CCD_master_file"/>
      <sheetName val="Freight_Breakdown"/>
      <sheetName val="Master_List_MU%__"/>
      <sheetName val="New_Workings1"/>
      <sheetName val="Sum_Sheet1"/>
      <sheetName val="Entity_table"/>
      <sheetName val="3-In-1_Chart_OTD"/>
      <sheetName val="Mont_Rates1"/>
      <sheetName val="PL_&amp;_VS"/>
      <sheetName val="PN_&amp;_PL"/>
      <sheetName val="P_&amp;_L"/>
      <sheetName val="达丰ZL系列_"/>
      <sheetName val="Saturn_MVB_bom_Aug_18'08"/>
      <sheetName val="Product_Map"/>
      <sheetName val="daily_quality_summary"/>
      <sheetName val="Sheet1_(2)6"/>
      <sheetName val="Error_Groups"/>
      <sheetName val="Reason_Codes"/>
      <sheetName val="SBB_Table"/>
      <sheetName val="A58_2011"/>
      <sheetName val="FA_Definitions"/>
      <sheetName val="FCT_August"/>
      <sheetName val="ODM_OWN_cost_by_month"/>
      <sheetName val="by_supplier(value)"/>
      <sheetName val="current_quote"/>
      <sheetName val="Simple_Cost_Form"/>
      <sheetName val="cost_table_201501"/>
      <sheetName val="Q#3839_Indented_Bom_d"/>
      <sheetName val="4__Detailed_quote"/>
      <sheetName val="sm_Pcost1"/>
      <sheetName val="Inventory_Turns1"/>
      <sheetName val="Indirect_Labour1"/>
      <sheetName val="Call_Down_Data_OLD"/>
      <sheetName val="Total_transition_plan"/>
      <sheetName val="IP-1_INSP-CAV_#2"/>
      <sheetName val="HGA_ENG"/>
      <sheetName val="FLX_Consolflxidated"/>
      <sheetName val="MPS_Q3_FY05"/>
      <sheetName val="下拉選單_Type1"/>
      <sheetName val="zsdr82_Tab_"/>
      <sheetName val="Royalty Summary"/>
      <sheetName val="CoverSheet"/>
      <sheetName val="Parameters"/>
      <sheetName val="Data Validation"/>
      <sheetName val="Q_K810VU+939_CostBOM_Rev012004"/>
      <sheetName val="4X3_5_Chassis"/>
      <sheetName val="QIP_SMT1"/>
      <sheetName val="UD1_QIT_report1"/>
      <sheetName val="Line_balance1"/>
      <sheetName val="Apollo_NDF_TOP5"/>
      <sheetName val="Scrap_Total"/>
      <sheetName val="Cost_comparison_sheet"/>
      <sheetName val="Unit_price_breakdown"/>
      <sheetName val="choose_list"/>
      <sheetName val="WO_list"/>
      <sheetName val="VI1_Test_Result1"/>
      <sheetName val="Viewing_angles1"/>
      <sheetName val="ant__B1"/>
      <sheetName val="Elec_&amp;SW1"/>
      <sheetName val="Test_Summary1"/>
      <sheetName val="NR3L_IRT_parts1"/>
      <sheetName val="ver3_0_(LTM170EU)1"/>
      <sheetName val="Texas-M_SJC"/>
      <sheetName val="Country_List"/>
      <sheetName val="MPS_Q3_FY04"/>
      <sheetName val="MPS_Q4_FY04"/>
      <sheetName val="Summary_definition"/>
      <sheetName val="General_info"/>
      <sheetName val="仪校仪器月报_(2)"/>
      <sheetName val="1_13"/>
      <sheetName val="G18出勤工時及UPPH_(2)"/>
      <sheetName val="Raggie-T3工時(13_5K)V_1"/>
      <sheetName val="Trend_chart"/>
      <sheetName val="FATP_MLB_LOSS"/>
      <sheetName val="FCT_Test"/>
      <sheetName val="GL_Sales"/>
      <sheetName val="Starter_Export"/>
      <sheetName val="Master_List1"/>
      <sheetName val="JGP_Holidays"/>
      <sheetName val="TFB_RL_Aging_Day"/>
      <sheetName val="原因分析_"/>
      <sheetName val="Priority_Item_issue"/>
      <sheetName val="Change_History"/>
      <sheetName val="Test_coverage"/>
      <sheetName val="Building_Blocks"/>
      <sheetName val="2005 Business Summary"/>
      <sheetName val="910Nassau"/>
      <sheetName val="邏輯參數"/>
      <sheetName val="各厂每日出勤"/>
      <sheetName val="Year Graph"/>
      <sheetName val="Materials_L"/>
      <sheetName val="建立滾動條動態圖表"/>
      <sheetName val="Labor Assumptions"/>
      <sheetName val="DB"/>
      <sheetName val="_x0000__x0000__x005"/>
      <sheetName val="Validation"/>
      <sheetName val="Sample cost"/>
      <sheetName val="_x005f_x0000__x005f"/>
      <sheetName val="_x005f_x005f_"/>
      <sheetName val="_x0000__x0004_"/>
      <sheetName val="LCM(Optrex DPPM report)"/>
      <sheetName val="EquipmentList(附件二)"/>
      <sheetName val="Account Group"/>
      <sheetName val="Taishen1"/>
      <sheetName val="DO NOT DELETE"/>
      <sheetName val="FTX Commit"/>
      <sheetName val="Material Cost&amp;press rate"/>
      <sheetName val="设定"/>
      <sheetName val="统计"/>
      <sheetName val="設定"/>
      <sheetName val="56-5256"/>
      <sheetName val="129-5280"/>
      <sheetName val="KUSD"/>
      <sheetName val="技(BJ-FP)"/>
      <sheetName val="技(BJ-FP沖銷)"/>
      <sheetName val="VN LV-FP沖銷"/>
      <sheetName val="VN LX-FP沖銷"/>
      <sheetName val="TNLV-FP沖銷"/>
      <sheetName val="UPPER BLOCK"/>
      <sheetName val="系统参数设置"/>
      <sheetName val="固定资产卡片"/>
      <sheetName val="固定资产清单"/>
      <sheetName val="IPQC NG"/>
      <sheetName val="勿动"/>
      <sheetName val=" Top issue"/>
      <sheetName val="總結倱告"/>
      <sheetName val="DELL FCST"/>
      <sheetName val="工單差异分攤"/>
      <sheetName val="Medion - Product mix"/>
      <sheetName val="1492C"/>
      <sheetName val="Unit Cost Trend Chart by Sect."/>
      <sheetName val="各線領用金額對比"/>
      <sheetName val="管理諸元"/>
      <sheetName val="1量試(樣品)檢驗報告"/>
      <sheetName val="空白"/>
      <sheetName val="數據分析對比"/>
      <sheetName val="3.26"/>
      <sheetName val="3.25"/>
      <sheetName val="BY機種利潤報表201402"/>
      <sheetName val="模治具匯總"/>
      <sheetName val="總表2"/>
      <sheetName val="MacroEngine"/>
      <sheetName val="Marathon"/>
      <sheetName val="Marathon BOM CM-MFG Lead-Time"/>
      <sheetName val="750ﾛｯﾄ"/>
      <sheetName val="TB"/>
      <sheetName val="職位一覧"/>
      <sheetName val="Form"/>
      <sheetName val="CCD銷售圖表"/>
      <sheetName val="2001年銷售圖表"/>
      <sheetName val="HSCD銷售圖表"/>
      <sheetName val="三月銷售圖表"/>
      <sheetName val="QFV2分線統計數據"/>
      <sheetName val="班长趋势图（制品） "/>
      <sheetName val="4M进行分析（制品) "/>
      <sheetName val="G1直通产出率 "/>
      <sheetName val="G1直通产出率（YIM）"/>
      <sheetName val="原材责Reason Code"/>
      <sheetName val="RCCP"/>
      <sheetName val="定義"/>
      <sheetName val="36_Mexico"/>
      <sheetName val="VB_毛刺線批退率_"/>
      <sheetName val="Bondi_Display_Back"/>
      <sheetName val="Schedule_Gantt_Chart"/>
      <sheetName val="Issue_break_down"/>
      <sheetName val="Dimension_FA_Tracking"/>
      <sheetName val="Tactility_FA_Tracking"/>
      <sheetName val="Cosmetic_FA_Tracking_"/>
      <sheetName val="Function_FA_Tracking"/>
      <sheetName val="IT_FA_Tracking"/>
      <sheetName val="70X_CNC3夾趨勢圖"/>
      <sheetName val="NDA_Pareto"/>
      <sheetName val="Estimation_Result"/>
      <sheetName val="Quotation_Details"/>
      <sheetName val="1_營收獲利推移圖"/>
      <sheetName val="Cost_calc_"/>
      <sheetName val="Year_Graph"/>
      <sheetName val="Naming_2"/>
      <sheetName val="daily_data_Orchid"/>
      <sheetName val="Door_Access_(2)"/>
      <sheetName val="Days_Payable_OS"/>
      <sheetName val="SMI_Aging_Analysis_Data"/>
      <sheetName val="Part_Names1"/>
      <sheetName val="CSHARK_L4"/>
      <sheetName val="IC_Compare"/>
      <sheetName val="MRP__2"/>
      <sheetName val="Claim_Summary"/>
      <sheetName val="NVRam3_ICT"/>
      <sheetName val="Mac_&amp;_SPG"/>
      <sheetName val="TORNADO"/>
      <sheetName val="欠料圖表"/>
      <sheetName val="圖表New"/>
      <sheetName val="Details"/>
      <sheetName val="Tact Time-Photo"/>
      <sheetName val="Tact Time-TF"/>
      <sheetName val="Tact Time Etch"/>
      <sheetName val="15 分像素"/>
      <sheetName val="IN OPEX"/>
      <sheetName val="VESA Tests"/>
      <sheetName val="Gamma Data"/>
      <sheetName val="Budget_Skippy"/>
      <sheetName val="Constant"/>
      <sheetName val="Table"/>
      <sheetName val="G8ZFR"/>
      <sheetName val="$$ Document ID"/>
      <sheetName val="JOB Table"/>
      <sheetName val="Project Identification"/>
      <sheetName val="al cover"/>
      <sheetName val="RD TABLE"/>
      <sheetName val="Spyder"/>
      <sheetName val="联系方式"/>
      <sheetName val="产品描述 "/>
      <sheetName val="出货计划"/>
      <sheetName val="Control Schedule"/>
      <sheetName val="Job Description"/>
      <sheetName val="G99 For T1&amp;Drop1 出货生产数据"/>
      <sheetName val="Capacility Review"/>
      <sheetName val="资源需求"/>
      <sheetName val="Check list "/>
      <sheetName val="项目履历"/>
      <sheetName val="原材厂商数据"/>
      <sheetName val="MOTO"/>
      <sheetName val="CAPA분석 360K"/>
      <sheetName val="418CPK"/>
      <sheetName val="419CPK"/>
      <sheetName val="981030"/>
      <sheetName val="417CPK"/>
      <sheetName val="OTR09"/>
      <sheetName val="Molding"/>
      <sheetName val="Douai"/>
      <sheetName val="ﾊﾟｲﾌﾟ"/>
      <sheetName val="QE근거"/>
      <sheetName val="목록"/>
      <sheetName val="값목록(Do not touch)"/>
      <sheetName val="기준"/>
      <sheetName val="生产进度月TOTAL表 6"/>
      <sheetName val="各机种???料(5)"/>
      <sheetName val="他材料費"/>
      <sheetName val="企业表一"/>
      <sheetName val="冷延鋼板"/>
      <sheetName val="M-5A"/>
      <sheetName val="M-5C"/>
      <sheetName val="產品別銷貨毛利表"/>
      <sheetName val="各机种参数资料(5)"/>
      <sheetName val="熱延鋼板"/>
      <sheetName val="MNT 개발계획_최종"/>
      <sheetName val="여비"/>
      <sheetName val="DATA2"/>
      <sheetName val="Sales11-RMB"/>
      <sheetName val="4.4 鶴壁園區吃住行"/>
      <sheetName val="華南"/>
      <sheetName val="CSHARK L5"/>
      <sheetName val="CSHARK L1"/>
      <sheetName val="JAWS L2"/>
      <sheetName val="JAWS-COOL 99  L2"/>
      <sheetName val="CSHARK L6"/>
      <sheetName val="CSHARK L7"/>
      <sheetName val="CSHARK L8A"/>
      <sheetName val="CSHARK L8B"/>
      <sheetName val="CSHARK L9A"/>
      <sheetName val="CSHARK L9B"/>
      <sheetName val="Category"/>
      <sheetName val="BD1 Cost M"/>
      <sheetName val="BD2 Cost M"/>
      <sheetName val="BD3 Cost M"/>
      <sheetName val="Pure Cap IO"/>
      <sheetName val="I2ONMB Deployment Tracker"/>
      <sheetName val="bm"/>
      <sheetName val="DG "/>
      <sheetName val="FOL Database"/>
      <sheetName val="BOL Database"/>
      <sheetName val="CTN原因分析報告"/>
      <sheetName val="Weekly Cases Opened"/>
      <sheetName val="Version Control"/>
      <sheetName val="List_BuildConfig"/>
      <sheetName val="List_Wave"/>
      <sheetName val="List_DutType"/>
      <sheetName val="Allocate"/>
      <sheetName val="VOL&amp;UPH"/>
      <sheetName val="科目说明"/>
      <sheetName val="每月加班率"/>
      <sheetName val="PA-QWR18"/>
      <sheetName val="Material% -2009 Trend revised"/>
      <sheetName val="加班小時"/>
      <sheetName val="RUB"/>
      <sheetName val="傳閱"/>
      <sheetName val="MLB"/>
      <sheetName val="Category Definition"/>
      <sheetName val="RawData_all"/>
      <sheetName val="STD.HRS"/>
      <sheetName val="EDI_Sep 13"/>
      <sheetName val="Project Definition Form Summary"/>
      <sheetName val="HC_DL"/>
      <sheetName val="BS CIG"/>
      <sheetName val="BS IDEN"/>
      <sheetName val="BS PCS"/>
      <sheetName val="P&amp;L CIG"/>
      <sheetName val="P&amp;L FWT"/>
      <sheetName val="P&amp;L IDEN"/>
      <sheetName val="P&amp;L PCS"/>
      <sheetName val="分类名称"/>
      <sheetName val="CellData"/>
      <sheetName val="下拉選項_勿刪"/>
      <sheetName val="matrix_DO NOT DELETE"/>
      <sheetName val="人力試算 11月"/>
      <sheetName val=" Matrix"/>
      <sheetName val="Thunder  LOGOTOPISSUES-银"/>
      <sheetName val="存貨庫存趨勢圖-CBT-OK"/>
      <sheetName val="存貨庫存趨勢圖"/>
      <sheetName val="超耗BY廠"/>
      <sheetName val="存貨庫存趨勢圖-NEW "/>
      <sheetName val="Raw"/>
      <sheetName val="標準與連結"/>
      <sheetName val="Defect Code_6.1"/>
      <sheetName val="存貨庫存趨勢圖(LH)"/>
      <sheetName val="Mech"/>
      <sheetName val="summary, MTH"/>
      <sheetName val="C_K810VU"/>
      <sheetName val="FAI_WP(CAV1)"/>
      <sheetName val=" CP"/>
      <sheetName val="投单明细"/>
      <sheetName val="Calypso PCA"/>
      <sheetName val="Clark PCA"/>
      <sheetName val="CMT Z2"/>
      <sheetName val="Mercury PCA"/>
      <sheetName val="MT 6205"/>
      <sheetName val="Saturn PCA"/>
      <sheetName val="Summary By Site"/>
      <sheetName val="CR requirements"/>
      <sheetName val="Summary by Account"/>
      <sheetName val="xuan"/>
      <sheetName val="T2"/>
      <sheetName val="T3"/>
      <sheetName val="T4"/>
      <sheetName val="T5"/>
      <sheetName val="T6"/>
      <sheetName val="T7"/>
      <sheetName val="tuan"/>
      <sheetName val="Sum"/>
      <sheetName val="HBuom"/>
      <sheetName val="HBT-1"/>
      <sheetName val="THo"/>
      <sheetName val="BDinh"/>
      <sheetName val="Super"/>
      <sheetName val="HBT-2"/>
      <sheetName val="SC"/>
      <sheetName val="HDong"/>
      <sheetName val="CGiay"/>
      <sheetName val="GLam"/>
      <sheetName val="TXuan-1"/>
      <sheetName val="DDa"/>
      <sheetName val="HKiem"/>
      <sheetName val="Vacant"/>
      <sheetName val="TXuan-2"/>
      <sheetName val="Luong Co ban"/>
      <sheetName val="Cost bridge SC9 Avg config"/>
      <sheetName val="Basic"/>
      <sheetName val="Hol"/>
      <sheetName val="產能基礎"/>
      <sheetName val="ACI"/>
      <sheetName val="CN14 NCT SZ_PLANT"/>
      <sheetName val="SummaryWK43"/>
      <sheetName val="CEO成本率"/>
      <sheetName val="Metal-LF Act&amp;Rolling P&amp;L"/>
      <sheetName val="QC日報表"/>
      <sheetName val="交貨異常及預警"/>
      <sheetName val="BS_CORPORATE"/>
      <sheetName val="Balance SPS"/>
      <sheetName val="04 廠區別營收分佈"/>
      <sheetName val="1～"/>
      <sheetName val="$$_Document_ID"/>
      <sheetName val="JOB_Table"/>
      <sheetName val="Project_Identification"/>
      <sheetName val="簽呈01采購"/>
      <sheetName val="部級--TFT Center &amp; 其他"/>
      <sheetName val="标准原因归类说明"/>
      <sheetName val="03  營運預算(by客戶by產品)"/>
      <sheetName val="MTP"/>
      <sheetName val="A"/>
      <sheetName val="_x005f_x0000__x005f_x0000__x005f_x0000__x005f_x0000___2"/>
      <sheetName val="HYDRA Glossary"/>
      <sheetName val="Raggie-T3工時(13,5K)V.1"/>
      <sheetName val="Initial Input"/>
      <sheetName val="Template Inputs"/>
      <sheetName val="清單"/>
      <sheetName val="APH20"/>
      <sheetName val="PRB Sub list"/>
      <sheetName val="Station Name"/>
      <sheetName val="LAR%"/>
      <sheetName val="SA"/>
      <sheetName val="ZDR1"/>
      <sheetName val="CM code (internal) "/>
      <sheetName val="Ano4.0 KO list"/>
      <sheetName val="下拉表单"/>
      <sheetName val="進料週報"/>
      <sheetName val="各机种___料(5)"/>
      <sheetName val="Report_Temp"/>
      <sheetName val="Admin"/>
      <sheetName val="AOP Summary-2"/>
      <sheetName val="diemaster"/>
      <sheetName val="Page9"/>
      <sheetName val="6-5"/>
      <sheetName val="Dropdowns"/>
      <sheetName val="Project Codes"/>
      <sheetName val="Bases Data"/>
      <sheetName val="9.LRR （客訴）"/>
      <sheetName val="2013年12月"/>
      <sheetName val="組織"/>
      <sheetName val="M++ FLOWCHART "/>
      <sheetName val="diferencial"/>
      <sheetName val="sazby"/>
      <sheetName val="D"/>
      <sheetName val="PBU"/>
      <sheetName val="Shipping Data"/>
      <sheetName val="2005_Business_Summary"/>
      <sheetName val="On_Hand"/>
      <sheetName val="AIR_(Inbound_material)1"/>
      <sheetName val="Building_Blocks1"/>
      <sheetName val="VI1_Test_Result2"/>
      <sheetName val="Viewing_angles2"/>
      <sheetName val="ant__B2"/>
      <sheetName val="Elec_&amp;SW2"/>
      <sheetName val="Test_Summary2"/>
      <sheetName val="NR3L_IRT_parts2"/>
      <sheetName val="ver3_0_(LTM170EU)2"/>
      <sheetName val="QIP_SMT2"/>
      <sheetName val="UD1_QIT_report2"/>
      <sheetName val="Line_balance2"/>
      <sheetName val="External_Data1"/>
      <sheetName val="A_Shift1"/>
      <sheetName val="B_Shift1"/>
      <sheetName val="C_Shift1"/>
      <sheetName val="D_Shift1"/>
      <sheetName val="Bluford3_MB_BOM-Intel_LAN2"/>
      <sheetName val="Mechanical_Assembly1"/>
      <sheetName val="G8WZA5_PKG部品表1"/>
      <sheetName val="Saturn_MVB_bom_Aug_18'081"/>
      <sheetName val="Product_Map1"/>
      <sheetName val="达丰ZL系列_1"/>
      <sheetName val="Internal_rate2"/>
      <sheetName val="Master_List_Without_MU%__2"/>
      <sheetName val="RFQ_Info2"/>
      <sheetName val="Financial_Dashboard2"/>
      <sheetName val="NRE_-_pay_by_customer2"/>
      <sheetName val="PU_&amp;_RM2"/>
      <sheetName val="Cover_Page2"/>
      <sheetName val="Bearlake_4_SKUs_conbimed_1"/>
      <sheetName val="CCD_master_file1"/>
      <sheetName val="Freight_Breakdown1"/>
      <sheetName val="Master_List_MU%__1"/>
      <sheetName val="New_Workings2"/>
      <sheetName val="Sum_Sheet2"/>
      <sheetName val="Entity_table1"/>
      <sheetName val="3-In-1_Chart_OTD1"/>
      <sheetName val="Mont_Rates2"/>
      <sheetName val="PL_&amp;_VS1"/>
      <sheetName val="PN_&amp;_PL1"/>
      <sheetName val="P_&amp;_L1"/>
      <sheetName val="2005_Business_Summary1"/>
      <sheetName val="下拉選單_Type11"/>
      <sheetName val="Master_List2"/>
      <sheetName val="SBB_Table1"/>
      <sheetName val="Simple_Cost_Form1"/>
      <sheetName val="Q#3839_Indented_Bom_d1"/>
      <sheetName val="A58_20111"/>
      <sheetName val="zsdr82_Tab_1"/>
      <sheetName val="FA_Definitions1"/>
      <sheetName val="FCT_August1"/>
      <sheetName val="General_info1"/>
      <sheetName val="仪校仪器月报_(2)1"/>
      <sheetName val="1_131"/>
      <sheetName val="Apollo_NDF_TOP51"/>
      <sheetName val="Scrap_Total1"/>
      <sheetName val="Cost_comparison_sheet1"/>
      <sheetName val="Unit_price_breakdown1"/>
      <sheetName val="choose_list1"/>
      <sheetName val="WO_list1"/>
      <sheetName val="Texas-M_SJC1"/>
      <sheetName val="Country_List1"/>
      <sheetName val="MPS_Q3_FY041"/>
      <sheetName val="MPS_Q4_FY041"/>
      <sheetName val="Summary_definition1"/>
      <sheetName val="FCT_Test1"/>
      <sheetName val="Bondi_Display_Back1"/>
      <sheetName val="36_Mexico1"/>
      <sheetName val="TFB_RL_Aging_Day1"/>
      <sheetName val="On_Hand1"/>
      <sheetName val="G18出勤工時及UPPH_(2)1"/>
      <sheetName val="JGP_Holidays1"/>
      <sheetName val="VB_毛刺線批退率_1"/>
      <sheetName val="GL_Sales1"/>
      <sheetName val="Starter_Export1"/>
      <sheetName val="原因分析_1"/>
      <sheetName val="Priority_Item_issue1"/>
      <sheetName val="Change_History1"/>
      <sheetName val="Test_coverage1"/>
      <sheetName val="Trend_chart1"/>
      <sheetName val="Schedule_Gantt_Chart1"/>
      <sheetName val="Sheet1_(2)7"/>
      <sheetName val="AIR_(Inbound_material)2"/>
      <sheetName val="Building_Blocks2"/>
      <sheetName val="VI1_Test_Result3"/>
      <sheetName val="Viewing_angles3"/>
      <sheetName val="ant__B3"/>
      <sheetName val="Elec_&amp;SW3"/>
      <sheetName val="Test_Summary3"/>
      <sheetName val="NR3L_IRT_parts3"/>
      <sheetName val="ver3_0_(LTM170EU)3"/>
      <sheetName val="QIP_SMT3"/>
      <sheetName val="UD1_QIT_report3"/>
      <sheetName val="Line_balance3"/>
      <sheetName val="External_Data2"/>
      <sheetName val="A_Shift2"/>
      <sheetName val="B_Shift2"/>
      <sheetName val="C_Shift2"/>
      <sheetName val="D_Shift2"/>
      <sheetName val="Bluford3_MB_BOM-Intel_LAN3"/>
      <sheetName val="Mechanical_Assembly2"/>
      <sheetName val="G8WZA5_PKG部品表2"/>
      <sheetName val="Saturn_MVB_bom_Aug_18'082"/>
      <sheetName val="Product_Map2"/>
      <sheetName val="Part_Data3"/>
      <sheetName val="达丰ZL系列_2"/>
      <sheetName val="Internal_rate3"/>
      <sheetName val="Master_List_Without_MU%__3"/>
      <sheetName val="RFQ_Info3"/>
      <sheetName val="Financial_Dashboard3"/>
      <sheetName val="NRE_-_pay_by_customer3"/>
      <sheetName val="PU_&amp;_RM3"/>
      <sheetName val="Cover_Page3"/>
      <sheetName val="Bearlake_4_SKUs_conbimed_2"/>
      <sheetName val="CCD_master_file2"/>
      <sheetName val="Freight_Breakdown2"/>
      <sheetName val="Master_List_MU%__2"/>
      <sheetName val="New_Workings3"/>
      <sheetName val="Sum_Sheet3"/>
      <sheetName val="Entity_table2"/>
      <sheetName val="3-In-1_Chart_OTD2"/>
      <sheetName val="Mont_Rates3"/>
      <sheetName val="PL_&amp;_VS2"/>
      <sheetName val="PN_&amp;_PL2"/>
      <sheetName val="P_&amp;_L2"/>
      <sheetName val="2005_Business_Summary2"/>
      <sheetName val="下拉選單_Type12"/>
      <sheetName val="Master_List3"/>
      <sheetName val="SBB_Table2"/>
      <sheetName val="Simple_Cost_Form2"/>
      <sheetName val="Q#3839_Indented_Bom_d2"/>
      <sheetName val="A58_20112"/>
      <sheetName val="zsdr82_Tab_2"/>
      <sheetName val="FA_Definitions2"/>
      <sheetName val="FCT_August2"/>
      <sheetName val="General_info2"/>
      <sheetName val="仪校仪器月报_(2)2"/>
      <sheetName val="1_132"/>
      <sheetName val="Apollo_NDF_TOP52"/>
      <sheetName val="Scrap_Total2"/>
      <sheetName val="Cost_comparison_sheet2"/>
      <sheetName val="Unit_price_breakdown2"/>
      <sheetName val="choose_list2"/>
      <sheetName val="WO_list2"/>
      <sheetName val="Texas-M_SJC2"/>
      <sheetName val="Country_List2"/>
      <sheetName val="MPS_Q3_FY042"/>
      <sheetName val="MPS_Q4_FY042"/>
      <sheetName val="Summary_definition2"/>
      <sheetName val="FCT_Test2"/>
      <sheetName val="Bondi_Display_Back2"/>
      <sheetName val="36_Mexico2"/>
      <sheetName val="TFB_RL_Aging_Day2"/>
      <sheetName val="On_Hand2"/>
      <sheetName val="G18出勤工時及UPPH_(2)2"/>
      <sheetName val="JGP_Holidays2"/>
      <sheetName val="VB_毛刺線批退率_2"/>
      <sheetName val="GL_Sales2"/>
      <sheetName val="Starter_Export2"/>
      <sheetName val="原因分析_2"/>
      <sheetName val="Priority_Item_issue2"/>
      <sheetName val="Change_History2"/>
      <sheetName val="Test_coverage2"/>
      <sheetName val="Trend_chart2"/>
      <sheetName val="Schedule_Gantt_Chart2"/>
      <sheetName val="ODM_OWN_cost_by_month1"/>
      <sheetName val="Dropdown_I1"/>
      <sheetName val="Dropdwon_II1"/>
      <sheetName val="Detailed_Quote_(AIO)1"/>
      <sheetName val="Year_Graph1"/>
      <sheetName val="5C_Sum"/>
      <sheetName val="By_Action"/>
      <sheetName val="By_Owner"/>
      <sheetName val="NDA_Pareto1"/>
      <sheetName val="Naming_21"/>
      <sheetName val="70X_CNC3夾趨勢圖1"/>
      <sheetName val="Raggie-T3工時(13_5K)V_11"/>
      <sheetName val="FATP_MLB_LOSS1"/>
      <sheetName val="Q_K810VU+939_CostBOM_Rev0120041"/>
      <sheetName val="4X3_5_Chassis1"/>
      <sheetName val="FA_05091"/>
      <sheetName val="Issue_break_down1"/>
      <sheetName val="Dimension_FA_Tracking1"/>
      <sheetName val="Tactility_FA_Tracking1"/>
      <sheetName val="Cosmetic_FA_Tracking_1"/>
      <sheetName val="Function_FA_Tracking1"/>
      <sheetName val="IT_FA_Tracking1"/>
      <sheetName val="1_營收獲利推移圖1"/>
      <sheetName val="3_9產出工時"/>
      <sheetName val="daily_data_Orchid1"/>
      <sheetName val="Door_Access_(2)1"/>
      <sheetName val="Days_Payable_OS1"/>
      <sheetName val="SMI_Aging_Analysis_Data1"/>
      <sheetName val="Part_Names2"/>
      <sheetName val="Total_transition_plan1"/>
      <sheetName val="CSHARK_L41"/>
      <sheetName val="IC_Compare1"/>
      <sheetName val="MRP__21"/>
      <sheetName val="Estimation_Result1"/>
      <sheetName val="Quotation_Details1"/>
      <sheetName val="Claim_Summary1"/>
      <sheetName val="NVRam3_ICT1"/>
      <sheetName val="Cost_calc_1"/>
      <sheetName val="Process_List"/>
      <sheetName val="Labor_Assumptions"/>
      <sheetName val="Sample_cost"/>
      <sheetName val="Exh_Branch(8K)(依前購)"/>
      <sheetName val="VD_Daily_Report_New"/>
      <sheetName val="G_系列"/>
      <sheetName val="T2_Array_defect_density"/>
      <sheetName val="LAM_BEF_MRP"/>
      <sheetName val="LCM(Optrex_DPPM_report)"/>
      <sheetName val="3_26"/>
      <sheetName val="3_25"/>
      <sheetName val="MS60_PVT-ME-BOM"/>
      <sheetName val="Diff_Other_re&amp;ex"/>
      <sheetName val="other_revenue"/>
      <sheetName val="底稿_|_出貨量_營收_毛利_稅前_稅後(MNTD)"/>
      <sheetName val="中央作業_|_匯總表(MNTD)"/>
      <sheetName val="Customize_Your_Invoice"/>
      <sheetName val="VN_LV-FP沖銷"/>
      <sheetName val="VN_LX-FP沖銷"/>
      <sheetName val="UPPER_BLOCK"/>
      <sheetName val="IPQC_NG"/>
      <sheetName val="Account_Group"/>
      <sheetName val="DO_NOT_DELETE"/>
      <sheetName val="FTX_Commit"/>
      <sheetName val="Material_Cost&amp;press_rate"/>
      <sheetName val="Post_IN_Award_NegCorvette_Tower"/>
      <sheetName val="by_supplier(value)1"/>
      <sheetName val="Import_Freight"/>
      <sheetName val="Material_Group"/>
      <sheetName val="Lucy_Cayenne_RoHS_Material_Cost"/>
      <sheetName val="Cayenne_RoHS-0726"/>
      <sheetName val="Core_Courses_&amp;_ILP_Plan1"/>
      <sheetName val="daily_quality_summary1"/>
      <sheetName val="Error_Groups1"/>
      <sheetName val="Reason_Codes1"/>
      <sheetName val="current_quote1"/>
      <sheetName val="cost_table_2015011"/>
      <sheetName val="4__Detailed_quote1"/>
      <sheetName val="sm_Pcost2"/>
      <sheetName val="Inventory_Turns2"/>
      <sheetName val="Indirect_Labour2"/>
      <sheetName val="Call_Down_Data_OLD1"/>
      <sheetName val="IP-1_INSP-CAV_#21"/>
      <sheetName val="HGA_ENG1"/>
      <sheetName val="FLX_Consolflxidated1"/>
      <sheetName val="MPS_Q3_FY051"/>
      <sheetName val="Royalty_Summary"/>
      <sheetName val="Data_Validation"/>
      <sheetName val="_Top_issue"/>
      <sheetName val="DELL_FCST"/>
      <sheetName val="Medion_-_Product_mix"/>
      <sheetName val="Unit_Cost_Trend_Chart_by_Sect_"/>
      <sheetName val="Marathon_BOM_CM-MFG_Lead-Time"/>
      <sheetName val="VESA_Tests"/>
      <sheetName val="Gamma_Data"/>
      <sheetName val="4_4_鶴壁園區吃住行"/>
      <sheetName val="CSHARK_L5"/>
      <sheetName val="CSHARK_L1"/>
      <sheetName val="JAWS_L2"/>
      <sheetName val="JAWS-COOL_99__L2"/>
      <sheetName val="CSHARK_L6"/>
      <sheetName val="CSHARK_L7"/>
      <sheetName val="CSHARK_L8A"/>
      <sheetName val="CSHARK_L8B"/>
      <sheetName val="CSHARK_L9A"/>
      <sheetName val="CSHARK_L9B"/>
      <sheetName val="存貨庫存趨勢圖-NEW_"/>
      <sheetName val="Q_BF3_FBOM-update011504_(2)"/>
      <sheetName val="DOE_Config"/>
      <sheetName val="Matl_usage"/>
      <sheetName val="Matl_totals"/>
      <sheetName val="ShipTo_Locations"/>
      <sheetName val="_3_(2)"/>
      <sheetName val="Antenna_Window"/>
      <sheetName val="summary,_MTH"/>
      <sheetName val="Master_GW_v3_Sorted"/>
      <sheetName val="Labor_Input_Data"/>
      <sheetName val="Material_Input_Data"/>
      <sheetName val="Quantity_Input_Data"/>
      <sheetName val="VAM_Report_Input"/>
      <sheetName val="Summary_Revenue"/>
      <sheetName val="Molding_Data"/>
      <sheetName val="Input_Table"/>
      <sheetName val="Molding_Outputs"/>
      <sheetName val="_CP"/>
      <sheetName val="STD_HRS"/>
      <sheetName val="Calypso_PCA"/>
      <sheetName val="Clark_PCA"/>
      <sheetName val="CMT_Z2"/>
      <sheetName val="Mercury_PCA"/>
      <sheetName val="MT_6205"/>
      <sheetName val="Saturn_PCA"/>
      <sheetName val="EDI_Sep_13"/>
      <sheetName val="Project_Definition_Form_Summary"/>
      <sheetName val="Material%_-2009_Trend_revised"/>
      <sheetName val="BD1_Cost_M"/>
      <sheetName val="BD2_Cost_M"/>
      <sheetName val="BD3_Cost_M"/>
      <sheetName val="Pure_Cap_IO"/>
      <sheetName val="I2ONMB_Deployment_Tracker"/>
      <sheetName val="DG_"/>
      <sheetName val="FOL_Database"/>
      <sheetName val="BOL_Database"/>
      <sheetName val="Weekly_Cases_Opened"/>
      <sheetName val="Version_Control1"/>
      <sheetName val="Category_Definition"/>
      <sheetName val="BS_CIG"/>
      <sheetName val="BS_IDEN"/>
      <sheetName val="BS_PCS"/>
      <sheetName val="P&amp;L_CIG"/>
      <sheetName val="P&amp;L_FWT"/>
      <sheetName val="P&amp;L_IDEN"/>
      <sheetName val="P&amp;L_PCS"/>
      <sheetName val="IN_OPEX"/>
      <sheetName val="matrix_DO_NOT_DELETE"/>
      <sheetName val="DCF"/>
      <sheetName val="wsts1292"/>
      <sheetName val="12月"/>
      <sheetName val="Cntmrs-Recruit"/>
      <sheetName val="sal"/>
      <sheetName val="損益表"/>
      <sheetName val="客戶清單customer list"/>
      <sheetName val="Ã«ÀûÂÊ·ÖÎö±í"/>
      <sheetName val="mc1"/>
      <sheetName val="mc2"/>
      <sheetName val="mc3"/>
      <sheetName val="mc4"/>
      <sheetName val="mc5a"/>
      <sheetName val="mc5"/>
      <sheetName val="mc6"/>
      <sheetName val="mc7"/>
      <sheetName val="mc8"/>
      <sheetName val="mc9"/>
      <sheetName val="mc10"/>
      <sheetName val="mc11"/>
      <sheetName val="mc12"/>
      <sheetName val="mc13"/>
      <sheetName val="mc14"/>
      <sheetName val="mc15"/>
      <sheetName val="mc16"/>
      <sheetName val="mc17"/>
      <sheetName val="mc18"/>
      <sheetName val="mc21"/>
      <sheetName val="mc22"/>
      <sheetName val="mc23"/>
      <sheetName val="mc24"/>
      <sheetName val="mc25"/>
      <sheetName val="mc26"/>
      <sheetName val="mc27"/>
      <sheetName val="mc28"/>
      <sheetName val="mc29"/>
      <sheetName val="mc30"/>
      <sheetName val="mc31"/>
      <sheetName val="mc32"/>
      <sheetName val="mc33"/>
      <sheetName val="mc34"/>
      <sheetName val="mc35"/>
      <sheetName val="mc36"/>
      <sheetName val="mc37"/>
      <sheetName val="mc38"/>
      <sheetName val="mc39"/>
      <sheetName val="mc40"/>
      <sheetName val="mc41"/>
      <sheetName val="mc42"/>
      <sheetName val="mc43"/>
      <sheetName val="mc44"/>
      <sheetName val="mc45"/>
      <sheetName val="mc46"/>
      <sheetName val="0843-002660-00"/>
      <sheetName val="0843-002970-00"/>
      <sheetName val="base de datos"/>
      <sheetName val="nuevo"/>
      <sheetName val="Attributes"/>
      <sheetName val="TW"/>
      <sheetName val="Timeline"/>
      <sheetName val="P&amp;@"/>
      <sheetName val="Sheet(2)"/>
      <sheetName val="Sheet(3)"/>
      <sheetName val="Sheet(4)"/>
      <sheetName val="Sheet(1)"/>
      <sheetName val="Material demand tracker "/>
      <sheetName val="Item_ALL"/>
      <sheetName val="Item_HSA"/>
      <sheetName val="Allo Rate"/>
      <sheetName val="UPH"/>
      <sheetName val="UPH FCST2"/>
      <sheetName val="customer"/>
      <sheetName val="custFCST2"/>
      <sheetName val="Defects List"/>
      <sheetName val="Heat Mapping"/>
      <sheetName val="Language Packs"/>
      <sheetName val="Test Data"/>
      <sheetName val="Combined"/>
      <sheetName val="Welcome"/>
      <sheetName val="Transformation Wrksht-Mech"/>
      <sheetName val="IA"/>
      <sheetName val="AM MLI"/>
      <sheetName val="Online_Length &amp; UPH(0.7)"/>
      <sheetName val="11月BOM Cost_圓餅圖"/>
      <sheetName val="Bridge Chart"/>
      <sheetName val="Config Summary"/>
      <sheetName val="3CH"/>
      <sheetName val="認證"/>
      <sheetName val="Tact Time-Test"/>
      <sheetName val="ref -预算&amp;管制编号对应表"/>
      <sheetName val="Matrix"/>
      <sheetName val="FSC(Mitac)"/>
      <sheetName val="Compal"/>
      <sheetName val="ECS"/>
      <sheetName val="TSB(Inventec)"/>
      <sheetName val="FSC(FIC)"/>
      <sheetName val="Uniwill"/>
      <sheetName val="Sony(Foxcoon)"/>
      <sheetName val="機台流片順序"/>
      <sheetName val="SortOK"/>
      <sheetName val="summary IFO"/>
      <sheetName val="Material"/>
      <sheetName val="Labor"/>
      <sheetName val="Yield"/>
      <sheetName val="審核中→未發行"/>
      <sheetName val="2.每周分析表"/>
      <sheetName val="OQC"/>
      <sheetName val="daily report"/>
      <sheetName val="參考--PDA 2003 Defect Rate"/>
      <sheetName val="Hdqtrs by mgr"/>
      <sheetName val="Sacramento by mgr"/>
      <sheetName val="Sacramento"/>
      <sheetName val="Europe"/>
      <sheetName val="Cork by mgr"/>
      <sheetName val="Singapore by mgr"/>
      <sheetName val="10.8.01 Open reqs"/>
      <sheetName val="Japan Sales"/>
      <sheetName val="Asia Pacific"/>
      <sheetName val="CCA"/>
      <sheetName val="名称Table"/>
      <sheetName val="Details_2010_12"/>
      <sheetName val="Details_2011_01"/>
      <sheetName val="Details_2011_02"/>
      <sheetName val="名称"/>
      <sheetName val="Re-Layout 專案"/>
      <sheetName val="Investment"/>
      <sheetName val="Top&amp;BtmSMT"/>
      <sheetName val="ManAssy&amp;Wave"/>
      <sheetName val="BtmSMT"/>
      <sheetName val="TopSMT"/>
      <sheetName val="Drawing &amp; DFM &amp; Tool Status"/>
      <sheetName val="2010"/>
      <sheetName val="DL離職分析"/>
      <sheetName val=" OAY Trend Chart"/>
      <sheetName val="LNEE0232"/>
      <sheetName val="MFG出勤夜班"/>
      <sheetName val="BOM簡化"/>
      <sheetName val="差異表"/>
      <sheetName val="小時工標準"/>
      <sheetName val="標準"/>
      <sheetName val="績效獎金標注準"/>
      <sheetName val="2-1-1 管理指標(1) 13"/>
      <sheetName val="History"/>
      <sheetName val="Q1, Q2, Q3, Q4"/>
      <sheetName val="InvoiceList"/>
      <sheetName val="Mark"/>
      <sheetName val="QM FA"/>
      <sheetName val="内QM FA一M2M001"/>
      <sheetName val="STD"/>
      <sheetName val="RC$"/>
      <sheetName val="Bond_location"/>
      <sheetName val="Field"/>
      <sheetName val="die data"/>
      <sheetName val="Team member"/>
      <sheetName val="分类对照表"/>
      <sheetName val="岗位类别"/>
      <sheetName val="DII Less Tooling"/>
      <sheetName val="IRV Summary"/>
      <sheetName val="ASSY-OQC 待料明细  "/>
      <sheetName val="待料明细 新"/>
      <sheetName val="崗位說明書（基础）"/>
      <sheetName val="廠內各產品別產出"/>
      <sheetName val="9107(查帳後)"/>
      <sheetName val="W"/>
      <sheetName val="Front Page"/>
      <sheetName val="工作表4"/>
      <sheetName val="Category欄位原因選擇"/>
      <sheetName val="貼Panel Label"/>
      <sheetName val="[FA300600.xls]___Nsg02_c_win_14"/>
      <sheetName val="UVC-G4-PR0"/>
      <sheetName val="[FA300600.xls]___Nsg02_c_wind_2"/>
      <sheetName val="[FA300600.xls]___Nsg02_c_wind_3"/>
      <sheetName val="[FA300600.xls]___Nsg02_c_wind_4"/>
      <sheetName val="[FA300600.xls]___Nsg02_c_wind_5"/>
      <sheetName val="[FA300600.xls]___Nsg02_c_wind_7"/>
      <sheetName val="[FA300600.xls]___Nsg02_c_wind_6"/>
      <sheetName val="[FA300600.xls]___Nsg02_c_wind_8"/>
      <sheetName val="[FA300600.xls]___Nsg02_c_win_12"/>
      <sheetName val="[FA300600.xls]___Nsg02_c_win_10"/>
      <sheetName val="[FA300600.xls]___Nsg02_c_wind_9"/>
      <sheetName val="[FA300600.xls]___Nsg02_c_win_11"/>
      <sheetName val="[FA300600.xls]___Nsg02_c_win_13"/>
      <sheetName val="主檔"/>
      <sheetName val="VSPA"/>
      <sheetName val="WW"/>
      <sheetName val="Definiciones"/>
      <sheetName val="Validaciones"/>
      <sheetName val="_3_(2)1"/>
      <sheetName val="Antenna_Window1"/>
      <sheetName val="Q_BF3_FBOM-update011504_(2)1"/>
      <sheetName val="_3_(2)2"/>
      <sheetName val="Antenna_Window2"/>
      <sheetName val="Q_K810VU+939_CostBOM_Rev0120042"/>
      <sheetName val="4X3_5_Chassis2"/>
      <sheetName val="Raggie-T3工時(13_5K)V_12"/>
      <sheetName val="FATP_MLB_LOSS2"/>
      <sheetName val="Cost_calc_2"/>
      <sheetName val="Q_BF3_FBOM-update011504_(2)2"/>
      <sheetName val="L02-1F 制十三課維修層ꀥ돛㴣_x0000_Ԁ̙_x0"/>
      <sheetName val="S2895_cost_bom7"/>
      <sheetName val="Issues_List7"/>
      <sheetName val="JUN1_V9_0_POR_060520038"/>
      <sheetName val="Kod3_Table7"/>
      <sheetName val="Turing_DVT1_Yield10"/>
      <sheetName val="Sep_wk1_FATP_capa__plan8"/>
      <sheetName val="Sel_Ops_spending8"/>
      <sheetName val="Ops_cost8"/>
      <sheetName val="iPhone_RMA8"/>
      <sheetName val="DELL_CELKEM8"/>
      <sheetName val="fin__nákl_8"/>
      <sheetName val="rez__nakl8"/>
      <sheetName val="Data_lists8"/>
      <sheetName val="三_BY區域生產達成曲線及直通率8"/>
      <sheetName val="Receiving_Inspection7"/>
      <sheetName val="Overhead_calculations7"/>
      <sheetName val="Lookup_Tables7"/>
      <sheetName val="Slim_Merlot_Block_Diagram6"/>
      <sheetName val="Hardtool_Costs8"/>
      <sheetName val="Softtool-Proto_Costs8"/>
      <sheetName val="Packaging_Sheet8"/>
      <sheetName val="Assembly_Costs8"/>
      <sheetName val="Min_Quoted_Qty8"/>
      <sheetName val="Monthly__Report8"/>
      <sheetName val="A58_20126"/>
      <sheetName val="BB_Table7"/>
      <sheetName val="All_Parts6"/>
      <sheetName val="Part_Data4"/>
      <sheetName val="达丰ZL系列_3"/>
      <sheetName val="Jan_to_Aug7"/>
      <sheetName val="C_BF3_MSL__March7"/>
      <sheetName val="General_Instructions7"/>
      <sheetName val="Input_commodity_fallout7"/>
      <sheetName val="七_8S專案稽核報表7"/>
      <sheetName val="庫齡板_Daily7"/>
      <sheetName val="U21_RF_IFX8"/>
      <sheetName val="U1_Toshiba_16G(878)8"/>
      <sheetName val="Debug_check_list7"/>
      <sheetName val="WW_($)7"/>
      <sheetName val="$AMF_(T)7"/>
      <sheetName val="Metheor_2GHz7"/>
      <sheetName val="Green_Lantern_sound7"/>
      <sheetName val="GL_snd_2GHz7"/>
      <sheetName val="Green_Lantern_No_sound7"/>
      <sheetName val="GL_nsnd_2GHz7"/>
      <sheetName val="Tesla_Respin7"/>
      <sheetName val="AMF_($)7"/>
      <sheetName val="EMF_($)7"/>
      <sheetName val="APCC_($)7"/>
      <sheetName val="CCC_($)7"/>
      <sheetName val="Brazil_($)7"/>
      <sheetName val="Risers_($)7"/>
      <sheetName val="Servers_($)7"/>
      <sheetName val="TNS_Input7"/>
      <sheetName val="Materials_Quarterly7"/>
      <sheetName val="Fab_Summary7"/>
      <sheetName val="MFG_MVA_Assumption7"/>
      <sheetName val="Basic_Assumption7"/>
      <sheetName val="Material_List7"/>
      <sheetName val="Master_Lists7"/>
      <sheetName val="Cost_Breakdown7"/>
      <sheetName val="SPM_Units7"/>
      <sheetName val="&quot;B&quot;_Quote_Model7"/>
      <sheetName val="Overhead_summary7"/>
      <sheetName val="AsiaPac_Natural_Class7"/>
      <sheetName val="Capacity_By_Modle6"/>
      <sheetName val="Data_Summary6"/>
      <sheetName val="Menu_Items6"/>
      <sheetName val="Outsourcin_PPV_(Sep_FOL)6"/>
      <sheetName val="Blf2+LOM_cost_bom_0809026"/>
      <sheetName val="METAL_data6"/>
      <sheetName val="Internal_Hourly_Rate6"/>
      <sheetName val="Metal_Hard_Tooling_6"/>
      <sheetName val="June_wk36"/>
      <sheetName val="Detail_Schedule6"/>
      <sheetName val="OverTime_Rule6"/>
      <sheetName val="7-教育訓練實施狀況（2）-OK_6"/>
      <sheetName val="WKS_P1_Personel_output_6"/>
      <sheetName val="Improve_plan_orientation6"/>
      <sheetName val="Dell_NSK_MDS_LRR6"/>
      <sheetName val="WI_MODEM及SCAN6"/>
      <sheetName val="Rosa_6"/>
      <sheetName val="FAE_reports6"/>
      <sheetName val="CKD_BE_HC_Table6"/>
      <sheetName val="2003_Target6"/>
      <sheetName val="2003_prod26"/>
      <sheetName val="Inventory_Trend6"/>
      <sheetName val="inspect_capa6"/>
      <sheetName val="General_Inputs6"/>
      <sheetName val="WAT_分析報表_6"/>
      <sheetName val="ADSL_MPS6"/>
      <sheetName val="TE_Plan6"/>
      <sheetName val="Master_List4"/>
      <sheetName val="Multibay_Optical6"/>
      <sheetName val="intel_target6"/>
      <sheetName val="EFFA_Error_Code6"/>
      <sheetName val="wsp_12-036"/>
      <sheetName val="管理中心_KPI達成情況總覽及趨勢分析6"/>
      <sheetName val="L02-1F_制十三課維修層別CG報廢狀況_6"/>
      <sheetName val="L02-1F_制十三課維修層別HSG報廢狀況_6"/>
      <sheetName val="ME_Overall_Summary6"/>
      <sheetName val="Proto_16"/>
      <sheetName val="L1_SP6"/>
      <sheetName val="L1_CA6"/>
      <sheetName val="L1_CD6"/>
      <sheetName val="L1_HD6"/>
      <sheetName val="GSO's_File6"/>
      <sheetName val="Dean's_File6"/>
      <sheetName val="small_card_基本資料0216_046"/>
      <sheetName val="Cosmetic_MIL6"/>
      <sheetName val="External_Data3"/>
      <sheetName val="A_Shift3"/>
      <sheetName val="B_Shift3"/>
      <sheetName val="C_Shift3"/>
      <sheetName val="D_Shift3"/>
      <sheetName val="Bluford3_MB_BOM-Intel_LAN4"/>
      <sheetName val="Mat_Summary6"/>
      <sheetName val="A-Note_Bug_list6"/>
      <sheetName val="32&quot;_Part_list3"/>
      <sheetName val="32&quot;_Summary3"/>
      <sheetName val="AMD_MB_FBOM_0103036"/>
      <sheetName val="Drop_Down_List4"/>
      <sheetName val="Int'l_Summary4"/>
      <sheetName val="Port_Summary4"/>
      <sheetName val="Team_List6"/>
      <sheetName val="Price_Summary4"/>
      <sheetName val="Mechanical_Assembly3"/>
      <sheetName val="G8WZA5_PKG部品表3"/>
      <sheetName val="Saturn_MVB_bom_Aug_18'083"/>
      <sheetName val="Product_Map3"/>
      <sheetName val="Internal_rate4"/>
      <sheetName val="Master_List_Without_MU%__4"/>
      <sheetName val="RFQ_Info4"/>
      <sheetName val="Financial_Dashboard4"/>
      <sheetName val="NRE_-_pay_by_customer4"/>
      <sheetName val="PU_&amp;_RM4"/>
      <sheetName val="Cover_Page4"/>
      <sheetName val="Valid_Values6"/>
      <sheetName val="Baseline_&amp;_Summary6"/>
      <sheetName val="Bearlake_4_SKUs_conbimed_3"/>
      <sheetName val="CCD_master_file3"/>
      <sheetName val="AIR_(Inbound_material)3"/>
      <sheetName val="Freight_Breakdown3"/>
      <sheetName val="Master_List_MU%__3"/>
      <sheetName val="New_Workings4"/>
      <sheetName val="Sum_Sheet4"/>
      <sheetName val="Entity_table3"/>
      <sheetName val="3-In-1_Chart_OTD3"/>
      <sheetName val="Mont_Rates4"/>
      <sheetName val="PL_&amp;_VS3"/>
      <sheetName val="PN_&amp;_PL3"/>
      <sheetName val="P_&amp;_L3"/>
      <sheetName val="2005_Business_Summary3"/>
      <sheetName val="Sheet1_(2)8"/>
      <sheetName val="下拉選單_Type13"/>
      <sheetName val="_3_(2)3"/>
      <sheetName val="Fixed_sg&amp;A_6"/>
      <sheetName val="Vol_26"/>
      <sheetName val="Vol_16"/>
      <sheetName val="D_Lab6"/>
      <sheetName val="Fixed_Factory_Overheads6"/>
      <sheetName val="Matl_Burden6"/>
      <sheetName val="pcbo_工時6"/>
      <sheetName val="Pebble_FAE_reports6"/>
      <sheetName val="Nimitz_Base_Cover3"/>
      <sheetName val="FA_Definitions3"/>
      <sheetName val="FCT_August3"/>
      <sheetName val="Raw_BOMS3"/>
      <sheetName val="Antenna_Window3"/>
      <sheetName val="T1_Tact_Time4"/>
      <sheetName val="T1-PVD_&amp;_CVD_release_chamber調查4"/>
      <sheetName val="Dry_etch_release_chamber4"/>
      <sheetName val="inspection_capa_4"/>
      <sheetName val="Material_Category_Summary4"/>
      <sheetName val="Data_Index6"/>
      <sheetName val="Data_Verify6"/>
      <sheetName val="Data_sheet6"/>
      <sheetName val="1_46"/>
      <sheetName val="1_256"/>
      <sheetName val="Freemode_Item_TOPX_Yield4"/>
      <sheetName val="CTO_PO4"/>
      <sheetName val="Entry-Mid_FRU4"/>
      <sheetName val="Raw_Data4"/>
      <sheetName val="COMMMON_POOL拆分4"/>
      <sheetName val="NJ_MM4"/>
      <sheetName val="RSMI_2016_09_調整4"/>
      <sheetName val="GL_Sales3"/>
      <sheetName val="Starter_Export3"/>
      <sheetName val="Building_Blocks3"/>
      <sheetName val="Q_K810VU+939_CostBOM_Rev0120043"/>
      <sheetName val="4X3_5_Chassis3"/>
      <sheetName val="QIP_SMT4"/>
      <sheetName val="UD1_QIT_report4"/>
      <sheetName val="Line_balance4"/>
      <sheetName val="SBB_Table3"/>
      <sheetName val="Simple_Cost_Form3"/>
      <sheetName val="Q#3839_Indented_Bom_d3"/>
      <sheetName val="A58_20113"/>
      <sheetName val="zsdr82_Tab_3"/>
      <sheetName val="Apollo_NDF_TOP53"/>
      <sheetName val="Scrap_Total3"/>
      <sheetName val="Cost_comparison_sheet3"/>
      <sheetName val="Unit_price_breakdown3"/>
      <sheetName val="choose_list3"/>
      <sheetName val="WO_list3"/>
      <sheetName val="VI1_Test_Result4"/>
      <sheetName val="Viewing_angles4"/>
      <sheetName val="KT1_Qual6"/>
      <sheetName val="ant__B4"/>
      <sheetName val="Elec_&amp;SW4"/>
      <sheetName val="Test_Summary4"/>
      <sheetName val="NR3L_IRT_parts4"/>
      <sheetName val="ver3_0_(LTM170EU)4"/>
      <sheetName val="Texas-M_SJC3"/>
      <sheetName val="Country_List3"/>
      <sheetName val="MPS_Q3_FY043"/>
      <sheetName val="MPS_Q4_FY043"/>
      <sheetName val="Summary_definition3"/>
      <sheetName val="General_info3"/>
      <sheetName val="仪校仪器月报_(2)3"/>
      <sheetName val="1_133"/>
      <sheetName val="G18出勤工時及UPPH_(2)3"/>
      <sheetName val="Raggie-T3工時(13_5K)V_13"/>
      <sheetName val="project_data6"/>
      <sheetName val="exchange_rate6"/>
      <sheetName val="Comm_Matrix6"/>
      <sheetName val="Trend_chart3"/>
      <sheetName val="FATP_MLB_LOSS3"/>
      <sheetName val="FCT_Test3"/>
      <sheetName val="JGP_Holidays3"/>
      <sheetName val="TFB_RL_Aging_Day3"/>
      <sheetName val="原因分析_3"/>
      <sheetName val="Priority_Item_issue3"/>
      <sheetName val="Change_History3"/>
      <sheetName val="Test_coverage3"/>
      <sheetName val="Line_Down_Report_Rule4"/>
      <sheetName val="FA_FPY6"/>
      <sheetName val="Pilot_Run6"/>
      <sheetName val="Overall_Summary_4"/>
      <sheetName val="VB_毛刺線批退率_3"/>
      <sheetName val="36_Mexico3"/>
      <sheetName val="Cost_calc_3"/>
      <sheetName val="Q_BF3_FBOM-update011504_(2)3"/>
      <sheetName val="summary,_MTH1"/>
      <sheetName val="Claim_Summary2"/>
      <sheetName val="NVRam3_ICT2"/>
      <sheetName val="Issue_break_down2"/>
      <sheetName val="Dimension_FA_Tracking2"/>
      <sheetName val="Tactility_FA_Tracking2"/>
      <sheetName val="Cosmetic_FA_Tracking_2"/>
      <sheetName val="Function_FA_Tracking2"/>
      <sheetName val="IT_FA_Tracking2"/>
      <sheetName val="Sample_cost1"/>
      <sheetName val="FA_05092"/>
      <sheetName val="70X_CNC3夾趨勢圖2"/>
      <sheetName val="NDA_Pareto2"/>
      <sheetName val="1_營收獲利推移圖2"/>
      <sheetName val="Estimation_Result2"/>
      <sheetName val="Quotation_Details2"/>
      <sheetName val="Mock_Up6"/>
      <sheetName val="BF3_MB_cost__0708_from_MSL6"/>
      <sheetName val="RickelsRFQPWA#_26"/>
      <sheetName val="Management_Review6"/>
      <sheetName val="FRU_Cost6"/>
      <sheetName val="EC_Charge4"/>
      <sheetName val="Naming_22"/>
      <sheetName val="daily_data_Orchid2"/>
      <sheetName val="Door_Access_(2)2"/>
      <sheetName val="Days_Payable_OS2"/>
      <sheetName val="SMI_Aging_Analysis_Data2"/>
      <sheetName val="Part_Names3"/>
      <sheetName val="Total_transition_plan2"/>
      <sheetName val="CSHARK_L42"/>
      <sheetName val="IC_Compare2"/>
      <sheetName val="MRP__22"/>
      <sheetName val="Year_Graph2"/>
      <sheetName val="Process_List1"/>
      <sheetName val="Labor_Assumptions1"/>
      <sheetName val="Exh_Branch(8K)(依前購)1"/>
      <sheetName val="VD_Daily_Report_New1"/>
      <sheetName val="G_系列1"/>
      <sheetName val="T2_Array_defect_density1"/>
      <sheetName val="LAM_BEF_MRP1"/>
      <sheetName val="RAMP_UP(SMT)4"/>
      <sheetName val="FA300600_xls1"/>
      <sheetName val="Inventory_Turns3"/>
      <sheetName val="Indirect_Labour3"/>
      <sheetName val="Call_Down_Data_OLD2"/>
      <sheetName val="Master_GW_v3_Sorted1"/>
      <sheetName val="Labor_Input_Data1"/>
      <sheetName val="Material_Input_Data1"/>
      <sheetName val="Quantity_Input_Data1"/>
      <sheetName val="VAM_Report_Input1"/>
      <sheetName val="Summary_Revenue1"/>
      <sheetName val="Molding_Data1"/>
      <sheetName val="Input_Table1"/>
      <sheetName val="Molding_Outputs1"/>
      <sheetName val="_CP1"/>
      <sheetName val="STD_HRS1"/>
      <sheetName val="Calypso_PCA1"/>
      <sheetName val="Clark_PCA1"/>
      <sheetName val="CMT_Z21"/>
      <sheetName val="Mercury_PCA1"/>
      <sheetName val="MT_62051"/>
      <sheetName val="Saturn_PCA1"/>
      <sheetName val="ODM_OWN_cost_by_month2"/>
      <sheetName val="Dropdown_I2"/>
      <sheetName val="Dropdwon_II2"/>
      <sheetName val="Detailed_Quote_(AIO)2"/>
      <sheetName val="DO_NOT_DELETE1"/>
      <sheetName val="FTX_Commit1"/>
      <sheetName val="By_Action1"/>
      <sheetName val="By_Owner1"/>
      <sheetName val="Material_Cost&amp;press_rate1"/>
      <sheetName val="Post_IN_Award_NegCorvette_Towe1"/>
      <sheetName val="by_supplier(value)2"/>
      <sheetName val="Import_Freight1"/>
      <sheetName val="Material_Group1"/>
      <sheetName val="Item_Class1"/>
      <sheetName val="Lucy_Cayenne_RoHS_Material_Cos1"/>
      <sheetName val="Cayenne_RoHS-07261"/>
      <sheetName val="5C_Sum1"/>
      <sheetName val="DOE_Config1"/>
      <sheetName val="Matl_usage1"/>
      <sheetName val="Matl_totals1"/>
      <sheetName val="ShipTo_Locations1"/>
      <sheetName val="Account_Group1"/>
      <sheetName val="EDI_Sep_131"/>
      <sheetName val="Project_Definition_Form_Summar1"/>
      <sheetName val="Data_Validation1"/>
      <sheetName val="LCM(Optrex_DPPM_report)1"/>
      <sheetName val="3_9產出工時1"/>
      <sheetName val="Diff_Other_re&amp;ex1"/>
      <sheetName val="other_revenue1"/>
      <sheetName val="底稿_|_出貨量_營收_毛利_稅前_稅後(MNTD)1"/>
      <sheetName val="中央作業_|_匯總表(MNTD)1"/>
      <sheetName val="MS60_PVT-ME-BOM1"/>
      <sheetName val="VN_LV-FP沖銷1"/>
      <sheetName val="VN_LX-FP沖銷1"/>
      <sheetName val="UPPER_BLOCK1"/>
      <sheetName val="Material%_-2009_Trend_revised1"/>
      <sheetName val="Medion_-_Product_mix1"/>
      <sheetName val="Marathon_BOM_CM-MFG_Lead-Time1"/>
      <sheetName val="BD1_Cost_M1"/>
      <sheetName val="BD2_Cost_M1"/>
      <sheetName val="BD3_Cost_M1"/>
      <sheetName val="Pure_Cap_IO1"/>
      <sheetName val="I2ONMB_Deployment_Tracker1"/>
      <sheetName val="DG_1"/>
      <sheetName val="FOL_Database1"/>
      <sheetName val="BOL_Database1"/>
      <sheetName val="Weekly_Cases_Opened1"/>
      <sheetName val="Error_Groups2"/>
      <sheetName val="sm_Pcost3"/>
      <sheetName val="HGA_ENG2"/>
      <sheetName val="IP-1_INSP-CAV_#22"/>
      <sheetName val="Version_Control2"/>
      <sheetName val="FLX_Consolflxidated2"/>
      <sheetName val="daily_quality_summary2"/>
      <sheetName val="3_261"/>
      <sheetName val="3_251"/>
      <sheetName val="Category_Definition1"/>
      <sheetName val="BS_CIG1"/>
      <sheetName val="BS_IDEN1"/>
      <sheetName val="BS_PCS1"/>
      <sheetName val="P&amp;L_CIG1"/>
      <sheetName val="P&amp;L_FWT1"/>
      <sheetName val="P&amp;L_IDEN1"/>
      <sheetName val="P&amp;L_PCS1"/>
      <sheetName val="IN_OPEX1"/>
      <sheetName val="Customize_Your_Invoice1"/>
      <sheetName val="IPQC_NG1"/>
      <sheetName val="Core_Courses_&amp;_ILP_Plan2"/>
      <sheetName val="Reason_Codes2"/>
      <sheetName val="current_quote2"/>
      <sheetName val="cost_table_2015012"/>
      <sheetName val="4__Detailed_quote2"/>
      <sheetName val="MPS_Q3_FY052"/>
      <sheetName val="Royalty_Summary1"/>
      <sheetName val="4_4_鶴壁園區吃住行1"/>
      <sheetName val="_Top_issue1"/>
      <sheetName val="DELL_FCST1"/>
      <sheetName val="Unit_Cost_Trend_Chart_by_Sect_1"/>
      <sheetName val="CSHARK_L51"/>
      <sheetName val="CSHARK_L11"/>
      <sheetName val="JAWS_L21"/>
      <sheetName val="JAWS-COOL_99__L21"/>
      <sheetName val="CSHARK_L61"/>
      <sheetName val="CSHARK_L71"/>
      <sheetName val="CSHARK_L8A1"/>
      <sheetName val="CSHARK_L8B1"/>
      <sheetName val="CSHARK_L9A1"/>
      <sheetName val="CSHARK_L9B1"/>
      <sheetName val="VESA_Tests1"/>
      <sheetName val="Gamma_Data1"/>
      <sheetName val="存貨庫存趨勢圖-NEW_1"/>
      <sheetName val="matrix_DO_NOT_DELETE1"/>
      <sheetName val="班长趋势图（制品）_"/>
      <sheetName val="4M进行分析（制品)_"/>
      <sheetName val="G1直通产出率_"/>
      <sheetName val="原材责Reason_Code"/>
      <sheetName val="Tact_Time-Photo1"/>
      <sheetName val="Tact_Time-TF1"/>
      <sheetName val="Tact_Time_Etch1"/>
      <sheetName val="15_分像素"/>
      <sheetName val="$$_Document_ID1"/>
      <sheetName val="JOB_Table1"/>
      <sheetName val="Project_Identification1"/>
      <sheetName val="al_cover"/>
      <sheetName val="RD_TABLE"/>
      <sheetName val="产品描述_"/>
      <sheetName val="Control_Schedule"/>
      <sheetName val="Job_Description"/>
      <sheetName val="G99_For_T1&amp;Drop1_出货生产数据"/>
      <sheetName val="Capacility_Review"/>
      <sheetName val="Check_list_"/>
      <sheetName val="CAPA분석_360K"/>
      <sheetName val="값목록(Do_not_touch)"/>
      <sheetName val="生产进度月TOTAL表_6"/>
      <sheetName val="MNT_개발계획_최종"/>
      <sheetName val="人力試算_11月"/>
      <sheetName val="Summary_By_Site"/>
      <sheetName val="CR_requirements"/>
      <sheetName val="Summary_by_Account"/>
      <sheetName val="Luong_Co_ban"/>
      <sheetName val="Cost_bridge_SC9_Avg_config"/>
      <sheetName val="Expedite_Cost"/>
      <sheetName val="3FPKW_Commodities"/>
      <sheetName val="INSTRUCTIONS_(do_not_remove)"/>
      <sheetName val="_Matrix"/>
      <sheetName val="Thunder__LOGOTOPISSUES-银"/>
      <sheetName val="Defect_Code_6_1"/>
      <sheetName val="CN14_NCT_SZ_PLANT"/>
      <sheetName val="2009_Unit_Price"/>
      <sheetName val="2009Forecast_QTY_"/>
      <sheetName val="Metal-LF_Act&amp;Rolling_P&amp;L"/>
      <sheetName val="Balance_SPS"/>
      <sheetName val="04_廠區別營收分佈"/>
      <sheetName val="HVT2_SMT"/>
      <sheetName val="Ship_to_addresses"/>
      <sheetName val="Yield_%s"/>
      <sheetName val="standard_input"/>
      <sheetName val="Waterfall_"/>
      <sheetName val="Mechanical_Assembly-Mission-MT3"/>
      <sheetName val="selection_lists"/>
      <sheetName val="CC507-4x3_5"/>
      <sheetName val="Intel_Lan_+_AD1885_EBOM1"/>
      <sheetName val="Breakeven_Analysis"/>
      <sheetName val="Glass_투입수_입력"/>
      <sheetName val="L02-1F_制十三課維修層ꀥ돛㴣Ԁ̙"/>
      <sheetName val="L02-1F_制十三課維修層ꀥ돛㴣"/>
      <sheetName val="AOP_Summary-2"/>
      <sheetName val="03__營運預算(by客戶by產品)"/>
      <sheetName val="部級--TFT_Center_&amp;_其他1"/>
      <sheetName val="HYDRA_Glossary"/>
      <sheetName val="Raggie-T3工時(13,5K)V_1"/>
      <sheetName val="Initial_Input1"/>
      <sheetName val="Template_Inputs"/>
      <sheetName val="PRB_Sub_list"/>
      <sheetName val="Station_Name"/>
      <sheetName val="CM_code_(internal)_"/>
      <sheetName val="Ano4_0_KO_list"/>
      <sheetName val="base_de_datos"/>
      <sheetName val="UPC&amp;EAN"/>
      <sheetName val="[FA300600.xls]___Nsg02_c_win_15"/>
      <sheetName val="___Nsg02_c_windows_TEMP_MSOff_2"/>
      <sheetName val="___Nsg02_c_windows_TEMP_MSOff_3"/>
      <sheetName val="___Nsg02_c_windows_TEMP_MSOff_4"/>
      <sheetName val="___Nsg02_c_windows_TEMP_MSOff_5"/>
      <sheetName val="___Nsg02_c_windows_TEMP_MSOff_6"/>
      <sheetName val="___Nsg02_c_windows_TEMP_MSOff_7"/>
      <sheetName val="___Nsg02_c_windows_TEMP_MSOff_8"/>
      <sheetName val="___Nsg02_c_windows_TEMP_MSOff_9"/>
      <sheetName val="___Nsg02_c_windows_TEMP_MSOf_10"/>
      <sheetName val="___Nsg02_c_windows_TEMP_MSOf_11"/>
      <sheetName val="___Nsg02_c_windows_TEMP_MSOf_12"/>
      <sheetName val="___Nsg02_c_windows_TEMP_MSOf_13"/>
      <sheetName val="___Nsg02_c_windows_TEMP_MSOf_14"/>
      <sheetName val="___Nsg02_c_windows_TEMP_MSOf_15"/>
      <sheetName val="___Nsg02_c_windows_TEMP_MSOf_16"/>
      <sheetName val="___Nsg02_c_windows_TEMP_MSOf_17"/>
      <sheetName val="___Nsg02_c_windows_TEMP_MSOf_18"/>
      <sheetName val="___Nsg02_c_windows_TEMP_MSOf_19"/>
      <sheetName val="___Nsg02_c_windows_TEMP_MSOf_20"/>
      <sheetName val="Price_MFM"/>
      <sheetName val="PgmStat"/>
      <sheetName val="___Nsg02_c_windows_TEMP_MSOf_21"/>
      <sheetName val="??_x005"/>
      <sheetName val="___x005"/>
      <sheetName val="Requesters"/>
      <sheetName val="Roush UMA-Briscoe UMA"/>
      <sheetName val="ConfigList_DT"/>
      <sheetName val="ConfigList_NB"/>
      <sheetName val="Option List"/>
      <sheetName val="流失原因汇总"/>
      <sheetName val="下拉选项"/>
      <sheetName val="Do not modify"/>
      <sheetName val="EVT ASSY"/>
      <sheetName val="EVT key part"/>
      <sheetName val="HOLD BCM50"/>
      <sheetName val="Hold DRX"/>
      <sheetName val="Hold PP15K"/>
      <sheetName val="Inventory"/>
      <sheetName val="Hold Nortel"/>
      <sheetName val="Cumplimiento al plan"/>
      <sheetName val="VALIDACION"/>
      <sheetName val="Data values"/>
      <sheetName val="DATE_VALUES"/>
      <sheetName val="Criterios"/>
      <sheetName val="Inventarios LR"/>
      <sheetName val="Costo Beneficio"/>
      <sheetName val="Scrap"/>
      <sheetName val="Back up salidas"/>
      <sheetName val="Salidas"/>
      <sheetName val="RoadMap"/>
      <sheetName val="Segment 4 Bid Sheet"/>
      <sheetName val="Top SubAss+FG"/>
      <sheetName val="NPI Quote Model"/>
      <sheetName val="原物料基本資料"/>
      <sheetName val="L02-1F 制十三課維修層%"/>
      <sheetName val="L02-1F 制十三課維修層逥飢怅"/>
      <sheetName val="projection 2008-07"/>
      <sheetName val="96BP"/>
      <sheetName val="2004"/>
      <sheetName val="Update list"/>
      <sheetName val="[FA300600.xls]___Nsg02_c_win_16"/>
      <sheetName val="[FA300600.xls]___Nsg02_c_win_17"/>
      <sheetName val="[FA300600.xls]___Nsg02_c_win_18"/>
      <sheetName val="614_BOM"/>
      <sheetName val="[FA300600.xls]___Nsg02_c_win_21"/>
      <sheetName val="[FA300600.xls]___Nsg02_c_win_19"/>
      <sheetName val="[FA300600.xls]___Nsg02_c_win_20"/>
      <sheetName val="Weekly Manpower"/>
      <sheetName val="Xenon"/>
      <sheetName val="下单菜单维护"/>
      <sheetName val="输入清单"/>
      <sheetName val="附件一"/>
      <sheetName val="日历"/>
      <sheetName val="Molded Part Cost"/>
      <sheetName val="Q1 pricing"/>
      <sheetName val="Weekly FCST &amp; MZC600"/>
      <sheetName val="10月物损率总表三部"/>
      <sheetName val="物损率 1"/>
      <sheetName val="2月物损率总表 一部"/>
      <sheetName val="3月物损率总表 一部"/>
      <sheetName val="Across Project Spend"/>
      <sheetName val="Testing Coverage "/>
      <sheetName val="FG"/>
      <sheetName val="1704TN"/>
      <sheetName val="VIBEP-TA"/>
      <sheetName val="OP-CHA"/>
      <sheetName val="10"/>
      <sheetName val="Green_PCBA_Quote"/>
      <sheetName val="BOM_1102721-AC"/>
      <sheetName val="References"/>
      <sheetName val="BMC_DM"/>
      <sheetName val="Costed_BOM"/>
      <sheetName val="bpd_us"/>
      <sheetName val="Statistical_Analyst"/>
      <sheetName val="Plastic_Tool_Std_input"/>
      <sheetName val="BOM-Stingray-10"/>
      <sheetName val="Customer_supplied_prices"/>
      <sheetName val="GAAP_GEO"/>
      <sheetName val="COST"/>
      <sheetName val="DCT_DM"/>
      <sheetName val="G-100_Coherent_BOM"/>
      <sheetName val="G100_Coh_BOMCost"/>
      <sheetName val="G-150_Coherent_BOM"/>
      <sheetName val="G150_Coh_BOMCost"/>
      <sheetName val="Februar_2002"/>
      <sheetName val="PnL"/>
      <sheetName val="Open_PO"/>
      <sheetName val="Quote_(M)"/>
      <sheetName val="tmp095788128"/>
      <sheetName val="PP_Costing"/>
      <sheetName val="Q1-04_Prices"/>
      <sheetName val="Q1'04"/>
      <sheetName val="Q2'04"/>
      <sheetName val="Quote_(M+6)"/>
      <sheetName val="SB5101_DM"/>
      <sheetName val="SBV5120_DM"/>
      <sheetName val="SBV5220_DM"/>
      <sheetName val="LINCON"/>
      <sheetName val="Segment_4_Bid_Sheet"/>
      <sheetName val="Top_SubAss+FG"/>
      <sheetName val="ShpCdLkUp"/>
      <sheetName val="WC_lookup"/>
      <sheetName val="Main_(2)"/>
      <sheetName val="ｺﾝﾄﾛｰﾙ1"/>
      <sheetName val="AP vs MF vs ACT"/>
      <sheetName val="Optra M"/>
      <sheetName val="一覽"/>
      <sheetName val="BAL COST "/>
      <sheetName val="NET COST "/>
      <sheetName val="DFb "/>
      <sheetName val="DFe"/>
      <sheetName val="DFa"/>
      <sheetName val="DFr"/>
      <sheetName val="DFs"/>
      <sheetName val="DFc"/>
      <sheetName val="Ship Plan"/>
      <sheetName val="Can status"/>
      <sheetName val="V&amp;I_SW018"/>
      <sheetName val="WiFi_SW018"/>
      <sheetName val="AOI Check"/>
      <sheetName val="Daily Production Plan"/>
      <sheetName val="Display Back"/>
      <sheetName val="Std ship delay"/>
      <sheetName val="DataSheet"/>
      <sheetName val="Tooling_life"/>
      <sheetName val="All Accidents_Sum2"/>
      <sheetName val="TM050XDZP07-00(总体)"/>
      <sheetName val="华为周报"/>
      <sheetName val="P10-关键岗位名单及MSA考核 OQA"/>
      <sheetName val="附录1、手机结构EC问题分类（含不良EC分类）"/>
      <sheetName val="标准故障现象"/>
      <sheetName val="失效根因模板"/>
      <sheetName val="根因链接表"/>
      <sheetName val="问题关闭类型"/>
      <sheetName val="订单状况"/>
      <sheetName val="Fang  L"/>
      <sheetName val="QM_FA"/>
      <sheetName val="内QM_FA一M2M001"/>
      <sheetName val="die_data"/>
      <sheetName val="Team_member"/>
      <sheetName val="JANｺｰﾄﾞ"/>
      <sheetName val="汜莉輛僅堎TOTAL桶ㄗ4ㄘ"/>
      <sheetName val="Feuil1"/>
      <sheetName val="Qz1"/>
      <sheetName val="Overall Results"/>
      <sheetName val="Packing수불"/>
      <sheetName val="체크리스트"/>
      <sheetName val="Host_CK66_Clks"/>
      <sheetName val="平衡分析"/>
      <sheetName val="MRO list"/>
      <sheetName val="CELL"/>
      <sheetName val="생산계획"/>
      <sheetName val="월간total"/>
      <sheetName val="실적입력"/>
      <sheetName val="CELL 생산일보 "/>
      <sheetName val="PCBA"/>
      <sheetName val="参数表"/>
      <sheetName val="產品基本信息"/>
      <sheetName val="资料验证栏"/>
      <sheetName val="面試官"/>
      <sheetName val="Data matrix_DO NOT DELETE"/>
      <sheetName val="Back up總明細表 師1-師7"/>
      <sheetName val="Approval Status"/>
      <sheetName val="Change Type"/>
      <sheetName val="Phase-In"/>
      <sheetName val="Stage"/>
      <sheetName val="Noise raw data (2)"/>
      <sheetName val="工作表3"/>
      <sheetName val="14"/>
      <sheetName val="Budget Summary"/>
      <sheetName val="资料验证"/>
      <sheetName val="Select"/>
      <sheetName val="_x0000__x0008__x0000_"/>
      <sheetName val="_x0000__x0008__x0000__x0000__x0000__x0005__x0000__x0000_"/>
      <sheetName val="2-爬坡达成状况构图"/>
      <sheetName val="AE_Machines"/>
      <sheetName val="A03-3F  Down time 損失明細"/>
      <sheetName val="下拉菜單"/>
      <sheetName val="Spacer"/>
      <sheetName val="等級說明"/>
      <sheetName val="Reference Rev 1.1"/>
      <sheetName val="Error code 1"/>
      <sheetName val="Confirm Line Summary"/>
      <sheetName val="架構"/>
      <sheetName val="Performance"/>
      <sheetName val="KRMB"/>
      <sheetName val="Cover Sheet Q2"/>
      <sheetName val="Validation list"/>
      <sheetName val="Lindbergh Yield"/>
      <sheetName val="Exchange Rates"/>
      <sheetName val="库存表"/>
      <sheetName val="汽車物流事業部"/>
      <sheetName val="空白表4"/>
      <sheetName val="工費率"/>
      <sheetName val="EVT FATP"/>
      <sheetName val="Data list"/>
      <sheetName val="Reference1"/>
      <sheetName val="Drop Data Final"/>
      <sheetName val="Issue Tracker"/>
      <sheetName val="dataStore"/>
      <sheetName val="SRC-New"/>
      <sheetName val="Drop Down-New"/>
      <sheetName val="_x005f_x005f_x005f_x005f_x005f_x005f_x0000퀷쪵큐쪆퀈쪋f"/>
      <sheetName val="D10 Testflow v24 UPH 100_FA"/>
      <sheetName val="Neo"/>
      <sheetName val="下拉式選單"/>
      <sheetName val="1672-9510"/>
      <sheetName val="暫估"/>
      <sheetName val="管理中心"/>
      <sheetName val="Form1-1"/>
      <sheetName val="PassOnPass"/>
      <sheetName val="Saturdcy"/>
      <sheetName val="[FA300600.xls]___Nsg02_c_win_37"/>
      <sheetName val="[FA300600.xls]___Nsg02_c_win_28"/>
      <sheetName val="[FA300600.xls]___Nsg02_c_win_25"/>
      <sheetName val="[FA300600.xls]___Nsg02_c_win_22"/>
      <sheetName val="[FA300600.xls]___Nsg02_c_win_24"/>
      <sheetName val="[FA300600.xls]___Nsg02_c_win_23"/>
      <sheetName val="[FA300600.xls]___Nsg02_c_win_26"/>
      <sheetName val="[FA300600.xls]___Nsg02_c_win_27"/>
      <sheetName val="[FA300600.xls]___Nsg02_c_win_29"/>
      <sheetName val="[FA300600.xls]___Nsg02_c_win_32"/>
      <sheetName val="[FA300600.xls]___Nsg02_c_win_30"/>
      <sheetName val="[FA300600.xls]___Nsg02_c_win_31"/>
      <sheetName val="[FA300600.xls]___Nsg02_c_win_33"/>
      <sheetName val="[FA300600.xls]___Nsg02_c_win_34"/>
      <sheetName val="[FA300600.xls]___Nsg02_c_win_36"/>
      <sheetName val="[FA300600.xls]___Nsg02_c_win_35"/>
      <sheetName val="[FA300600.xls]___Nsg02_c_win_61"/>
      <sheetName val="Bondi_Display_Back3"/>
      <sheetName val="On_Hand3"/>
      <sheetName val="Schedule_Gantt_Chart3"/>
      <sheetName val="Shipping_Data"/>
      <sheetName val="9_LRR_（客訴）"/>
      <sheetName val="M++_FLOWCHART_"/>
      <sheetName val="客戶清單customer_list"/>
      <sheetName val="projection_2008-07"/>
      <sheetName val="경영현황"/>
      <sheetName val="MAN"/>
      <sheetName val="樞紐分析表"/>
      <sheetName val="加班"/>
      <sheetName val="[FA300600.xls]___Nsg02_c_win_38"/>
      <sheetName val="[FA300600.xls]___Nsg02_c_win_39"/>
      <sheetName val="[FA300600.xls]___Nsg02_c_win_40"/>
      <sheetName val="[FA300600.xls]___Nsg02_c_win_41"/>
      <sheetName val="[FA300600.xls]___Nsg02_c_win_43"/>
      <sheetName val="[FA300600.xls]___Nsg02_c_win_42"/>
      <sheetName val="[FA300600.xls]___Nsg02_c_win_45"/>
      <sheetName val="[FA300600.xls]___Nsg02_c_win_44"/>
      <sheetName val="[FA300600.xls]___Nsg02_c_win_46"/>
      <sheetName val="[FA300600.xls]___Nsg02_c_win_47"/>
      <sheetName val="[FA300600.xls]___Nsg02_c_win_48"/>
      <sheetName val="[FA300600.xls]___Nsg02_c_win_51"/>
      <sheetName val="[FA300600.xls]___Nsg02_c_win_49"/>
      <sheetName val="[FA300600.xls]___Nsg02_c_win_50"/>
      <sheetName val="[FA300600.xls]___Nsg02_c_win_52"/>
      <sheetName val="[FA300600.xls]___Nsg02_c_win_53"/>
      <sheetName val="2210"/>
      <sheetName val="[FA300600.xls]___Nsg02_c_win_54"/>
      <sheetName val="[FA300600.xls]___Nsg02_c_win_55"/>
      <sheetName val="[FA300600.xls]___Nsg02_c_win_56"/>
      <sheetName val="[FA300600.xls]___Nsg02_c_win_57"/>
      <sheetName val="[FA300600.xls]___Nsg02_c_win_60"/>
      <sheetName val="[FA300600.xls]___Nsg02_c_win_59"/>
      <sheetName val="[FA300600.xls]___Nsg02_c_win_58"/>
      <sheetName val="維修日報"/>
      <sheetName val="TERM"/>
      <sheetName val="2021"/>
      <sheetName val="04月"/>
      <sheetName val="01月"/>
      <sheetName val="02月"/>
      <sheetName val="03月"/>
      <sheetName val="05月"/>
      <sheetName val="06月"/>
      <sheetName val="07月"/>
      <sheetName val="08月"/>
      <sheetName val="台北廠圖"/>
      <sheetName val="紫竹廠圖"/>
      <sheetName val="環慶廠圖"/>
      <sheetName val="OK2Pre-PVT"/>
      <sheetName val="1 "/>
      <sheetName val="2 "/>
      <sheetName val="7"/>
      <sheetName val="8"/>
      <sheetName val="3 "/>
      <sheetName val="9"/>
      <sheetName val="RGDP"/>
      <sheetName val="BSL"/>
      <sheetName val="BSA"/>
      <sheetName val="IS"/>
      <sheetName val="HKBUD"/>
      <sheetName val="Control"/>
      <sheetName val="Bank Debt"/>
      <sheetName val="GFA"/>
      <sheetName val="[FA300600.xls]___Nsg02_c_win_62"/>
      <sheetName val="[FA300600.xls]___Nsg02_c_win_63"/>
      <sheetName val="[FA300600.xls]___Nsg02_c_win_70"/>
      <sheetName val="[FA300600.xls]___Nsg02_c_win_65"/>
      <sheetName val="[FA300600.xls]___Nsg02_c_win_64"/>
      <sheetName val="[FA300600.xls]___Nsg02_c_win_68"/>
      <sheetName val="[FA300600.xls]___Nsg02_c_win_66"/>
      <sheetName val="[FA300600.xls]___Nsg02_c_win_67"/>
      <sheetName val="[FA300600.xls]___Nsg02_c_win_69"/>
      <sheetName val="[FA300600.xls]___Nsg02_c_win_71"/>
      <sheetName val="[FA300600.xls]___Nsg02_c_win_73"/>
      <sheetName val="[FA300600.xls]___Nsg02_c_win_72"/>
      <sheetName val="[FA300600.xls]___Nsg02_c_win_74"/>
      <sheetName val="[FA300600.xls]___Nsg02_c_win_75"/>
      <sheetName val="[FA300600.xls]___Nsg02_c_win_78"/>
      <sheetName val="[FA300600.xls]___Nsg02_c_win_76"/>
      <sheetName val="[FA300600.xls]___Nsg02_c_win_77"/>
      <sheetName val="[FA300600.xls]___Nsg02_c_win_80"/>
      <sheetName val="[FA300600.xls]___Nsg02_c_win_79"/>
      <sheetName val="[FA300600.xls]___Nsg02_c_win_86"/>
      <sheetName val="[FA300600.xls]___Nsg02_c_win_81"/>
      <sheetName val="[FA300600.xls]___Nsg02_c_win_82"/>
      <sheetName val="[FA300600.xls]___Nsg02_c_win_83"/>
      <sheetName val="[FA300600.xls]___Nsg02_c_win_84"/>
      <sheetName val="[FA300600.xls]___Nsg02_c_win_85"/>
      <sheetName val="[FA300600.xls]___Nsg02_c_win_88"/>
      <sheetName val="[FA300600.xls]___Nsg02_c_win_87"/>
      <sheetName val="[FA300600.xls]___Nsg02_c_win_89"/>
      <sheetName val="Sheet128"/>
      <sheetName val="[FA300600.xls]___Nsg02_c_win_91"/>
      <sheetName val="[FA300600.xls]___Nsg02_c_win_90"/>
      <sheetName val="[FA300600.xls]___Nsg02_c_win_93"/>
      <sheetName val="[FA300600.xls]___Nsg02_c_win_92"/>
      <sheetName val="[FA300600.xls]___Nsg02_c_win_95"/>
      <sheetName val="[FA300600.xls]___Nsg02_c_win_94"/>
      <sheetName val="[FA300600.xls]___Nsg02_c_win_96"/>
      <sheetName val="[FA300600.xls]___Nsg02_c_win_97"/>
      <sheetName val="[FA300600.xls]___Nsg02_c_win_98"/>
      <sheetName val="[FA300600.xls]___Nsg02_c_wi_101"/>
      <sheetName val="[FA300600.xls]___Nsg02_c_win_99"/>
      <sheetName val="[FA300600.xls]___Nsg02_c_wi_100"/>
      <sheetName val="[FA300600.xls]___Nsg02_c_wi_102"/>
      <sheetName val="[FA300600.xls]___Nsg02_c_wi_103"/>
      <sheetName val="[FA300600.xls]___Nsg02_c_wi_104"/>
      <sheetName val="iPhone_RMA9"/>
      <sheetName val="Monthly__Report9"/>
      <sheetName val="DELL_CELKEM9"/>
      <sheetName val="fin__nákl_9"/>
      <sheetName val="rez__nakl9"/>
      <sheetName val="Hardtool_Costs9"/>
      <sheetName val="Softtool-Proto_Costs9"/>
      <sheetName val="Packaging_Sheet9"/>
      <sheetName val="Assembly_Costs9"/>
      <sheetName val="Min_Quoted_Qty9"/>
      <sheetName val="Data_lists9"/>
      <sheetName val="MFG_MVA_Assumption8"/>
      <sheetName val="Basic_Assumption8"/>
      <sheetName val="Material_List8"/>
      <sheetName val="Master_Lists8"/>
      <sheetName val="Issues_List8"/>
      <sheetName val="Turing_DVT1_Yield11"/>
      <sheetName val="Sep_wk1_FATP_capa__plan9"/>
      <sheetName val="Sel_Ops_spending9"/>
      <sheetName val="Ops_cost9"/>
      <sheetName val="JUN1_V9_0_POR_060520039"/>
      <sheetName val="三_BY區域生產達成曲線及直通率9"/>
      <sheetName val="Detail_Schedule7"/>
      <sheetName val="OverTime_Rule7"/>
      <sheetName val="Input_commodity_fallout8"/>
      <sheetName val="TNS_Input8"/>
      <sheetName val="Materials_Quarterly8"/>
      <sheetName val="Fab_Summary8"/>
      <sheetName val="Jan_to_Aug8"/>
      <sheetName val="C_BF3_MSL__March8"/>
      <sheetName val="General_Instructions8"/>
      <sheetName val="S2895_cost_bom8"/>
      <sheetName val="Data_Summary7"/>
      <sheetName val="U21_RF_IFX9"/>
      <sheetName val="U1_Toshiba_16G(878)9"/>
      <sheetName val="On_Hand4"/>
      <sheetName val="Capacity_By_Modle7"/>
      <sheetName val="七_8S專案稽核報表8"/>
      <sheetName val="庫齡板_Daily8"/>
      <sheetName val="WW_($)8"/>
      <sheetName val="$AMF_(T)8"/>
      <sheetName val="Metheor_2GHz8"/>
      <sheetName val="Green_Lantern_sound8"/>
      <sheetName val="GL_snd_2GHz8"/>
      <sheetName val="Green_Lantern_No_sound8"/>
      <sheetName val="GL_nsnd_2GHz8"/>
      <sheetName val="Tesla_Respin8"/>
      <sheetName val="AMF_($)8"/>
      <sheetName val="EMF_($)8"/>
      <sheetName val="APCC_($)8"/>
      <sheetName val="CCC_($)8"/>
      <sheetName val="Brazil_($)8"/>
      <sheetName val="Risers_($)8"/>
      <sheetName val="Servers_($)8"/>
      <sheetName val="Debug_check_list8"/>
      <sheetName val="Overhead_calculations8"/>
      <sheetName val="Cost_Breakdown8"/>
      <sheetName val="SPM_Units8"/>
      <sheetName val="Receiving_Inspection8"/>
      <sheetName val="&quot;B&quot;_Quote_Model8"/>
      <sheetName val="Overhead_summary8"/>
      <sheetName val="BB_Table8"/>
      <sheetName val="Kod3_Table8"/>
      <sheetName val="Lookup_Tables8"/>
      <sheetName val="AsiaPac_Natural_Class8"/>
      <sheetName val="June_wk37"/>
      <sheetName val="Menu_Items7"/>
      <sheetName val="Outsourcin_PPV_(Sep_FOL)7"/>
      <sheetName val="Blf2+LOM_cost_bom_0809027"/>
      <sheetName val="METAL_data7"/>
      <sheetName val="Internal_Hourly_Rate7"/>
      <sheetName val="Metal_Hard_Tooling_7"/>
      <sheetName val="7-教育訓練實施狀況（2）-OK_7"/>
      <sheetName val="WKS_P1_Personel_output_7"/>
      <sheetName val="Improve_plan_orientation7"/>
      <sheetName val="CKD_BE_HC_Table7"/>
      <sheetName val="2003_Target7"/>
      <sheetName val="2003_prod27"/>
      <sheetName val="Dell_NSK_MDS_LRR7"/>
      <sheetName val="WI_MODEM及SCAN7"/>
      <sheetName val="Rosa_7"/>
      <sheetName val="FAE_reports7"/>
      <sheetName val="All_Parts7"/>
      <sheetName val="Slim_Merlot_Block_Diagram7"/>
      <sheetName val="A58_20127"/>
      <sheetName val="wsp_12-037"/>
      <sheetName val="Multibay_Optical7"/>
      <sheetName val="intel_target7"/>
      <sheetName val="EFFA_Error_Code7"/>
      <sheetName val="L02-1F_制十三課維修層別CG報廢狀況_7"/>
      <sheetName val="L02-1F_制十三課維修層別HSG報廢狀況_7"/>
      <sheetName val="管理中心_KPI達成情況總覽及趨勢分析7"/>
      <sheetName val="inspect_capa7"/>
      <sheetName val="General_Inputs7"/>
      <sheetName val="Inventory_Trend7"/>
      <sheetName val="WAT_分析報表_7"/>
      <sheetName val="ME_Overall_Summary7"/>
      <sheetName val="Proto_17"/>
      <sheetName val="L1_SP7"/>
      <sheetName val="L1_CA7"/>
      <sheetName val="L1_CD7"/>
      <sheetName val="L1_HD7"/>
      <sheetName val="GSO's_File7"/>
      <sheetName val="Dean's_File7"/>
      <sheetName val="small_card_基本資料0216_047"/>
      <sheetName val="Cosmetic_MIL7"/>
      <sheetName val="Data_Index7"/>
      <sheetName val="Data_Verify7"/>
      <sheetName val="Data_sheet7"/>
      <sheetName val="Raw_Data5"/>
      <sheetName val="1_47"/>
      <sheetName val="1_257"/>
      <sheetName val="ADSL_MPS7"/>
      <sheetName val="TE_Plan7"/>
      <sheetName val="COMMMON_POOL拆分5"/>
      <sheetName val="NJ_MM5"/>
      <sheetName val="RSMI_2016_09_調整5"/>
      <sheetName val="Freemode_Item_TOPX_Yield5"/>
      <sheetName val="CTO_PO5"/>
      <sheetName val="Entry-Mid_FRU5"/>
      <sheetName val="T1_Tact_Time5"/>
      <sheetName val="T1-PVD_&amp;_CVD_release_chamber調查5"/>
      <sheetName val="Dry_etch_release_chamber5"/>
      <sheetName val="inspection_capa_5"/>
      <sheetName val="Material_Category_Summary5"/>
      <sheetName val="Priority_Item_issue4"/>
      <sheetName val="Change_History4"/>
      <sheetName val="Test_coverage4"/>
      <sheetName val="TFB_RL_Aging_Day4"/>
      <sheetName val="GL_Sales4"/>
      <sheetName val="Starter_Export4"/>
      <sheetName val="G18出勤工時及UPPH_(2)4"/>
      <sheetName val="QIP_SMT5"/>
      <sheetName val="UD1_QIT_report5"/>
      <sheetName val="General_info4"/>
      <sheetName val="仪校仪器月报_(2)4"/>
      <sheetName val="1_134"/>
      <sheetName val="Process_List2"/>
      <sheetName val="JGP_Holidays4"/>
      <sheetName val="project_data7"/>
      <sheetName val="exchange_rate7"/>
      <sheetName val="Comm_Matrix7"/>
      <sheetName val="Line_Down_Report_Rule5"/>
      <sheetName val="KT1_Qual7"/>
      <sheetName val="FA_FPY7"/>
      <sheetName val="Pilot_Run7"/>
      <sheetName val="Valid_Values7"/>
      <sheetName val="Mat_Summary7"/>
      <sheetName val="Baseline_&amp;_Summary7"/>
      <sheetName val="Team_List7"/>
      <sheetName val="A-Note_Bug_list7"/>
      <sheetName val="Fixed_sg&amp;A_7"/>
      <sheetName val="Vol_27"/>
      <sheetName val="Vol_17"/>
      <sheetName val="D_Lab7"/>
      <sheetName val="Fixed_Factory_Overheads7"/>
      <sheetName val="Matl_Burden7"/>
      <sheetName val="pcbo_工時7"/>
      <sheetName val="Pebble_FAE_reports7"/>
      <sheetName val="Overall_Summary_5"/>
      <sheetName val="原因分析_4"/>
      <sheetName val="Sheet1_(2)9"/>
      <sheetName val="AIR_(Inbound_material)4"/>
      <sheetName val="36_Mexico4"/>
      <sheetName val="Price_Summary5"/>
      <sheetName val="Trend_chart4"/>
      <sheetName val="Line_balance5"/>
      <sheetName val="SBB_Table4"/>
      <sheetName val="Product_Map4"/>
      <sheetName val="Simple_Cost_Form4"/>
      <sheetName val="Q#3839_Indented_Bom_d4"/>
      <sheetName val="达丰ZL系列_4"/>
      <sheetName val="A58_20114"/>
      <sheetName val="zsdr82_Tab_4"/>
      <sheetName val="Raw_BOMS4"/>
      <sheetName val="Nimitz_Base_Cover4"/>
      <sheetName val="FA_Definitions4"/>
      <sheetName val="FCT_August4"/>
      <sheetName val="Raggie-T3工時(13_5K)V_14"/>
      <sheetName val="1_營收獲利推移圖3"/>
      <sheetName val="3_9產出工時2"/>
      <sheetName val="Building_Blocks4"/>
      <sheetName val="Part_Data5"/>
      <sheetName val="Master_List5"/>
      <sheetName val="Schedule_Gantt_Chart4"/>
      <sheetName val="VB_毛刺線批退率_4"/>
      <sheetName val="Sum_Sheet5"/>
      <sheetName val="Entity_table4"/>
      <sheetName val="3-In-1_Chart_OTD4"/>
      <sheetName val="Internal_rate5"/>
      <sheetName val="Master_List_Without_MU%__5"/>
      <sheetName val="RFQ_Info5"/>
      <sheetName val="Financial_Dashboard5"/>
      <sheetName val="NRE_-_pay_by_customer5"/>
      <sheetName val="PU_&amp;_RM5"/>
      <sheetName val="Cover_Page5"/>
      <sheetName val="Freight_Breakdown4"/>
      <sheetName val="Apollo_NDF_TOP54"/>
      <sheetName val="Scrap_Total4"/>
      <sheetName val="Cost_comparison_sheet4"/>
      <sheetName val="Unit_price_breakdown4"/>
      <sheetName val="choose_list4"/>
      <sheetName val="WO_list4"/>
      <sheetName val="VI1_Test_Result5"/>
      <sheetName val="Viewing_angles5"/>
      <sheetName val="ant__B5"/>
      <sheetName val="Elec_&amp;SW5"/>
      <sheetName val="Test_Summary5"/>
      <sheetName val="NR3L_IRT_parts5"/>
      <sheetName val="ver3_0_(LTM170EU)5"/>
      <sheetName val="Texas-M_SJC4"/>
      <sheetName val="Country_List4"/>
      <sheetName val="MPS_Q3_FY044"/>
      <sheetName val="MPS_Q4_FY044"/>
      <sheetName val="Summary_definition4"/>
      <sheetName val="FCT_Test4"/>
      <sheetName val="Bondi_Display_Back4"/>
      <sheetName val="FATP_MLB_LOSS4"/>
      <sheetName val="daily_data_Orchid3"/>
      <sheetName val="PL_&amp;_VS4"/>
      <sheetName val="PN_&amp;_PL4"/>
      <sheetName val="P_&amp;_L4"/>
      <sheetName val="Master_List_MU%__4"/>
      <sheetName val="Mont_Rates5"/>
      <sheetName val="Door_Access_(2)3"/>
      <sheetName val="Days_Payable_OS3"/>
      <sheetName val="New_Workings5"/>
      <sheetName val="SMI_Aging_Analysis_Data3"/>
      <sheetName val="Part_Names4"/>
      <sheetName val="Total_transition_plan3"/>
      <sheetName val="CSHARK_L43"/>
      <sheetName val="IC_Compare3"/>
      <sheetName val="MRP__23"/>
      <sheetName val="FA_05093"/>
      <sheetName val="Issue_break_down3"/>
      <sheetName val="Dimension_FA_Tracking3"/>
      <sheetName val="Tactility_FA_Tracking3"/>
      <sheetName val="Cosmetic_FA_Tracking_3"/>
      <sheetName val="Function_FA_Tracking3"/>
      <sheetName val="IT_FA_Tracking3"/>
      <sheetName val="70X_CNC3夾趨勢圖3"/>
      <sheetName val="NDA_Pareto3"/>
      <sheetName val="MS60_PVT-ME-BOM2"/>
      <sheetName val="Diff_Other_re&amp;ex2"/>
      <sheetName val="other_revenue2"/>
      <sheetName val="底稿_|_出貨量_營收_毛利_稅前_稅後(MNTD)2"/>
      <sheetName val="中央作業_|_匯總表(MNTD)2"/>
      <sheetName val="Estimation_Result3"/>
      <sheetName val="Quotation_Details3"/>
      <sheetName val="Naming_23"/>
      <sheetName val="Q_K810VU+939_CostBOM_Rev0120044"/>
      <sheetName val="External_Data4"/>
      <sheetName val="A_Shift4"/>
      <sheetName val="B_Shift4"/>
      <sheetName val="C_Shift4"/>
      <sheetName val="D_Shift4"/>
      <sheetName val="4X3_5_Chassis4"/>
      <sheetName val="Int'l_Summary5"/>
      <sheetName val="Port_Summary5"/>
      <sheetName val="Claim_Summary3"/>
      <sheetName val="NVRam3_ICT3"/>
      <sheetName val="Customize_Your_Invoice2"/>
      <sheetName val="Cost_calc_4"/>
      <sheetName val="AMD_MB_FBOM_0103037"/>
      <sheetName val="Mock_Up7"/>
      <sheetName val="BF3_MB_cost__0708_from_MSL7"/>
      <sheetName val="RickelsRFQPWA#_27"/>
      <sheetName val="Management_Review7"/>
      <sheetName val="FRU_Cost7"/>
      <sheetName val="EC_Charge5"/>
      <sheetName val="Exh_Branch(8K)(依前購)2"/>
      <sheetName val="VD_Daily_Report_New2"/>
      <sheetName val="G_系列2"/>
      <sheetName val="T2_Array_defect_density2"/>
      <sheetName val="LAM_BEF_MRP2"/>
      <sheetName val="Core_Courses_&amp;_ILP_Plan3"/>
      <sheetName val="Bluford3_MB_BOM-Intel_LAN5"/>
      <sheetName val="32&quot;_Part_list4"/>
      <sheetName val="32&quot;_Summary4"/>
      <sheetName val="Drop_Down_List5"/>
      <sheetName val="Mechanical_Assembly4"/>
      <sheetName val="G8WZA5_PKG部品表4"/>
      <sheetName val="Bearlake_4_SKUs_conbimed_4"/>
      <sheetName val="CCD_master_file4"/>
      <sheetName val="Saturn_MVB_bom_Aug_18'084"/>
      <sheetName val="daily_quality_summary3"/>
      <sheetName val="Error_Groups3"/>
      <sheetName val="Dropdown_I3"/>
      <sheetName val="Dropdwon_II3"/>
      <sheetName val="Reason_Codes3"/>
      <sheetName val="Detailed_Quote_(AIO)3"/>
      <sheetName val="ODM_OWN_cost_by_month3"/>
      <sheetName val="by_supplier(value)3"/>
      <sheetName val="current_quote3"/>
      <sheetName val="cost_table_2015013"/>
      <sheetName val="4__Detailed_quote3"/>
      <sheetName val="sm_Pcost4"/>
      <sheetName val="Inventory_Turns4"/>
      <sheetName val="Indirect_Labour4"/>
      <sheetName val="Call_Down_Data_OLD3"/>
      <sheetName val="IP-1_INSP-CAV_#23"/>
      <sheetName val="HGA_ENG3"/>
      <sheetName val="FLX_Consolflxidated3"/>
      <sheetName val="MPS_Q3_FY053"/>
      <sheetName val="下拉選單_Type14"/>
      <sheetName val="Royalty_Summary2"/>
      <sheetName val="Data_Validation2"/>
      <sheetName val="Year_Graph3"/>
      <sheetName val="Labor_Assumptions2"/>
      <sheetName val="Sample_cost2"/>
      <sheetName val="RAMP_UP(SMT)5"/>
      <sheetName val="FA300600_xls2"/>
      <sheetName val="LCM(Optrex_DPPM_report)2"/>
      <sheetName val="Account_Group2"/>
      <sheetName val="By_Action2"/>
      <sheetName val="By_Owner2"/>
      <sheetName val="DO_NOT_DELETE2"/>
      <sheetName val="FTX_Commit2"/>
      <sheetName val="Material_Cost&amp;press_rate2"/>
      <sheetName val="Post_IN_Award_NegCorvette_Towe2"/>
      <sheetName val="Import_Freight2"/>
      <sheetName val="Material_Group2"/>
      <sheetName val="Item_Class2"/>
      <sheetName val="Lucy_Cayenne_RoHS_Material_Cos2"/>
      <sheetName val="Cayenne_RoHS-07262"/>
      <sheetName val="5C_Sum2"/>
      <sheetName val="VN_LV-FP沖銷2"/>
      <sheetName val="VN_LX-FP沖銷2"/>
      <sheetName val="UPPER_BLOCK2"/>
      <sheetName val="IPQC_NG2"/>
      <sheetName val="_Top_issue2"/>
      <sheetName val="DELL_FCST2"/>
      <sheetName val="Medion_-_Product_mix2"/>
      <sheetName val="Unit_Cost_Trend_Chart_by_Sect_2"/>
      <sheetName val="3_262"/>
      <sheetName val="3_252"/>
      <sheetName val="Marathon_BOM_CM-MFG_Lead-Time2"/>
      <sheetName val="班长趋势图（制品）_1"/>
      <sheetName val="4M进行分析（制品)_1"/>
      <sheetName val="G1直通产出率_1"/>
      <sheetName val="原材责Reason_Code1"/>
      <sheetName val="DOE_Config2"/>
      <sheetName val="Matl_usage2"/>
      <sheetName val="Matl_totals2"/>
      <sheetName val="ShipTo_Locations2"/>
      <sheetName val="Tact_Time-Photo2"/>
      <sheetName val="Tact_Time-TF2"/>
      <sheetName val="Tact_Time_Etch2"/>
      <sheetName val="15_分像素1"/>
      <sheetName val="IN_OPEX2"/>
      <sheetName val="VESA_Tests2"/>
      <sheetName val="Gamma_Data2"/>
      <sheetName val="$$_Document_ID2"/>
      <sheetName val="JOB_Table2"/>
      <sheetName val="Project_Identification2"/>
      <sheetName val="al_cover1"/>
      <sheetName val="RD_TABLE1"/>
      <sheetName val="产品描述_1"/>
      <sheetName val="Control_Schedule1"/>
      <sheetName val="Job_Description1"/>
      <sheetName val="G99_For_T1&amp;Drop1_出货生产数据1"/>
      <sheetName val="Capacility_Review1"/>
      <sheetName val="Check_list_1"/>
      <sheetName val="CAPA분석_360K1"/>
      <sheetName val="값목록(Do_not_touch)1"/>
      <sheetName val="生产进度月TOTAL表_61"/>
      <sheetName val="MNT_개발계획_최종1"/>
      <sheetName val="4_4_鶴壁園區吃住行2"/>
      <sheetName val="CSHARK_L52"/>
      <sheetName val="CSHARK_L12"/>
      <sheetName val="JAWS_L22"/>
      <sheetName val="JAWS-COOL_99__L22"/>
      <sheetName val="CSHARK_L62"/>
      <sheetName val="CSHARK_L72"/>
      <sheetName val="CSHARK_L8A2"/>
      <sheetName val="CSHARK_L8B2"/>
      <sheetName val="CSHARK_L9A2"/>
      <sheetName val="CSHARK_L9B2"/>
      <sheetName val="BD1_Cost_M2"/>
      <sheetName val="BD2_Cost_M2"/>
      <sheetName val="BD3_Cost_M2"/>
      <sheetName val="Pure_Cap_IO2"/>
      <sheetName val="I2ONMB_Deployment_Tracker2"/>
      <sheetName val="DG_2"/>
      <sheetName val="FOL_Database2"/>
      <sheetName val="BOL_Database2"/>
      <sheetName val="Weekly_Cases_Opened2"/>
      <sheetName val="Version_Control3"/>
      <sheetName val="Material%_-2009_Trend_revised2"/>
      <sheetName val="Category_Definition2"/>
      <sheetName val="STD_HRS2"/>
      <sheetName val="EDI_Sep_132"/>
      <sheetName val="Project_Definition_Form_Summar2"/>
      <sheetName val="BS_CIG2"/>
      <sheetName val="BS_IDEN2"/>
      <sheetName val="BS_PCS2"/>
      <sheetName val="P&amp;L_CIG2"/>
      <sheetName val="P&amp;L_FWT2"/>
      <sheetName val="P&amp;L_IDEN2"/>
      <sheetName val="P&amp;L_PCS2"/>
      <sheetName val="2005_Business_Summary4"/>
      <sheetName val="matrix_DO_NOT_DELETE2"/>
      <sheetName val="人力試算_11月1"/>
      <sheetName val="_Matrix1"/>
      <sheetName val="Thunder__LOGOTOPISSUES-银1"/>
      <sheetName val="存貨庫存趨勢圖-NEW_2"/>
      <sheetName val="Q_BF3_FBOM-update011504_(2)4"/>
      <sheetName val="_3_(2)4"/>
      <sheetName val="Antenna_Window4"/>
      <sheetName val="Defect_Code_6_11"/>
      <sheetName val="summary,_MTH2"/>
      <sheetName val="Master_GW_v3_Sorted2"/>
      <sheetName val="Labor_Input_Data2"/>
      <sheetName val="Material_Input_Data2"/>
      <sheetName val="Quantity_Input_Data2"/>
      <sheetName val="VAM_Report_Input2"/>
      <sheetName val="Summary_Revenue2"/>
      <sheetName val="Molding_Data2"/>
      <sheetName val="Input_Table2"/>
      <sheetName val="Molding_Outputs2"/>
      <sheetName val="_CP2"/>
      <sheetName val="Calypso_PCA2"/>
      <sheetName val="Clark_PCA2"/>
      <sheetName val="CMT_Z22"/>
      <sheetName val="Mercury_PCA2"/>
      <sheetName val="MT_62052"/>
      <sheetName val="Saturn_PCA2"/>
      <sheetName val="Summary_By_Site1"/>
      <sheetName val="CR_requirements1"/>
      <sheetName val="Summary_by_Account1"/>
      <sheetName val="Luong_Co_ban1"/>
      <sheetName val="Cost_bridge_SC9_Avg_config1"/>
      <sheetName val="Expedite_Cost1"/>
      <sheetName val="3FPKW_Commodities1"/>
      <sheetName val="INSTRUCTIONS_(do_not_remove)1"/>
      <sheetName val="CN14_NCT_SZ_PLANT1"/>
      <sheetName val="2009_Unit_Price1"/>
      <sheetName val="2009Forecast_QTY_1"/>
      <sheetName val="Metal-LF_Act&amp;Rolling_P&amp;L1"/>
      <sheetName val="Balance_SPS1"/>
      <sheetName val="04_廠區別營收分佈1"/>
      <sheetName val="部級--TFT_Center_&amp;_其他2"/>
      <sheetName val="Mechanical_Assembly-Mission-MT4"/>
      <sheetName val="HVT2_SMT1"/>
      <sheetName val="Ship_to_addresses1"/>
      <sheetName val="Yield_%s1"/>
      <sheetName val="standard_input1"/>
      <sheetName val="Waterfall_1"/>
      <sheetName val="selection_lists1"/>
      <sheetName val="CC507-4x3_51"/>
      <sheetName val="Intel_Lan_+_AD1885_EBOM2"/>
      <sheetName val="Breakeven_Analysis1"/>
      <sheetName val="Glass_투입수_입력1"/>
      <sheetName val="03__營運預算(by客戶by產品)1"/>
      <sheetName val="HYDRA_Glossary1"/>
      <sheetName val="Raggie-T3工時(13,5K)V_11"/>
      <sheetName val="L02-1F_制十三課維修層ꀥ돛㴣1"/>
      <sheetName val="Initial_Input2"/>
      <sheetName val="Template_Inputs1"/>
      <sheetName val="PRB_Sub_list1"/>
      <sheetName val="Station_Name1"/>
      <sheetName val="CM_code_(internal)_1"/>
      <sheetName val="Ano4_0_KO_list1"/>
      <sheetName val="AOP_Summary-21"/>
      <sheetName val="9_LRR_（客訴）1"/>
      <sheetName val="M++_FLOWCHART_1"/>
      <sheetName val="Shipping_Data1"/>
      <sheetName val="客戶清單customer_list1"/>
      <sheetName val="base_de_datos1"/>
      <sheetName val="Material_demand_tracker_"/>
      <sheetName val="Allo_Rate"/>
      <sheetName val="UPH_FCST2"/>
      <sheetName val="Defects_List"/>
      <sheetName val="Heat_Mapping"/>
      <sheetName val="Language_Packs"/>
      <sheetName val="Test_Data"/>
      <sheetName val="Transformation_Wrksht-Mech"/>
      <sheetName val="AM_MLI"/>
      <sheetName val="Online_Length_&amp;_UPH(0_7)"/>
      <sheetName val="11月BOM_Cost_圓餅圖"/>
      <sheetName val="Bridge_Chart"/>
      <sheetName val="Config_Summary"/>
      <sheetName val="Tact_Time-Test1"/>
      <sheetName val="ref_-预算&amp;管制编号对应表"/>
      <sheetName val="summary_IFO"/>
      <sheetName val="2_每周分析表"/>
      <sheetName val="daily_report"/>
      <sheetName val="參考--PDA_2003_Defect_Rate"/>
      <sheetName val="Hdqtrs_by_mgr"/>
      <sheetName val="Sacramento_by_mgr"/>
      <sheetName val="Cork_by_mgr"/>
      <sheetName val="Singapore_by_mgr"/>
      <sheetName val="10_8_01_Open_reqs"/>
      <sheetName val="Japan_Sales"/>
      <sheetName val="Asia_Pacific"/>
      <sheetName val="Re-Layout_專案"/>
      <sheetName val="Drawing_&amp;_DFM_&amp;_Tool_Status"/>
      <sheetName val="_OAY_Trend_Chart"/>
      <sheetName val="2-1-1_管理指標(1)_13"/>
      <sheetName val="Q1,_Q2,_Q3,_Q4"/>
      <sheetName val="QM_FA1"/>
      <sheetName val="内QM_FA一M2M0011"/>
      <sheetName val="die_data1"/>
      <sheetName val="Team_member1"/>
      <sheetName val="DII_Less_Tooling"/>
      <sheetName val="IRV_Summary"/>
      <sheetName val="ASSY-OQC_待料明细__"/>
      <sheetName val="待料明细_新"/>
      <sheetName val="Front_Page"/>
      <sheetName val="貼Panel_Label"/>
      <sheetName val="[FA300600_xls]___Nsg02_c_win_14"/>
      <sheetName val="[FA300600_xls]___Nsg02_c_wind_2"/>
      <sheetName val="[FA300600_xls]___Nsg02_c_wind_3"/>
      <sheetName val="[FA300600_xls]___Nsg02_c_wind_4"/>
      <sheetName val="[FA300600_xls]___Nsg02_c_wind_5"/>
      <sheetName val="[FA300600_xls]___Nsg02_c_wind_7"/>
      <sheetName val="[FA300600_xls]___Nsg02_c_wind_6"/>
      <sheetName val="[FA300600_xls]___Nsg02_c_wind_8"/>
      <sheetName val="[FA300600_xls]___Nsg02_c_win_12"/>
      <sheetName val="[FA300600_xls]___Nsg02_c_win_10"/>
      <sheetName val="[FA300600_xls]___Nsg02_c_wind_9"/>
      <sheetName val="[FA300600_xls]___Nsg02_c_win_11"/>
      <sheetName val="[FA300600_xls]___Nsg02_c_win_13"/>
      <sheetName val="L02-1F_制十三課維修層%Ԁ退⊃鰛"/>
      <sheetName val="L02-1F_制十三課維修層%Ԁ䙑䟆"/>
      <sheetName val="L02-1F_制十三課維修層%Ԁꀀ卅囐"/>
      <sheetName val="L02-1F_制十三課維修層%Ԁ倀镂᱒"/>
      <sheetName val="L02-1F_制十三課維修層%Ԁ　瓔੎"/>
      <sheetName val="L02-1F_制十三課維修層逥飢怅Ԁ栙"/>
      <sheetName val="Project_Codes"/>
      <sheetName val="Bases_Data"/>
      <sheetName val="projection_2008-071"/>
      <sheetName val="Update_list"/>
      <sheetName val="L02-1F_制十三課維修層%"/>
      <sheetName val="L02-1F_制十三課維修層逥飢怅"/>
      <sheetName val="[FA300600_xls]___Nsg02_c_win_15"/>
      <sheetName val="[FA300600_xls]___Nsg02_c_win_16"/>
      <sheetName val="[FA300600_xls]___Nsg02_c_win_17"/>
      <sheetName val="[FA300600_xls]___Nsg02_c_win_18"/>
      <sheetName val="[FA300600_xls]___Nsg02_c_win_21"/>
      <sheetName val="[FA300600_xls]___Nsg02_c_win_19"/>
      <sheetName val="[FA300600_xls]___Nsg02_c_win_20"/>
      <sheetName val="Weekly_Manpower"/>
      <sheetName val="Molded_Part_Cost"/>
      <sheetName val="Q1_pricing"/>
      <sheetName val="Weekly_FCST_&amp;_MZC600"/>
      <sheetName val="物损率_1"/>
      <sheetName val="2月物损率总表_一部"/>
      <sheetName val="3月物损率总表_一部"/>
      <sheetName val="Across_Project_Spend"/>
      <sheetName val="Testing_Coverage_"/>
      <sheetName val="AP_vs_MF_vs_ACT"/>
      <sheetName val="Optra_M"/>
      <sheetName val="BAL_COST_"/>
      <sheetName val="NET_COST_"/>
      <sheetName val="DFb_"/>
      <sheetName val="Ship_Plan"/>
      <sheetName val="Can_status"/>
      <sheetName val="AOI_Check"/>
      <sheetName val="Daily_Production_Plan"/>
      <sheetName val="Display_Back"/>
      <sheetName val="Std_ship_delay"/>
      <sheetName val="All_Accidents_Sum2"/>
      <sheetName val="P10-关键岗位名单及MSA考核_OQA"/>
      <sheetName val="Fang__L"/>
      <sheetName val="Overall_Results"/>
      <sheetName val="MRO_list"/>
      <sheetName val="CELL_생산일보_"/>
      <sheetName val="Data_matrix_DO_NOT_DELETE"/>
      <sheetName val="Back_up總明細表_師1-師7"/>
      <sheetName val="Approval_Status"/>
      <sheetName val="Change_Type"/>
      <sheetName val="Noise_raw_data_(2)"/>
      <sheetName val="Budget_Summary"/>
      <sheetName val="L02-1F_制十三課維修層ꀥ돛㴣Ԁ̙_x0"/>
      <sheetName val="A03-3F__Down_time_損失明細"/>
      <sheetName val="Reference_Rev_1_1"/>
      <sheetName val="Error_code_1"/>
      <sheetName val="Confirm_Line_Summary"/>
      <sheetName val="Cover_Sheet_Q2"/>
      <sheetName val="Validation_list"/>
      <sheetName val="Lindbergh_Yield"/>
      <sheetName val="Exchange_Rates"/>
      <sheetName val="EVT_FATP"/>
      <sheetName val="Data_list"/>
      <sheetName val="Drop_Data_Final"/>
      <sheetName val="Issue_Tracker"/>
      <sheetName val="Drop_Down-New"/>
      <sheetName val="D10_Testflow_v24_UPH_100_FA"/>
      <sheetName val="[FA300600_xls]___Nsg02_c_win_37"/>
      <sheetName val="[FA300600_xls]___Nsg02_c_win_28"/>
      <sheetName val="[FA300600_xls]___Nsg02_c_win_25"/>
      <sheetName val="[FA300600_xls]___Nsg02_c_win_22"/>
      <sheetName val="[FA300600_xls]___Nsg02_c_win_24"/>
      <sheetName val="[FA300600_xls]___Nsg02_c_win_23"/>
      <sheetName val="[FA300600_xls]___Nsg02_c_win_26"/>
      <sheetName val="[FA300600_xls]___Nsg02_c_win_27"/>
      <sheetName val="[FA300600_xls]___Nsg02_c_win_29"/>
      <sheetName val="[FA300600_xls]___Nsg02_c_win_32"/>
      <sheetName val="[FA300600_xls]___Nsg02_c_win_30"/>
      <sheetName val="[FA300600_xls]___Nsg02_c_win_31"/>
      <sheetName val="[FA300600_xls]___Nsg02_c_win_33"/>
      <sheetName val="[FA300600_xls]___Nsg02_c_win_34"/>
      <sheetName val="[FA300600_xls]___Nsg02_c_win_36"/>
      <sheetName val="[FA300600_xls]___Nsg02_c_win_35"/>
      <sheetName val="[FA300600_xls]___Nsg02_c_win_62"/>
      <sheetName val="[FA300600_xls]___Nsg02_c_win_38"/>
      <sheetName val="[FA300600_xls]___Nsg02_c_win_39"/>
      <sheetName val="[FA300600_xls]___Nsg02_c_win_40"/>
      <sheetName val="[FA300600_xls]___Nsg02_c_win_41"/>
      <sheetName val="[FA300600_xls]___Nsg02_c_win_43"/>
      <sheetName val="[FA300600_xls]___Nsg02_c_win_42"/>
      <sheetName val="[FA300600_xls]___Nsg02_c_win_45"/>
      <sheetName val="[FA300600_xls]___Nsg02_c_win_44"/>
      <sheetName val="[FA300600_xls]___Nsg02_c_win_46"/>
      <sheetName val="[FA300600_xls]___Nsg02_c_win_47"/>
      <sheetName val="[FA300600_xls]___Nsg02_c_win_48"/>
      <sheetName val="[FA300600_xls]___Nsg02_c_win_51"/>
      <sheetName val="[FA300600_xls]___Nsg02_c_win_49"/>
      <sheetName val="[FA300600_xls]___Nsg02_c_win_50"/>
      <sheetName val="[FA300600_xls]___Nsg02_c_win_52"/>
      <sheetName val="[FA300600_xls]___Nsg02_c_win_53"/>
      <sheetName val="[FA300600_xls]___Nsg02_c_win_54"/>
      <sheetName val="[FA300600_xls]___Nsg02_c_win_55"/>
      <sheetName val="[FA300600_xls]___Nsg02_c_win_56"/>
      <sheetName val="[FA300600_xls]___Nsg02_c_win_57"/>
      <sheetName val="[FA300600_xls]___Nsg02_c_win_60"/>
      <sheetName val="[FA300600_xls]___Nsg02_c_win_59"/>
      <sheetName val="[FA300600_xls]___Nsg02_c_win_58"/>
      <sheetName val="1_"/>
      <sheetName val="2_"/>
      <sheetName val="3_"/>
      <sheetName val="Bank_Debt"/>
      <sheetName val="[FA300600_xls]___Nsg02_c_win_61"/>
      <sheetName val="[FA300600_xls]___Nsg02_c_win_63"/>
      <sheetName val="[FA300600_xls]___Nsg02_c_win_65"/>
      <sheetName val="[FA300600_xls]___Nsg02_c_win_64"/>
      <sheetName val="[FA300600_xls]___Nsg02_c_win_68"/>
      <sheetName val="[FA300600_xls]___Nsg02_c_win_66"/>
      <sheetName val="[FA300600_xls]___Nsg02_c_win_67"/>
      <sheetName val="[FA300600_xls]___Nsg02_c_win_69"/>
      <sheetName val="[FA300600_xls]___Nsg02_c_win_70"/>
      <sheetName val="[FA300600_xls]___Nsg02_c_win_71"/>
      <sheetName val="[FA300600_xls]___Nsg02_c_win_73"/>
      <sheetName val="[FA300600_xls]___Nsg02_c_win_72"/>
      <sheetName val="[FA300600_xls]___Nsg02_c_win_74"/>
      <sheetName val="[FA300600_xls]___Nsg02_c_win_75"/>
      <sheetName val="[FA300600_xls]___Nsg02_c_win_78"/>
      <sheetName val="[FA300600_xls]___Nsg02_c_win_76"/>
      <sheetName val="[FA300600_xls]___Nsg02_c_win_77"/>
      <sheetName val="[FA300600_xls]___Nsg02_c_win_80"/>
      <sheetName val="[FA300600_xls]___Nsg02_c_win_79"/>
      <sheetName val="[FA300600_xls]___Nsg02_c_win_86"/>
      <sheetName val="[FA300600_xls]___Nsg02_c_win_81"/>
      <sheetName val="[FA300600_xls]___Nsg02_c_win_82"/>
      <sheetName val="[FA300600_xls]___Nsg02_c_win_83"/>
      <sheetName val="[FA300600_xls]___Nsg02_c_win_84"/>
      <sheetName val="[FA300600_xls]___Nsg02_c_win_85"/>
      <sheetName val="Roush_UMA-Briscoe_UMA"/>
      <sheetName val="Option_List"/>
      <sheetName val="Do_not_modify"/>
      <sheetName val="EVT_ASSY"/>
      <sheetName val="EVT_key_part"/>
      <sheetName val="HOLD_BCM50"/>
      <sheetName val="Hold_DRX"/>
      <sheetName val="Hold_PP15K"/>
      <sheetName val="Hold_Nortel"/>
      <sheetName val="Cumplimiento_al_plan"/>
      <sheetName val="Data_values"/>
      <sheetName val="Inventarios_LR"/>
      <sheetName val="Costo_Beneficio"/>
      <sheetName val="Back_up_salidas"/>
      <sheetName val="Segment_4_Bid_Sheet1"/>
      <sheetName val="Top_SubAss+FG1"/>
      <sheetName val="NPI_Quote_Model"/>
      <sheetName val="[FA300600_xls]___Nsg02_c_win_88"/>
      <sheetName val="[FA300600_xls]___Nsg02_c_win_87"/>
      <sheetName val="[FA300600_xls]___Nsg02_c_win_89"/>
      <sheetName val="[FA300600_xls]___Nsg02_c_win_91"/>
      <sheetName val="[FA300600_xls]___Nsg02_c_win_90"/>
      <sheetName val="[FA300600_xls]___Nsg02_c_win_93"/>
      <sheetName val="[FA300600_xls]___Nsg02_c_win_92"/>
      <sheetName val="[FA300600_xls]___Nsg02_c_win_95"/>
      <sheetName val="[FA300600_xls]___Nsg02_c_win_94"/>
      <sheetName val="[FA300600_xls]___Nsg02_c_win_96"/>
      <sheetName val="[FA300600_xls]___Nsg02_c_win_97"/>
      <sheetName val="[FA300600_xls]___Nsg02_c_win_98"/>
      <sheetName val="[FA300600.xls]___Nsg02_c_wi_106"/>
      <sheetName val="[FA300600.xls]___Nsg02_c_wi_105"/>
    </sheetNames>
    <sheetDataSet>
      <sheetData sheetId="0">
        <row r="2">
          <cell r="A2" t="str">
            <v>各法會管報</v>
          </cell>
        </row>
      </sheetData>
      <sheetData sheetId="1">
        <row r="2">
          <cell r="A2" t="str">
            <v>各法會管報</v>
          </cell>
        </row>
      </sheetData>
      <sheetData sheetId="2">
        <row r="2">
          <cell r="A2" t="str">
            <v>各法會管報</v>
          </cell>
        </row>
      </sheetData>
      <sheetData sheetId="3">
        <row r="2">
          <cell r="A2" t="str">
            <v>各法會管報</v>
          </cell>
        </row>
      </sheetData>
      <sheetData sheetId="4">
        <row r="2">
          <cell r="A2" t="str">
            <v>各法會管報</v>
          </cell>
        </row>
      </sheetData>
      <sheetData sheetId="5">
        <row r="2">
          <cell r="A2" t="str">
            <v>各法會管報</v>
          </cell>
        </row>
      </sheetData>
      <sheetData sheetId="6">
        <row r="2">
          <cell r="A2" t="str">
            <v>各法會管報</v>
          </cell>
        </row>
      </sheetData>
      <sheetData sheetId="7">
        <row r="2">
          <cell r="A2" t="str">
            <v>各法會管報</v>
          </cell>
        </row>
      </sheetData>
      <sheetData sheetId="8">
        <row r="2">
          <cell r="A2" t="str">
            <v>各法會管報</v>
          </cell>
        </row>
      </sheetData>
      <sheetData sheetId="9">
        <row r="2">
          <cell r="A2" t="str">
            <v>各法會管報</v>
          </cell>
        </row>
      </sheetData>
      <sheetData sheetId="10">
        <row r="2">
          <cell r="A2" t="str">
            <v>各法會管報</v>
          </cell>
        </row>
      </sheetData>
      <sheetData sheetId="11">
        <row r="2">
          <cell r="A2" t="str">
            <v>各法會管報</v>
          </cell>
        </row>
      </sheetData>
      <sheetData sheetId="12">
        <row r="2">
          <cell r="A2" t="str">
            <v>各法會管報</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ow r="2">
          <cell r="A2" t="str">
            <v>各法會管報</v>
          </cell>
        </row>
      </sheetData>
      <sheetData sheetId="429">
        <row r="2">
          <cell r="A2" t="str">
            <v>各法會管報</v>
          </cell>
        </row>
      </sheetData>
      <sheetData sheetId="430">
        <row r="2">
          <cell r="A2" t="str">
            <v>各法會管報</v>
          </cell>
        </row>
      </sheetData>
      <sheetData sheetId="431">
        <row r="2">
          <cell r="A2" t="str">
            <v>各法會管報</v>
          </cell>
        </row>
      </sheetData>
      <sheetData sheetId="432">
        <row r="2">
          <cell r="A2" t="str">
            <v>各法會管報</v>
          </cell>
        </row>
      </sheetData>
      <sheetData sheetId="433">
        <row r="2">
          <cell r="A2" t="str">
            <v>各法會管報</v>
          </cell>
        </row>
      </sheetData>
      <sheetData sheetId="434">
        <row r="2">
          <cell r="A2" t="str">
            <v>各法會管報</v>
          </cell>
        </row>
      </sheetData>
      <sheetData sheetId="435">
        <row r="2">
          <cell r="A2" t="str">
            <v>各法會管報</v>
          </cell>
        </row>
      </sheetData>
      <sheetData sheetId="436">
        <row r="2">
          <cell r="A2" t="str">
            <v>各法會管報</v>
          </cell>
        </row>
      </sheetData>
      <sheetData sheetId="437">
        <row r="2">
          <cell r="A2" t="str">
            <v>各法會管報</v>
          </cell>
        </row>
      </sheetData>
      <sheetData sheetId="438">
        <row r="2">
          <cell r="A2" t="str">
            <v>各法會管報</v>
          </cell>
        </row>
      </sheetData>
      <sheetData sheetId="439">
        <row r="2">
          <cell r="A2" t="str">
            <v>各法會管報</v>
          </cell>
        </row>
      </sheetData>
      <sheetData sheetId="440">
        <row r="2">
          <cell r="A2" t="str">
            <v>各法會管報</v>
          </cell>
        </row>
      </sheetData>
      <sheetData sheetId="441">
        <row r="2">
          <cell r="A2" t="str">
            <v>各法會管報</v>
          </cell>
        </row>
      </sheetData>
      <sheetData sheetId="442">
        <row r="2">
          <cell r="A2" t="str">
            <v>各法會管報</v>
          </cell>
        </row>
      </sheetData>
      <sheetData sheetId="443">
        <row r="2">
          <cell r="A2" t="str">
            <v>各法會管報</v>
          </cell>
        </row>
      </sheetData>
      <sheetData sheetId="444">
        <row r="2">
          <cell r="A2" t="str">
            <v>各法會管報</v>
          </cell>
        </row>
      </sheetData>
      <sheetData sheetId="445">
        <row r="2">
          <cell r="A2" t="str">
            <v>各法會管報</v>
          </cell>
        </row>
      </sheetData>
      <sheetData sheetId="446">
        <row r="2">
          <cell r="A2" t="str">
            <v>各法會管報</v>
          </cell>
        </row>
      </sheetData>
      <sheetData sheetId="447">
        <row r="2">
          <cell r="A2" t="str">
            <v>各法會管報</v>
          </cell>
        </row>
      </sheetData>
      <sheetData sheetId="448">
        <row r="2">
          <cell r="A2" t="str">
            <v>各法會管報</v>
          </cell>
        </row>
      </sheetData>
      <sheetData sheetId="449">
        <row r="2">
          <cell r="A2" t="str">
            <v>各法會管報</v>
          </cell>
        </row>
      </sheetData>
      <sheetData sheetId="450">
        <row r="2">
          <cell r="A2" t="str">
            <v>各法會管報</v>
          </cell>
        </row>
      </sheetData>
      <sheetData sheetId="451">
        <row r="2">
          <cell r="A2" t="str">
            <v>各法會管報</v>
          </cell>
        </row>
      </sheetData>
      <sheetData sheetId="452">
        <row r="2">
          <cell r="A2" t="str">
            <v>各法會管報</v>
          </cell>
        </row>
      </sheetData>
      <sheetData sheetId="453">
        <row r="2">
          <cell r="A2" t="str">
            <v>各法會管報</v>
          </cell>
        </row>
      </sheetData>
      <sheetData sheetId="454">
        <row r="2">
          <cell r="A2" t="str">
            <v>各法會管報</v>
          </cell>
        </row>
      </sheetData>
      <sheetData sheetId="455">
        <row r="2">
          <cell r="A2" t="str">
            <v>各法會管報</v>
          </cell>
        </row>
      </sheetData>
      <sheetData sheetId="456">
        <row r="2">
          <cell r="A2" t="str">
            <v>各法會管報</v>
          </cell>
        </row>
      </sheetData>
      <sheetData sheetId="457">
        <row r="2">
          <cell r="A2" t="str">
            <v>各法會管報</v>
          </cell>
        </row>
      </sheetData>
      <sheetData sheetId="458">
        <row r="2">
          <cell r="A2" t="str">
            <v>各法會管報</v>
          </cell>
        </row>
      </sheetData>
      <sheetData sheetId="459">
        <row r="2">
          <cell r="A2" t="str">
            <v>各法會管報</v>
          </cell>
        </row>
      </sheetData>
      <sheetData sheetId="460">
        <row r="2">
          <cell r="A2" t="str">
            <v>各法會管報</v>
          </cell>
        </row>
      </sheetData>
      <sheetData sheetId="461">
        <row r="2">
          <cell r="A2" t="str">
            <v>各法會管報</v>
          </cell>
        </row>
      </sheetData>
      <sheetData sheetId="462">
        <row r="2">
          <cell r="A2" t="str">
            <v>各法會管報</v>
          </cell>
        </row>
      </sheetData>
      <sheetData sheetId="463">
        <row r="2">
          <cell r="A2" t="str">
            <v>各法會管報</v>
          </cell>
        </row>
      </sheetData>
      <sheetData sheetId="464">
        <row r="2">
          <cell r="A2" t="str">
            <v>各法會管報</v>
          </cell>
        </row>
      </sheetData>
      <sheetData sheetId="465">
        <row r="2">
          <cell r="A2" t="str">
            <v>各法會管報</v>
          </cell>
        </row>
      </sheetData>
      <sheetData sheetId="466">
        <row r="2">
          <cell r="A2" t="str">
            <v>各法會管報</v>
          </cell>
        </row>
      </sheetData>
      <sheetData sheetId="467">
        <row r="2">
          <cell r="A2" t="str">
            <v>各法會管報</v>
          </cell>
        </row>
      </sheetData>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ow r="2">
          <cell r="A2" t="str">
            <v>各法會管報</v>
          </cell>
        </row>
      </sheetData>
      <sheetData sheetId="980">
        <row r="2">
          <cell r="A2" t="str">
            <v>各法會管報</v>
          </cell>
        </row>
      </sheetData>
      <sheetData sheetId="981"/>
      <sheetData sheetId="982"/>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sheetData sheetId="992"/>
      <sheetData sheetId="993"/>
      <sheetData sheetId="994"/>
      <sheetData sheetId="995"/>
      <sheetData sheetId="996"/>
      <sheetData sheetId="997"/>
      <sheetData sheetId="998">
        <row r="2">
          <cell r="A2" t="str">
            <v>各法會管報</v>
          </cell>
        </row>
      </sheetData>
      <sheetData sheetId="999"/>
      <sheetData sheetId="1000">
        <row r="2">
          <cell r="A2" t="str">
            <v>各法會管報</v>
          </cell>
        </row>
      </sheetData>
      <sheetData sheetId="1001">
        <row r="2">
          <cell r="A2" t="str">
            <v>各法會管報</v>
          </cell>
        </row>
      </sheetData>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refreshError="1"/>
      <sheetData sheetId="1170"/>
      <sheetData sheetId="1171"/>
      <sheetData sheetId="1172"/>
      <sheetData sheetId="1173"/>
      <sheetData sheetId="1174"/>
      <sheetData sheetId="1175"/>
      <sheetData sheetId="1176"/>
      <sheetData sheetId="1177"/>
      <sheetData sheetId="1178"/>
      <sheetData sheetId="1179" refreshError="1"/>
      <sheetData sheetId="1180"/>
      <sheetData sheetId="1181"/>
      <sheetData sheetId="1182"/>
      <sheetData sheetId="1183"/>
      <sheetData sheetId="1184"/>
      <sheetData sheetId="1185"/>
      <sheetData sheetId="1186" refreshError="1"/>
      <sheetData sheetId="1187"/>
      <sheetData sheetId="1188" refreshError="1"/>
      <sheetData sheetId="1189" refreshError="1"/>
      <sheetData sheetId="1190" refreshError="1"/>
      <sheetData sheetId="1191" refreshError="1"/>
      <sheetData sheetId="1192" refreshError="1"/>
      <sheetData sheetId="1193" refreshError="1"/>
      <sheetData sheetId="1194"/>
      <sheetData sheetId="1195"/>
      <sheetData sheetId="1196"/>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sheetData sheetId="1308"/>
      <sheetData sheetId="1309">
        <row r="2">
          <cell r="A2" t="str">
            <v>各法會管報</v>
          </cell>
        </row>
      </sheetData>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sheetData sheetId="1952"/>
      <sheetData sheetId="1953" refreshError="1"/>
      <sheetData sheetId="1954" refreshError="1"/>
      <sheetData sheetId="1955"/>
      <sheetData sheetId="1956"/>
      <sheetData sheetId="1957"/>
      <sheetData sheetId="1958"/>
      <sheetData sheetId="1959"/>
      <sheetData sheetId="1960"/>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ow r="2">
          <cell r="A2" t="str">
            <v>各法會管報</v>
          </cell>
        </row>
      </sheetData>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ow r="2">
          <cell r="A2" t="str">
            <v>各法會管報</v>
          </cell>
        </row>
      </sheetData>
      <sheetData sheetId="3023">
        <row r="2">
          <cell r="A2" t="str">
            <v>各法會管報</v>
          </cell>
        </row>
      </sheetData>
      <sheetData sheetId="3024">
        <row r="2">
          <cell r="A2" t="str">
            <v>各法會管報</v>
          </cell>
        </row>
      </sheetData>
      <sheetData sheetId="3025"/>
      <sheetData sheetId="3026">
        <row r="2">
          <cell r="A2" t="str">
            <v>各法會管報</v>
          </cell>
        </row>
      </sheetData>
      <sheetData sheetId="3027">
        <row r="2">
          <cell r="A2" t="str">
            <v>各法會管報</v>
          </cell>
        </row>
      </sheetData>
      <sheetData sheetId="3028">
        <row r="2">
          <cell r="A2" t="str">
            <v>各法會管報</v>
          </cell>
        </row>
      </sheetData>
      <sheetData sheetId="3029"/>
      <sheetData sheetId="3030"/>
      <sheetData sheetId="3031">
        <row r="2">
          <cell r="A2" t="str">
            <v>各法會管報</v>
          </cell>
        </row>
      </sheetData>
      <sheetData sheetId="3032">
        <row r="2">
          <cell r="A2" t="str">
            <v>各法會管報</v>
          </cell>
        </row>
      </sheetData>
      <sheetData sheetId="3033">
        <row r="2">
          <cell r="A2" t="str">
            <v>各法會管報</v>
          </cell>
        </row>
      </sheetData>
      <sheetData sheetId="3034">
        <row r="2">
          <cell r="A2" t="str">
            <v>各法會管報</v>
          </cell>
        </row>
      </sheetData>
      <sheetData sheetId="3035"/>
      <sheetData sheetId="3036">
        <row r="2">
          <cell r="A2" t="str">
            <v>各法會管報</v>
          </cell>
        </row>
      </sheetData>
      <sheetData sheetId="3037">
        <row r="2">
          <cell r="A2" t="str">
            <v>各法會管報</v>
          </cell>
        </row>
      </sheetData>
      <sheetData sheetId="3038"/>
      <sheetData sheetId="3039"/>
      <sheetData sheetId="3040">
        <row r="2">
          <cell r="A2" t="str">
            <v>各法會管報</v>
          </cell>
        </row>
      </sheetData>
      <sheetData sheetId="3041"/>
      <sheetData sheetId="3042"/>
      <sheetData sheetId="3043"/>
      <sheetData sheetId="3044"/>
      <sheetData sheetId="3045">
        <row r="2">
          <cell r="A2" t="str">
            <v>各法會管報</v>
          </cell>
        </row>
      </sheetData>
      <sheetData sheetId="3046"/>
      <sheetData sheetId="3047">
        <row r="2">
          <cell r="A2" t="str">
            <v>各法會管報</v>
          </cell>
        </row>
      </sheetData>
      <sheetData sheetId="3048"/>
      <sheetData sheetId="3049"/>
      <sheetData sheetId="3050"/>
      <sheetData sheetId="3051"/>
      <sheetData sheetId="3052">
        <row r="2">
          <cell r="A2" t="str">
            <v>各法會管報</v>
          </cell>
        </row>
      </sheetData>
      <sheetData sheetId="3053">
        <row r="2">
          <cell r="A2" t="str">
            <v>各法會管報</v>
          </cell>
        </row>
      </sheetData>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row r="2">
          <cell r="A2" t="str">
            <v>各法會管報</v>
          </cell>
        </row>
      </sheetData>
      <sheetData sheetId="3082">
        <row r="2">
          <cell r="A2" t="str">
            <v>各法會管報</v>
          </cell>
        </row>
      </sheetData>
      <sheetData sheetId="3083">
        <row r="2">
          <cell r="A2" t="str">
            <v>各法會管報</v>
          </cell>
        </row>
      </sheetData>
      <sheetData sheetId="3084">
        <row r="2">
          <cell r="A2" t="str">
            <v>各法會管報</v>
          </cell>
        </row>
      </sheetData>
      <sheetData sheetId="3085">
        <row r="2">
          <cell r="A2" t="str">
            <v>各法會管報</v>
          </cell>
        </row>
      </sheetData>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row r="2">
          <cell r="A2" t="str">
            <v>各法會管報</v>
          </cell>
        </row>
      </sheetData>
      <sheetData sheetId="3341">
        <row r="2">
          <cell r="A2" t="str">
            <v>各法會管報</v>
          </cell>
        </row>
      </sheetData>
      <sheetData sheetId="3342"/>
      <sheetData sheetId="3343"/>
      <sheetData sheetId="3344"/>
      <sheetData sheetId="3345"/>
      <sheetData sheetId="3346"/>
      <sheetData sheetId="3347"/>
      <sheetData sheetId="3348"/>
      <sheetData sheetId="3349">
        <row r="2">
          <cell r="A2" t="str">
            <v>各法會管報</v>
          </cell>
        </row>
      </sheetData>
      <sheetData sheetId="3350">
        <row r="2">
          <cell r="A2" t="str">
            <v>各法會管報</v>
          </cell>
        </row>
      </sheetData>
      <sheetData sheetId="3351">
        <row r="2">
          <cell r="A2" t="str">
            <v>各法會管報</v>
          </cell>
        </row>
      </sheetData>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ow r="2">
          <cell r="A2" t="str">
            <v>各法會管報</v>
          </cell>
        </row>
      </sheetData>
      <sheetData sheetId="3389"/>
      <sheetData sheetId="3390"/>
      <sheetData sheetId="3391"/>
      <sheetData sheetId="3392"/>
      <sheetData sheetId="3393"/>
      <sheetData sheetId="3394"/>
      <sheetData sheetId="3395"/>
      <sheetData sheetId="3396"/>
      <sheetData sheetId="3397"/>
      <sheetData sheetId="3398"/>
      <sheetData sheetId="3399"/>
      <sheetData sheetId="3400">
        <row r="2">
          <cell r="A2" t="str">
            <v>各法會管報</v>
          </cell>
        </row>
      </sheetData>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refreshError="1"/>
      <sheetData sheetId="3486" refreshError="1"/>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refreshError="1"/>
      <sheetData sheetId="3502" refreshError="1"/>
      <sheetData sheetId="3503" refreshError="1"/>
      <sheetData sheetId="3504"/>
      <sheetData sheetId="3505"/>
      <sheetData sheetId="3506" refreshError="1"/>
      <sheetData sheetId="3507" refreshError="1"/>
      <sheetData sheetId="3508"/>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sheetData sheetId="3532"/>
      <sheetData sheetId="3533"/>
      <sheetData sheetId="3534"/>
      <sheetData sheetId="3535"/>
      <sheetData sheetId="3536"/>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sheetData sheetId="3551" refreshError="1"/>
      <sheetData sheetId="3552" refreshError="1"/>
      <sheetData sheetId="3553"/>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sheetData sheetId="3569"/>
      <sheetData sheetId="3570"/>
      <sheetData sheetId="3571"/>
      <sheetData sheetId="3572"/>
      <sheetData sheetId="3573" refreshError="1"/>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sheetData sheetId="3625"/>
      <sheetData sheetId="3626"/>
      <sheetData sheetId="3627"/>
      <sheetData sheetId="3628"/>
      <sheetData sheetId="3629"/>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sheetData sheetId="3736"/>
      <sheetData sheetId="3737"/>
      <sheetData sheetId="3738"/>
      <sheetData sheetId="3739"/>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sheetData sheetId="3758"/>
      <sheetData sheetId="3759"/>
      <sheetData sheetId="3760"/>
      <sheetData sheetId="3761"/>
      <sheetData sheetId="3762"/>
      <sheetData sheetId="3763"/>
      <sheetData sheetId="3764" refreshError="1"/>
      <sheetData sheetId="3765"/>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sheetData sheetId="3776"/>
      <sheetData sheetId="3777"/>
      <sheetData sheetId="3778"/>
      <sheetData sheetId="3779"/>
      <sheetData sheetId="3780"/>
      <sheetData sheetId="378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row r="2">
          <cell r="A2" t="str">
            <v>各法會管報</v>
          </cell>
        </row>
      </sheetData>
      <sheetData sheetId="3848"/>
      <sheetData sheetId="3849"/>
      <sheetData sheetId="3850"/>
      <sheetData sheetId="3851">
        <row r="2">
          <cell r="A2" t="str">
            <v>各法會管報</v>
          </cell>
        </row>
      </sheetData>
      <sheetData sheetId="3852"/>
      <sheetData sheetId="3853"/>
      <sheetData sheetId="3854"/>
      <sheetData sheetId="3855"/>
      <sheetData sheetId="3856"/>
      <sheetData sheetId="3857"/>
      <sheetData sheetId="3858"/>
      <sheetData sheetId="3859"/>
      <sheetData sheetId="3860"/>
      <sheetData sheetId="3861">
        <row r="2">
          <cell r="A2" t="str">
            <v>各法會管報</v>
          </cell>
        </row>
      </sheetData>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row r="2">
          <cell r="A2" t="str">
            <v>各法會管報</v>
          </cell>
        </row>
      </sheetData>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row r="2">
          <cell r="A2" t="str">
            <v>各法會管報</v>
          </cell>
        </row>
      </sheetData>
      <sheetData sheetId="3960">
        <row r="2">
          <cell r="A2" t="str">
            <v>各法會管報</v>
          </cell>
        </row>
      </sheetData>
      <sheetData sheetId="3961">
        <row r="2">
          <cell r="A2" t="str">
            <v>各法會管報</v>
          </cell>
        </row>
      </sheetData>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Summary"/>
      <sheetName val="AMF"/>
      <sheetName val="Japan"/>
      <sheetName val="APCC"/>
      <sheetName val="CCC"/>
      <sheetName val="EMF"/>
      <sheetName val="codes"/>
      <sheetName val="intel target"/>
      <sheetName val="Bom(P1)"/>
      <sheetName val="LITEON"/>
      <sheetName val="Manufactur List"/>
      <sheetName val="Total MPP database"/>
      <sheetName val="Issues List"/>
      <sheetName val="Data lists"/>
      <sheetName val="FA"/>
      <sheetName val="期初B"/>
      <sheetName val="Q_BF3 FBOM-update011504 (2)"/>
      <sheetName val="BF3_Jan_Cost"/>
      <sheetName val="Q_K810VU+939 CostBOM_Rev012004"/>
      <sheetName val="Electronics"/>
      <sheetName val="Mechanical"/>
      <sheetName val="Keyboard &amp; Accessories"/>
      <sheetName val="Packaging"/>
      <sheetName val="Final Prep"/>
      <sheetName val="WK11"/>
      <sheetName val="Workings"/>
      <sheetName val="2 PL"/>
      <sheetName val="3.1 ADM"/>
      <sheetName val="3.2 S&amp;M"/>
      <sheetName val="3.3 RD"/>
      <sheetName val="3.4 Call"/>
      <sheetName val="3.5 Warty"/>
      <sheetName val="4 Head"/>
      <sheetName val="Std_Cost"/>
      <sheetName val="3 Exp"/>
      <sheetName val="DELL_Schedule"/>
      <sheetName val="FA-LISTING"/>
      <sheetName val="Sheet2"/>
      <sheetName val="SheetMetal"/>
      <sheetName val="5C Sum"/>
      <sheetName val="Cost Breakdown"/>
      <sheetName val="Hourly Rate"/>
      <sheetName val="1217_BOM"/>
      <sheetName val="Sheet1"/>
      <sheetName val="Product_Summary"/>
      <sheetName val="intel_target"/>
      <sheetName val="Q_BF3_FBOM-update011504_(2)"/>
      <sheetName val="Q_K810VU+939_CostBOM_Rev012004"/>
      <sheetName val="Keyboard_&amp;_Accessories"/>
      <sheetName val="Final_Prep"/>
      <sheetName val="5C_Sum"/>
      <sheetName val="Manufactur_List"/>
      <sheetName val="Total_MPP_database"/>
      <sheetName val="Issues_List"/>
      <sheetName val="75EY"/>
      <sheetName val="72HX"/>
      <sheetName val="75EX"/>
      <sheetName val="72HY"/>
      <sheetName val="SPM Units"/>
      <sheetName val="Hourly_Rate"/>
      <sheetName val="Assumptions"/>
      <sheetName val="Part Data"/>
      <sheetName val="SM"/>
      <sheetName val="Plating"/>
      <sheetName val="PL"/>
      <sheetName val="PU"/>
      <sheetName val="package"/>
      <sheetName val="Assy"/>
      <sheetName val="tooling"/>
      <sheetName val="Post IN Award NegCorvette Tower"/>
      <sheetName val="626BOM"/>
      <sheetName val="TEMPMAT9308"/>
      <sheetName val="非機種"/>
      <sheetName val="ActiveCodes"/>
      <sheetName val="3"/>
      <sheetName val="周生產"/>
      <sheetName val="零件清單"/>
      <sheetName val="ISRDATA"/>
      <sheetName val="106G"/>
      <sheetName val="108G"/>
      <sheetName val="786AR"/>
      <sheetName val="780A"/>
      <sheetName val="118BL"/>
      <sheetName val="103G V4"/>
      <sheetName val="103G V6"/>
      <sheetName val="114GL"/>
      <sheetName val="124GL"/>
      <sheetName val="table"/>
      <sheetName val="pcbo 工時"/>
      <sheetName val="FA_LISTING"/>
      <sheetName val="Mat Summary"/>
      <sheetName val="Requesters"/>
      <sheetName val="Summary"/>
      <sheetName val="wsp 12-03"/>
      <sheetName val="check List"/>
      <sheetName val="Cable"/>
      <sheetName val="Data"/>
      <sheetName val="Drop Down Info"/>
      <sheetName val="MPS Q2 FY05"/>
      <sheetName val="APX Flavors Q2"/>
      <sheetName val="CDM Component Adjustment Q1"/>
      <sheetName val="MPS Q1 FY05"/>
      <sheetName val="MPS Q3 FY04"/>
      <sheetName val="MPS Q4 FY04"/>
      <sheetName val="MPU Other"/>
      <sheetName val="Matl1"/>
      <sheetName val="Blf2+LOM cost bom_080902"/>
      <sheetName val="清冊"/>
      <sheetName val="ID2"/>
      <sheetName val="Subs"/>
      <sheetName val="Sign Off"/>
      <sheetName val="Hous Rates"/>
      <sheetName val="Anah Rates"/>
      <sheetName val="Minn Rates"/>
      <sheetName val="Mont Rates"/>
      <sheetName val="An pack"/>
      <sheetName val="Paso Rates"/>
      <sheetName val="Engers"/>
      <sheetName val="Lud Rates"/>
      <sheetName val="Q2 project data"/>
      <sheetName val="Product_Summary1"/>
      <sheetName val="intel_target1"/>
      <sheetName val="Manufactur_List1"/>
      <sheetName val="Total_MPP_database1"/>
      <sheetName val="Issues_List1"/>
      <sheetName val="Q_BF3_FBOM-update011504_(2)1"/>
      <sheetName val="Q_K810VU+939_CostBOM_Rev0120041"/>
      <sheetName val="Keyboard_&amp;_Accessories1"/>
      <sheetName val="Final_Prep1"/>
      <sheetName val="2_PL"/>
      <sheetName val="3_1_ADM"/>
      <sheetName val="3_2_S&amp;M"/>
      <sheetName val="3_3_RD"/>
      <sheetName val="3_4_Call"/>
      <sheetName val="3_5_Warty"/>
      <sheetName val="4_Head"/>
      <sheetName val="3_Exp"/>
      <sheetName val="Data_lists"/>
      <sheetName val="5C_Sum1"/>
      <sheetName val="Cost_Breakdown"/>
      <sheetName val="Hourly_Rate1"/>
      <sheetName val="SPM_Units"/>
      <sheetName val="Part_Data"/>
      <sheetName val="Post_IN_Award_NegCorvette_Tower"/>
      <sheetName val="103G_V4"/>
      <sheetName val="103G_V6"/>
      <sheetName val="pcbo_工時"/>
      <sheetName val="Mat_Summary"/>
      <sheetName val="wsp_12-03"/>
    </sheetNames>
    <sheetDataSet>
      <sheetData sheetId="0" refreshError="1"/>
      <sheetData sheetId="1"/>
      <sheetData sheetId="2"/>
      <sheetData sheetId="3"/>
      <sheetData sheetId="4"/>
      <sheetData sheetId="5"/>
      <sheetData sheetId="6" refreshError="1">
        <row r="5">
          <cell r="C5" t="str">
            <v>System Code</v>
          </cell>
          <cell r="D5" t="str">
            <v>Description</v>
          </cell>
        </row>
        <row r="6">
          <cell r="C6" t="str">
            <v>open1</v>
          </cell>
          <cell r="D6" t="str">
            <v>open1</v>
          </cell>
        </row>
        <row r="7">
          <cell r="C7" t="str">
            <v>open2</v>
          </cell>
          <cell r="D7" t="str">
            <v>open2</v>
          </cell>
        </row>
        <row r="8">
          <cell r="C8" t="str">
            <v>open3</v>
          </cell>
          <cell r="D8" t="str">
            <v>open3</v>
          </cell>
        </row>
        <row r="9">
          <cell r="C9" t="str">
            <v>open4</v>
          </cell>
          <cell r="D9" t="str">
            <v>open4</v>
          </cell>
        </row>
        <row r="10">
          <cell r="C10" t="str">
            <v>SCC400G</v>
          </cell>
          <cell r="D10" t="str">
            <v>Corona I Celeron, C400GT (MMC-2 Celeron 400), 14.1” TFT</v>
          </cell>
        </row>
        <row r="11">
          <cell r="C11" t="str">
            <v>SCC433S</v>
          </cell>
          <cell r="D11" t="str">
            <v>Churchill, C433ST (MMC-2 Celeron 433), 12.1” TFT</v>
          </cell>
        </row>
        <row r="12">
          <cell r="C12" t="str">
            <v>SCC466G</v>
          </cell>
          <cell r="D12" t="str">
            <v>Churchill, C466GT (MMC-2 Celeron 466), 14.1” TFT</v>
          </cell>
        </row>
        <row r="13">
          <cell r="C13" t="str">
            <v>SCCSB1</v>
          </cell>
          <cell r="D13" t="str">
            <v>Churchill, (Celeron Speedbump) 12.1" TFT</v>
          </cell>
        </row>
        <row r="14">
          <cell r="C14" t="str">
            <v>SCCSB2</v>
          </cell>
          <cell r="D14" t="str">
            <v>Churchill, (Celeron Speedbump) 14.1" TFT</v>
          </cell>
        </row>
        <row r="15">
          <cell r="C15" t="str">
            <v>SCD400G</v>
          </cell>
          <cell r="D15" t="str">
            <v>Corona I, ?400GT (MMC-2 Dixon 400), 14.1" TFT (Dual Pointing)</v>
          </cell>
        </row>
        <row r="16">
          <cell r="C16" t="str">
            <v>SCN400G</v>
          </cell>
          <cell r="D16" t="str">
            <v>Corona I, R400GT (MMC-2 Dixon 400), 14.1” TFT</v>
          </cell>
        </row>
        <row r="17">
          <cell r="C17" t="str">
            <v>SCR333G</v>
          </cell>
          <cell r="D17" t="str">
            <v>Corona I Celeron, C333GT (MMC-2 Celeron 333), 14.1” TFT</v>
          </cell>
        </row>
        <row r="18">
          <cell r="C18" t="str">
            <v>SCR450G</v>
          </cell>
          <cell r="D18" t="str">
            <v>Corona II, H450GT (Mobile Cu 450), 14.1” TFT</v>
          </cell>
        </row>
        <row r="19">
          <cell r="C19" t="str">
            <v>SCR600G</v>
          </cell>
          <cell r="D19" t="str">
            <v>Corona II, J600GT (Mobile Cu 600 w/Geyserville), 14.1” TFT</v>
          </cell>
        </row>
        <row r="20">
          <cell r="C20" t="str">
            <v>SCRSB1</v>
          </cell>
          <cell r="D20" t="str">
            <v>Corona II, J700GT (Mobile Cu 700 w/Geyserville), 14.1” TFT</v>
          </cell>
        </row>
        <row r="21">
          <cell r="C21" t="str">
            <v>SHBHI</v>
          </cell>
          <cell r="D21" t="str">
            <v>Habana - High End Config - 14.1" TFT</v>
          </cell>
        </row>
        <row r="22">
          <cell r="C22" t="str">
            <v>SHBLO</v>
          </cell>
          <cell r="D22" t="str">
            <v>Habana - Low End Config - 14.1" TFT</v>
          </cell>
        </row>
        <row r="23">
          <cell r="C23" t="str">
            <v>SHBMI</v>
          </cell>
          <cell r="D23" t="str">
            <v>Habana - Mid Range Config - 14.1" TFT</v>
          </cell>
        </row>
        <row r="24">
          <cell r="C24" t="str">
            <v>SHL266S</v>
          </cell>
          <cell r="D24" t="str">
            <v>Halifax, M266 (Tillamook), 11.3” TFT</v>
          </cell>
        </row>
        <row r="25">
          <cell r="C25" t="str">
            <v>SHL450S</v>
          </cell>
          <cell r="D25" t="str">
            <v>Atlas, H450, (Mobile Cu 450), 12.1” TFT</v>
          </cell>
        </row>
        <row r="26">
          <cell r="C26" t="str">
            <v>SHLC1</v>
          </cell>
          <cell r="D26" t="str">
            <v>Atlas, CxxxS (Celeron), 12.1" TFT</v>
          </cell>
        </row>
        <row r="27">
          <cell r="C27" t="str">
            <v>SHLSB1</v>
          </cell>
          <cell r="D27" t="str">
            <v>Atlas, H5xxS, (Mobile Cu 5xx), 12.1” TFT</v>
          </cell>
        </row>
        <row r="28">
          <cell r="C28" t="str">
            <v>SM233XT</v>
          </cell>
          <cell r="D28" t="str">
            <v>Mojave, M233ST, 12.1" TFT</v>
          </cell>
        </row>
        <row r="29">
          <cell r="C29" t="str">
            <v>SMD233S</v>
          </cell>
          <cell r="D29" t="str">
            <v>Mojave, MD233ST, 12.1" TFT</v>
          </cell>
        </row>
        <row r="30">
          <cell r="C30" t="str">
            <v>SMD300X</v>
          </cell>
          <cell r="D30" t="str">
            <v>Mojave MD, MD300 (Mobile Deschutes), 13.3” TFT</v>
          </cell>
        </row>
        <row r="31">
          <cell r="C31" t="str">
            <v>SMM266X</v>
          </cell>
          <cell r="D31" t="str">
            <v>Mojave MD, MD266 (Mobile Deschutes), 13.3” TFT</v>
          </cell>
        </row>
        <row r="32">
          <cell r="C32" t="str">
            <v>SMN400X</v>
          </cell>
          <cell r="D32" t="str">
            <v>Macanudo, R400XT, (Mobile Dixon 400), 13.3” TFT</v>
          </cell>
        </row>
        <row r="33">
          <cell r="C33" t="str">
            <v>SMN500X</v>
          </cell>
          <cell r="D33" t="str">
            <v>Macanudo, H500XT (Mobile Cu 500), 13.3” TFT</v>
          </cell>
        </row>
        <row r="34">
          <cell r="C34" t="str">
            <v>SMNSB1</v>
          </cell>
          <cell r="D34" t="str">
            <v>Macanudo, HxxxXT (Mobile Cu Speedbump), 13.3” TFT</v>
          </cell>
        </row>
        <row r="35">
          <cell r="C35" t="str">
            <v>SPN300S</v>
          </cell>
          <cell r="D35" t="str">
            <v>Punch, A300ST (MMC-2 Dixon 300), 12.1” TFT</v>
          </cell>
        </row>
        <row r="36">
          <cell r="C36" t="str">
            <v>SPN366S</v>
          </cell>
          <cell r="D36" t="str">
            <v>Punch, A366ST (MMC-2 Dixon 366), 12.1” TFT</v>
          </cell>
        </row>
        <row r="37">
          <cell r="C37" t="str">
            <v>SPN366X</v>
          </cell>
          <cell r="D37" t="str">
            <v>Punch, A366XT (MMC-2 Dixon 366), 13.3” TFT</v>
          </cell>
        </row>
        <row r="38">
          <cell r="C38" t="str">
            <v>SPN400X</v>
          </cell>
          <cell r="D38" t="str">
            <v>Punch, A400XT (MMC-2 Dixon 400), 13.3” TFT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
      <sheetName val="DeliveryBOM(39)"/>
      <sheetName val="PNsCost"/>
      <sheetName val="FRU"/>
      <sheetName val="DeliveryBOM(DT2)"/>
      <sheetName val="49P2651&amp;37L6568&amp;73P6640"/>
      <sheetName val="02R9040&amp;37L6515"/>
      <sheetName val="02R9066"/>
      <sheetName val="90P4787"/>
      <sheetName val="02R9004"/>
      <sheetName val="02R9016"/>
      <sheetName val="Buy_Pcost"/>
      <sheetName val="PL_Tcost"/>
      <sheetName val="PL_NTcost"/>
      <sheetName val="PL_Pcost"/>
      <sheetName val="SM_Pcost"/>
      <sheetName val="SM_Tcost"/>
      <sheetName val="Freight&amp;Packaging(39)"/>
      <sheetName val="FCL"/>
      <sheetName val="F&amp;P_DT2"/>
      <sheetName val="F&amp;P_DG"/>
      <sheetName val="F&amp;P_Thaidland"/>
      <sheetName val="F&amp;P_02R9004&amp;90P4787"/>
      <sheetName val="F&amp;P_02R9066"/>
      <sheetName val="F&amp;P_Malaysia"/>
      <sheetName val="FCA HK"/>
      <sheetName val="FP_49P2661"/>
      <sheetName val="F&amp;P_FRU"/>
      <sheetName val="Issues List"/>
      <sheetName val="Commodity FCST"/>
    </sheetNames>
    <sheetDataSet>
      <sheetData sheetId="0"/>
      <sheetData sheetId="1"/>
      <sheetData sheetId="2">
        <row r="3">
          <cell r="C3" t="str">
            <v>01R0610</v>
          </cell>
          <cell r="D3" t="str">
            <v>2T589-01</v>
          </cell>
          <cell r="E3" t="str">
            <v>H24473B</v>
          </cell>
          <cell r="F3" t="str">
            <v>BLOWER ASM</v>
          </cell>
          <cell r="G3">
            <v>1</v>
          </cell>
          <cell r="H3" t="str">
            <v>HW</v>
          </cell>
          <cell r="M3">
            <v>0.06</v>
          </cell>
          <cell r="N3">
            <v>6.0000000000000001E-3</v>
          </cell>
        </row>
        <row r="4">
          <cell r="C4" t="str">
            <v>02R1024</v>
          </cell>
          <cell r="D4" t="str">
            <v>4J771-01</v>
          </cell>
          <cell r="E4" t="str">
            <v>N/A</v>
          </cell>
          <cell r="F4" t="str">
            <v>ASM Cust CARD</v>
          </cell>
          <cell r="G4">
            <v>1</v>
          </cell>
          <cell r="H4" t="str">
            <v>AS</v>
          </cell>
          <cell r="M4">
            <v>6.57</v>
          </cell>
          <cell r="N4">
            <v>0.19800000000000001</v>
          </cell>
        </row>
        <row r="5">
          <cell r="C5" t="str">
            <v>02R9003</v>
          </cell>
          <cell r="E5" t="str">
            <v>H14828J</v>
          </cell>
          <cell r="F5" t="str">
            <v>Parts Kit</v>
          </cell>
          <cell r="G5">
            <v>1</v>
          </cell>
          <cell r="H5" t="str">
            <v>AS</v>
          </cell>
        </row>
        <row r="6">
          <cell r="C6" t="str">
            <v>02R9007</v>
          </cell>
          <cell r="E6" t="str">
            <v>H15410E</v>
          </cell>
          <cell r="F6" t="str">
            <v>ASM ACUSTIC BAFFLE</v>
          </cell>
          <cell r="G6">
            <v>1</v>
          </cell>
          <cell r="H6" t="str">
            <v>AS</v>
          </cell>
          <cell r="O6">
            <v>1.131</v>
          </cell>
        </row>
        <row r="7">
          <cell r="C7" t="str">
            <v>02R9016</v>
          </cell>
          <cell r="D7" t="str">
            <v>2FR32-01</v>
          </cell>
          <cell r="E7" t="str">
            <v>H15410E</v>
          </cell>
          <cell r="F7" t="str">
            <v>POWER SUPPLY FILLER</v>
          </cell>
          <cell r="G7">
            <v>1</v>
          </cell>
          <cell r="H7" t="str">
            <v>AS</v>
          </cell>
        </row>
        <row r="8">
          <cell r="C8" t="str">
            <v>02R9039</v>
          </cell>
          <cell r="D8" t="str">
            <v>2FR33-01</v>
          </cell>
          <cell r="E8" t="str">
            <v>H15410E</v>
          </cell>
          <cell r="F8" t="str">
            <v>MEDIA TRAY ASM</v>
          </cell>
          <cell r="G8">
            <v>1</v>
          </cell>
          <cell r="H8" t="str">
            <v>AS</v>
          </cell>
        </row>
        <row r="9">
          <cell r="C9" t="str">
            <v>02R9041</v>
          </cell>
          <cell r="D9" t="str">
            <v>2FR34-01</v>
          </cell>
          <cell r="E9" t="str">
            <v>H14882N</v>
          </cell>
          <cell r="F9" t="str">
            <v>MEDIA LATCH BRACKET</v>
          </cell>
          <cell r="G9">
            <v>1</v>
          </cell>
          <cell r="H9" t="str">
            <v>AS</v>
          </cell>
        </row>
        <row r="10">
          <cell r="C10" t="str">
            <v>02R9058</v>
          </cell>
          <cell r="D10" t="str">
            <v>3S813-01</v>
          </cell>
          <cell r="E10" t="str">
            <v>H15410E</v>
          </cell>
          <cell r="F10" t="str">
            <v>ASM,MODULE ENCLOSURE ,ESM</v>
          </cell>
          <cell r="H10" t="str">
            <v>AS</v>
          </cell>
          <cell r="O10">
            <v>0.312</v>
          </cell>
        </row>
        <row r="11">
          <cell r="C11" t="str">
            <v>02R9063</v>
          </cell>
          <cell r="D11" t="str">
            <v>2T828-01</v>
          </cell>
          <cell r="E11" t="str">
            <v>H14882N</v>
          </cell>
          <cell r="F11" t="str">
            <v>HDD Tray ASM</v>
          </cell>
          <cell r="H11" t="str">
            <v>AS</v>
          </cell>
          <cell r="O11">
            <v>0.06</v>
          </cell>
        </row>
        <row r="12">
          <cell r="C12" t="str">
            <v>02R9065</v>
          </cell>
          <cell r="D12" t="str">
            <v>2FR35-01</v>
          </cell>
          <cell r="E12" t="str">
            <v>H14882F</v>
          </cell>
          <cell r="F12" t="str">
            <v>SINGLE WIDE FILLER</v>
          </cell>
          <cell r="G12">
            <v>1</v>
          </cell>
          <cell r="H12" t="str">
            <v>AS</v>
          </cell>
          <cell r="O12">
            <v>0.41799999999999998</v>
          </cell>
        </row>
        <row r="13">
          <cell r="C13" t="str">
            <v>02R9066</v>
          </cell>
          <cell r="D13" t="str">
            <v>2FR36-01</v>
          </cell>
          <cell r="E13" t="str">
            <v>H15410E</v>
          </cell>
          <cell r="F13" t="str">
            <v>MODULE FILLER</v>
          </cell>
          <cell r="G13">
            <v>1</v>
          </cell>
          <cell r="H13" t="str">
            <v>AS</v>
          </cell>
        </row>
        <row r="14">
          <cell r="C14" t="str">
            <v>02R9070</v>
          </cell>
          <cell r="D14" t="str">
            <v>2FR31-01</v>
          </cell>
          <cell r="E14" t="str">
            <v>H14882U</v>
          </cell>
          <cell r="F14" t="str">
            <v>BACKWARD CURVE BLOWER</v>
          </cell>
          <cell r="G14">
            <v>1</v>
          </cell>
          <cell r="H14" t="str">
            <v>AS</v>
          </cell>
        </row>
        <row r="15">
          <cell r="C15" t="str">
            <v>02R9168</v>
          </cell>
          <cell r="D15" t="str">
            <v>2FR43-01</v>
          </cell>
          <cell r="E15" t="str">
            <v>H14882Y</v>
          </cell>
          <cell r="F15" t="str">
            <v>CHASSIS ASM</v>
          </cell>
          <cell r="G15">
            <v>1</v>
          </cell>
          <cell r="H15" t="str">
            <v>AS</v>
          </cell>
          <cell r="O15">
            <v>13.917999999999999</v>
          </cell>
        </row>
        <row r="16">
          <cell r="C16" t="str">
            <v>02R9169</v>
          </cell>
          <cell r="D16" t="str">
            <v>2FR42-01</v>
          </cell>
          <cell r="E16" t="str">
            <v>H17545K</v>
          </cell>
          <cell r="F16" t="str">
            <v>ASM CHASSIS</v>
          </cell>
          <cell r="G16">
            <v>1</v>
          </cell>
          <cell r="H16" t="str">
            <v>AS</v>
          </cell>
          <cell r="O16">
            <v>6.5780000000000003</v>
          </cell>
        </row>
        <row r="17">
          <cell r="C17" t="str">
            <v>02R9177</v>
          </cell>
          <cell r="D17" t="str">
            <v>N/A</v>
          </cell>
          <cell r="E17" t="str">
            <v>H14882Y</v>
          </cell>
          <cell r="F17" t="str">
            <v>RAIL LEFT BRACKET</v>
          </cell>
          <cell r="G17">
            <v>1</v>
          </cell>
          <cell r="H17" t="str">
            <v>AS</v>
          </cell>
          <cell r="O17">
            <v>0.499</v>
          </cell>
        </row>
        <row r="18">
          <cell r="C18" t="str">
            <v>02R9178</v>
          </cell>
          <cell r="D18" t="str">
            <v>2FR37-01</v>
          </cell>
          <cell r="E18" t="str">
            <v>H14882Y</v>
          </cell>
          <cell r="F18" t="str">
            <v>LFT REAR SLIDE BRACKET</v>
          </cell>
          <cell r="G18">
            <v>1</v>
          </cell>
          <cell r="H18" t="str">
            <v>AS</v>
          </cell>
        </row>
        <row r="19">
          <cell r="C19" t="str">
            <v>02R9179</v>
          </cell>
          <cell r="D19" t="str">
            <v>N/A</v>
          </cell>
          <cell r="E19" t="str">
            <v>H14882Y</v>
          </cell>
          <cell r="F19" t="str">
            <v>LFT FRNT SLIDE BRACKET</v>
          </cell>
          <cell r="G19">
            <v>1</v>
          </cell>
          <cell r="H19" t="str">
            <v>AS</v>
          </cell>
        </row>
        <row r="20">
          <cell r="C20" t="str">
            <v>02R9180</v>
          </cell>
          <cell r="D20" t="str">
            <v>N/A</v>
          </cell>
          <cell r="E20" t="str">
            <v>H14882Y</v>
          </cell>
          <cell r="F20" t="str">
            <v>RAIL RIGHT BRACKET</v>
          </cell>
          <cell r="G20">
            <v>1</v>
          </cell>
          <cell r="H20" t="str">
            <v>AS</v>
          </cell>
          <cell r="O20">
            <v>0.499</v>
          </cell>
        </row>
        <row r="21">
          <cell r="C21" t="str">
            <v>02R9181</v>
          </cell>
          <cell r="D21" t="str">
            <v>N/A</v>
          </cell>
          <cell r="E21" t="str">
            <v>H14882Y</v>
          </cell>
          <cell r="F21" t="str">
            <v>RIGHT REAR SLD BRACKET</v>
          </cell>
          <cell r="G21">
            <v>1</v>
          </cell>
          <cell r="H21" t="str">
            <v>AS</v>
          </cell>
        </row>
        <row r="22">
          <cell r="C22" t="str">
            <v>02R9182</v>
          </cell>
          <cell r="D22" t="str">
            <v>N/A</v>
          </cell>
          <cell r="E22" t="str">
            <v>H14882Y</v>
          </cell>
          <cell r="F22" t="str">
            <v>ASM FRONT RGHT SLD BRACKET</v>
          </cell>
          <cell r="G22">
            <v>1</v>
          </cell>
          <cell r="H22" t="str">
            <v>AS</v>
          </cell>
        </row>
        <row r="23">
          <cell r="C23" t="str">
            <v>02R9183</v>
          </cell>
          <cell r="D23" t="str">
            <v>2FT25-01</v>
          </cell>
          <cell r="E23" t="str">
            <v>H14882Y</v>
          </cell>
          <cell r="F23" t="str">
            <v>RACK KIT</v>
          </cell>
          <cell r="H23" t="str">
            <v>AS</v>
          </cell>
          <cell r="O23">
            <v>0.499</v>
          </cell>
        </row>
        <row r="24">
          <cell r="C24" t="str">
            <v>13N2634</v>
          </cell>
          <cell r="D24" t="str">
            <v>2FT27-01</v>
          </cell>
          <cell r="E24" t="str">
            <v>H16633X</v>
          </cell>
          <cell r="F24" t="str">
            <v>TITLE COVER , SIDE BSE</v>
          </cell>
          <cell r="H24" t="str">
            <v>AS</v>
          </cell>
          <cell r="O24">
            <v>0.46800000000000003</v>
          </cell>
        </row>
        <row r="25">
          <cell r="C25" t="str">
            <v>16F0050</v>
          </cell>
          <cell r="D25" t="str">
            <v>N/A</v>
          </cell>
          <cell r="E25" t="str">
            <v>H15199</v>
          </cell>
          <cell r="F25" t="str">
            <v>BLOWER</v>
          </cell>
          <cell r="H25" t="str">
            <v>AS</v>
          </cell>
        </row>
        <row r="26">
          <cell r="C26" t="str">
            <v>37L6505</v>
          </cell>
          <cell r="D26" t="str">
            <v>2FR41-01</v>
          </cell>
          <cell r="E26" t="str">
            <v>H14882V</v>
          </cell>
          <cell r="F26" t="str">
            <v>ASM SPC CHASSIS</v>
          </cell>
          <cell r="G26">
            <v>1</v>
          </cell>
          <cell r="H26" t="str">
            <v>AS</v>
          </cell>
          <cell r="O26">
            <v>4.3730000000000002</v>
          </cell>
        </row>
        <row r="27">
          <cell r="C27" t="str">
            <v>37L6517</v>
          </cell>
          <cell r="D27" t="str">
            <v>2FQ67-01</v>
          </cell>
          <cell r="E27" t="str">
            <v>H14882L</v>
          </cell>
          <cell r="F27" t="str">
            <v>BlADE FillER BRACKET</v>
          </cell>
          <cell r="G27">
            <v>1</v>
          </cell>
          <cell r="H27" t="str">
            <v>AS</v>
          </cell>
        </row>
        <row r="28">
          <cell r="C28" t="str">
            <v>37L6567</v>
          </cell>
          <cell r="D28" t="str">
            <v>2FQ26-01</v>
          </cell>
          <cell r="E28" t="str">
            <v>H14882A</v>
          </cell>
          <cell r="F28" t="str">
            <v>ASM Enc Bottom LEVER</v>
          </cell>
          <cell r="G28">
            <v>1</v>
          </cell>
          <cell r="H28" t="str">
            <v>AS</v>
          </cell>
        </row>
        <row r="29">
          <cell r="C29" t="str">
            <v>37L6571</v>
          </cell>
          <cell r="D29" t="str">
            <v>2FR18-01</v>
          </cell>
          <cell r="E29" t="str">
            <v>H15410E</v>
          </cell>
          <cell r="F29" t="str">
            <v>ASM Module ENCLOSURE</v>
          </cell>
          <cell r="G29">
            <v>1</v>
          </cell>
          <cell r="H29" t="str">
            <v>AS</v>
          </cell>
          <cell r="O29">
            <v>0.312</v>
          </cell>
        </row>
        <row r="30">
          <cell r="C30" t="str">
            <v>37L6587</v>
          </cell>
          <cell r="D30" t="str">
            <v>2FQ80-01</v>
          </cell>
          <cell r="E30" t="str">
            <v>H14882L</v>
          </cell>
          <cell r="F30" t="str">
            <v>FILLER SWICH</v>
          </cell>
          <cell r="G30">
            <v>1</v>
          </cell>
          <cell r="H30" t="str">
            <v>AS</v>
          </cell>
        </row>
        <row r="31">
          <cell r="C31" t="str">
            <v>37L6589</v>
          </cell>
          <cell r="D31" t="str">
            <v>2FR58-01</v>
          </cell>
          <cell r="E31" t="str">
            <v>H14882L</v>
          </cell>
          <cell r="F31" t="str">
            <v>Power Supply FILLER</v>
          </cell>
          <cell r="G31">
            <v>1</v>
          </cell>
          <cell r="H31" t="str">
            <v>SM</v>
          </cell>
          <cell r="I31" t="str">
            <v>GI ,  408 x 234 x 1.016</v>
          </cell>
          <cell r="K31">
            <v>0.61799999999999999</v>
          </cell>
          <cell r="L31">
            <v>0.42299999999999999</v>
          </cell>
        </row>
        <row r="32">
          <cell r="C32" t="str">
            <v>37L6617</v>
          </cell>
          <cell r="D32" t="str">
            <v>2FQ27-01</v>
          </cell>
          <cell r="E32" t="str">
            <v>H14882A</v>
          </cell>
          <cell r="F32" t="str">
            <v>Enclosure Top LEVER</v>
          </cell>
          <cell r="G32">
            <v>1</v>
          </cell>
          <cell r="H32" t="str">
            <v>AS</v>
          </cell>
        </row>
        <row r="33">
          <cell r="C33" t="str">
            <v>48P7076</v>
          </cell>
          <cell r="D33" t="str">
            <v>2T834-01</v>
          </cell>
          <cell r="E33" t="str">
            <v>H16353</v>
          </cell>
          <cell r="F33" t="str">
            <v>L1 COPT Filler Hsink</v>
          </cell>
          <cell r="H33" t="str">
            <v>AS</v>
          </cell>
          <cell r="O33">
            <v>3.9E-2</v>
          </cell>
        </row>
        <row r="34">
          <cell r="C34" t="str">
            <v>48P7077</v>
          </cell>
          <cell r="D34" t="str">
            <v>2FT89-01</v>
          </cell>
          <cell r="E34" t="str">
            <v>H14882F</v>
          </cell>
          <cell r="F34" t="str">
            <v>BLADE FILLER L1 COPT</v>
          </cell>
          <cell r="H34" t="str">
            <v>AS</v>
          </cell>
          <cell r="O34">
            <v>0.41799999999999998</v>
          </cell>
        </row>
        <row r="35">
          <cell r="C35" t="str">
            <v>48P7078</v>
          </cell>
          <cell r="D35" t="str">
            <v>2FT90-01</v>
          </cell>
          <cell r="E35" t="str">
            <v>H14882F</v>
          </cell>
          <cell r="F35" t="str">
            <v>L1 COPT MODULE FILLER</v>
          </cell>
          <cell r="H35" t="str">
            <v>AS</v>
          </cell>
          <cell r="O35">
            <v>0.22800000000000001</v>
          </cell>
        </row>
        <row r="36">
          <cell r="C36" t="str">
            <v>48P7079</v>
          </cell>
          <cell r="D36" t="str">
            <v>2FT91-01</v>
          </cell>
          <cell r="E36" t="str">
            <v>H14882D</v>
          </cell>
          <cell r="F36" t="str">
            <v>L1 COPT POWER SUPPLY FILLER</v>
          </cell>
          <cell r="H36" t="str">
            <v>AS</v>
          </cell>
          <cell r="O36">
            <v>0.216</v>
          </cell>
        </row>
        <row r="37">
          <cell r="C37" t="str">
            <v>48P9032</v>
          </cell>
          <cell r="D37" t="str">
            <v>4N874-01</v>
          </cell>
          <cell r="E37" t="str">
            <v>N/A</v>
          </cell>
          <cell r="F37" t="str">
            <v>BDPLANAR</v>
          </cell>
          <cell r="G37">
            <v>1</v>
          </cell>
          <cell r="H37" t="str">
            <v>PCB</v>
          </cell>
          <cell r="M37">
            <v>1.62</v>
          </cell>
          <cell r="N37">
            <v>0.13</v>
          </cell>
        </row>
        <row r="38">
          <cell r="C38" t="str">
            <v>49P2511</v>
          </cell>
          <cell r="D38" t="str">
            <v>3S823-01</v>
          </cell>
          <cell r="E38" t="str">
            <v>H14882N</v>
          </cell>
          <cell r="F38" t="str">
            <v>BEZEL ASM</v>
          </cell>
          <cell r="G38">
            <v>1</v>
          </cell>
          <cell r="H38" t="str">
            <v>AS</v>
          </cell>
        </row>
        <row r="39">
          <cell r="C39" t="str">
            <v>49P2522</v>
          </cell>
          <cell r="E39" t="str">
            <v>H14882K</v>
          </cell>
          <cell r="F39" t="str">
            <v>MEDIA TRAY ASM</v>
          </cell>
          <cell r="G39">
            <v>1</v>
          </cell>
          <cell r="H39" t="str">
            <v>AS</v>
          </cell>
          <cell r="O39">
            <v>0.41599999999999998</v>
          </cell>
        </row>
        <row r="40">
          <cell r="C40" t="str">
            <v>49P2581</v>
          </cell>
          <cell r="D40" t="str">
            <v>N/A</v>
          </cell>
          <cell r="E40" t="str">
            <v>H14882H</v>
          </cell>
          <cell r="F40" t="str">
            <v>ASM INN SLD L BRACKET</v>
          </cell>
          <cell r="G40">
            <v>1</v>
          </cell>
          <cell r="H40" t="str">
            <v>AS</v>
          </cell>
        </row>
        <row r="41">
          <cell r="C41" t="str">
            <v>49P2588</v>
          </cell>
          <cell r="D41" t="str">
            <v>N/A</v>
          </cell>
          <cell r="E41" t="str">
            <v>H14882S</v>
          </cell>
          <cell r="F41" t="str">
            <v>ASN INNER SLID BRACKET</v>
          </cell>
          <cell r="G41">
            <v>1</v>
          </cell>
          <cell r="H41" t="str">
            <v>AS</v>
          </cell>
        </row>
        <row r="42">
          <cell r="C42" t="str">
            <v>49P2591</v>
          </cell>
          <cell r="D42" t="str">
            <v>N/A</v>
          </cell>
          <cell r="E42" t="str">
            <v>H14882H</v>
          </cell>
          <cell r="F42" t="str">
            <v>BRACKET</v>
          </cell>
          <cell r="G42">
            <v>1</v>
          </cell>
          <cell r="H42" t="str">
            <v>AS</v>
          </cell>
        </row>
        <row r="43">
          <cell r="C43" t="str">
            <v>49P2597</v>
          </cell>
          <cell r="D43" t="str">
            <v>N/A</v>
          </cell>
          <cell r="E43" t="str">
            <v>H14882S</v>
          </cell>
          <cell r="F43" t="str">
            <v>ASM INN SLD RT BRACKET</v>
          </cell>
          <cell r="G43">
            <v>1</v>
          </cell>
          <cell r="H43" t="str">
            <v>AS</v>
          </cell>
        </row>
        <row r="44">
          <cell r="C44" t="str">
            <v>49P2605</v>
          </cell>
          <cell r="D44" t="str">
            <v>2T833-01</v>
          </cell>
          <cell r="E44" t="str">
            <v>H14882F</v>
          </cell>
          <cell r="F44" t="str">
            <v>BLOWER DAMPER</v>
          </cell>
          <cell r="G44">
            <v>1</v>
          </cell>
          <cell r="H44" t="str">
            <v>AS</v>
          </cell>
        </row>
        <row r="45">
          <cell r="C45" t="str">
            <v>49P2631</v>
          </cell>
          <cell r="D45" t="str">
            <v>N/A</v>
          </cell>
          <cell r="E45" t="str">
            <v>H14882S</v>
          </cell>
          <cell r="F45" t="str">
            <v>ASM MT HW MOUNT</v>
          </cell>
          <cell r="G45">
            <v>1</v>
          </cell>
          <cell r="H45" t="str">
            <v>AS</v>
          </cell>
        </row>
        <row r="46">
          <cell r="C46" t="str">
            <v>49P2651</v>
          </cell>
          <cell r="D46" t="str">
            <v>2FT28-01</v>
          </cell>
          <cell r="E46" t="str">
            <v>H14882C</v>
          </cell>
          <cell r="F46" t="str">
            <v>ASM,LEVER ,IB ENCLOSURE ,BOTTOM TE</v>
          </cell>
          <cell r="H46" t="str">
            <v>AS</v>
          </cell>
          <cell r="O46">
            <v>9.6000000000000002E-2</v>
          </cell>
        </row>
        <row r="47">
          <cell r="C47" t="str">
            <v>49P2683</v>
          </cell>
          <cell r="E47" t="str">
            <v>H14882L</v>
          </cell>
          <cell r="F47" t="str">
            <v>Chasis Muffler MUFFLER</v>
          </cell>
          <cell r="G47">
            <v>1</v>
          </cell>
          <cell r="H47" t="str">
            <v>AS</v>
          </cell>
        </row>
        <row r="48">
          <cell r="C48" t="str">
            <v>49P2689</v>
          </cell>
          <cell r="E48" t="str">
            <v>H14882J</v>
          </cell>
          <cell r="F48" t="str">
            <v>ASM Shaft SHAFT</v>
          </cell>
          <cell r="G48">
            <v>1</v>
          </cell>
          <cell r="H48" t="str">
            <v>AS</v>
          </cell>
        </row>
        <row r="49">
          <cell r="C49" t="str">
            <v>49P2698</v>
          </cell>
          <cell r="D49" t="str">
            <v>N/A</v>
          </cell>
          <cell r="E49" t="str">
            <v>H14885A</v>
          </cell>
          <cell r="F49" t="str">
            <v>DAMPER SPRING</v>
          </cell>
          <cell r="G49">
            <v>28</v>
          </cell>
          <cell r="H49" t="str">
            <v>AS</v>
          </cell>
        </row>
        <row r="50">
          <cell r="C50" t="str">
            <v>73P6145</v>
          </cell>
          <cell r="D50" t="str">
            <v>2FT11-01</v>
          </cell>
          <cell r="E50" t="str">
            <v>H15410M</v>
          </cell>
          <cell r="F50" t="str">
            <v>ASM BEZEL</v>
          </cell>
          <cell r="H50" t="str">
            <v>AS</v>
          </cell>
          <cell r="O50">
            <v>0.38400000000000001</v>
          </cell>
        </row>
        <row r="51">
          <cell r="C51" t="str">
            <v>73P6640</v>
          </cell>
          <cell r="D51" t="str">
            <v>2FT10-01</v>
          </cell>
          <cell r="E51" t="str">
            <v>H15410M</v>
          </cell>
          <cell r="F51" t="str">
            <v>ASM LEVER ENCL BEZEL</v>
          </cell>
          <cell r="H51" t="str">
            <v>AS</v>
          </cell>
          <cell r="O51">
            <v>9.6000000000000002E-2</v>
          </cell>
        </row>
        <row r="52">
          <cell r="C52" t="str">
            <v>73P6641</v>
          </cell>
          <cell r="D52" t="str">
            <v>2FT12-01</v>
          </cell>
          <cell r="E52" t="str">
            <v>H15410M</v>
          </cell>
          <cell r="F52" t="str">
            <v>ASM MODULE ENCLOSURE</v>
          </cell>
          <cell r="H52" t="str">
            <v>AS</v>
          </cell>
          <cell r="O52">
            <v>0.312</v>
          </cell>
        </row>
        <row r="53">
          <cell r="C53" t="str">
            <v>73P6645</v>
          </cell>
          <cell r="D53" t="str">
            <v>N/A</v>
          </cell>
          <cell r="E53" t="str">
            <v>H15410M</v>
          </cell>
          <cell r="F53" t="str">
            <v>MEDIA TRAY REF DWG</v>
          </cell>
          <cell r="G53">
            <v>0</v>
          </cell>
          <cell r="H53" t="str">
            <v>AS</v>
          </cell>
        </row>
        <row r="54">
          <cell r="C54" t="str">
            <v>73P6646</v>
          </cell>
          <cell r="D54" t="str">
            <v>2FT13-01</v>
          </cell>
          <cell r="E54" t="str">
            <v>H15410M</v>
          </cell>
          <cell r="F54" t="str">
            <v>MODULE FILLER</v>
          </cell>
          <cell r="H54" t="str">
            <v>AS</v>
          </cell>
          <cell r="O54">
            <v>0.216</v>
          </cell>
        </row>
        <row r="55">
          <cell r="C55" t="str">
            <v>73P6647</v>
          </cell>
          <cell r="D55" t="str">
            <v>2FR39-01</v>
          </cell>
          <cell r="E55" t="str">
            <v>H15410M</v>
          </cell>
          <cell r="F55" t="str">
            <v>PS FILLER ASM</v>
          </cell>
          <cell r="H55" t="str">
            <v>AS</v>
          </cell>
          <cell r="O55">
            <v>0.216</v>
          </cell>
        </row>
        <row r="56">
          <cell r="C56" t="str">
            <v>73P6648</v>
          </cell>
          <cell r="D56" t="str">
            <v>N/A</v>
          </cell>
          <cell r="E56" t="str">
            <v>H15410M</v>
          </cell>
          <cell r="F56" t="str">
            <v>MEDIA TRAY ASM</v>
          </cell>
          <cell r="G56">
            <v>1</v>
          </cell>
          <cell r="H56" t="str">
            <v>AS</v>
          </cell>
        </row>
        <row r="57">
          <cell r="C57" t="str">
            <v>73P6649</v>
          </cell>
          <cell r="D57" t="str">
            <v>N/A</v>
          </cell>
          <cell r="E57" t="str">
            <v>H15410M</v>
          </cell>
          <cell r="F57" t="str">
            <v>MEDIA TRAY BRACKET</v>
          </cell>
          <cell r="G57">
            <v>1</v>
          </cell>
          <cell r="H57" t="str">
            <v>AS</v>
          </cell>
        </row>
        <row r="58">
          <cell r="C58" t="str">
            <v>73P6656</v>
          </cell>
          <cell r="D58" t="str">
            <v>N/A</v>
          </cell>
          <cell r="E58" t="str">
            <v>H14882V</v>
          </cell>
          <cell r="F58" t="str">
            <v>MEDIA CABLE ASM</v>
          </cell>
          <cell r="G58">
            <v>1</v>
          </cell>
          <cell r="H58" t="str">
            <v>AS</v>
          </cell>
          <cell r="O58">
            <v>0.3</v>
          </cell>
        </row>
        <row r="59">
          <cell r="C59" t="str">
            <v>90P4705</v>
          </cell>
          <cell r="D59" t="str">
            <v>N/A</v>
          </cell>
          <cell r="E59" t="str">
            <v>N/A</v>
          </cell>
          <cell r="F59" t="str">
            <v>MEDIA TRAY</v>
          </cell>
          <cell r="G59">
            <v>1</v>
          </cell>
          <cell r="H59" t="str">
            <v>AS</v>
          </cell>
        </row>
        <row r="60">
          <cell r="C60" t="str">
            <v>90P4709</v>
          </cell>
          <cell r="D60" t="str">
            <v>2FQ25-11</v>
          </cell>
          <cell r="E60" t="str">
            <v>H16633E</v>
          </cell>
          <cell r="F60" t="str">
            <v>BLADE BASE ENCLOSURE</v>
          </cell>
          <cell r="G60">
            <v>1</v>
          </cell>
          <cell r="H60" t="str">
            <v>AS</v>
          </cell>
        </row>
        <row r="61">
          <cell r="C61" t="str">
            <v>90P4710</v>
          </cell>
          <cell r="D61" t="str">
            <v>2FT26-01</v>
          </cell>
          <cell r="E61" t="str">
            <v>H16633E</v>
          </cell>
          <cell r="F61" t="str">
            <v>Blade Base ASM</v>
          </cell>
          <cell r="G61">
            <v>1</v>
          </cell>
          <cell r="H61" t="str">
            <v>AS</v>
          </cell>
          <cell r="O61">
            <v>0.22800000000000001</v>
          </cell>
        </row>
        <row r="62">
          <cell r="C62" t="str">
            <v>90P4763</v>
          </cell>
          <cell r="D62" t="str">
            <v>2FQ24-01</v>
          </cell>
          <cell r="E62" t="str">
            <v>H16633M</v>
          </cell>
          <cell r="F62" t="str">
            <v>LEVER</v>
          </cell>
          <cell r="G62">
            <v>1</v>
          </cell>
          <cell r="H62" t="str">
            <v>AS</v>
          </cell>
        </row>
        <row r="63">
          <cell r="C63" t="str">
            <v>90P4765</v>
          </cell>
          <cell r="D63" t="str">
            <v>2FT14-01</v>
          </cell>
          <cell r="E63" t="str">
            <v>H16633M</v>
          </cell>
          <cell r="F63" t="str">
            <v>BEZEL FRONT</v>
          </cell>
          <cell r="H63" t="str">
            <v>AS</v>
          </cell>
          <cell r="O63">
            <v>0.749</v>
          </cell>
        </row>
        <row r="64">
          <cell r="C64" t="str">
            <v>90P4786</v>
          </cell>
          <cell r="D64" t="str">
            <v>2FT15-01</v>
          </cell>
          <cell r="E64" t="str">
            <v>H15410P</v>
          </cell>
          <cell r="F64" t="str">
            <v>CHASSIS ASM</v>
          </cell>
          <cell r="H64" t="str">
            <v>AS</v>
          </cell>
          <cell r="O64">
            <v>13.497999999999999</v>
          </cell>
        </row>
        <row r="65">
          <cell r="C65" t="str">
            <v>90P4788</v>
          </cell>
          <cell r="D65" t="str">
            <v>3S825-01</v>
          </cell>
          <cell r="E65" t="str">
            <v>H17817</v>
          </cell>
          <cell r="F65" t="str">
            <v>BSE COVER ASM</v>
          </cell>
          <cell r="H65" t="str">
            <v>AS</v>
          </cell>
          <cell r="O65">
            <v>0.40799999999999997</v>
          </cell>
        </row>
        <row r="66">
          <cell r="C66" t="str">
            <v>90P4790(73P6642)</v>
          </cell>
          <cell r="D66" t="str">
            <v>3S826-01</v>
          </cell>
          <cell r="E66" t="str">
            <v>H16633V</v>
          </cell>
          <cell r="F66" t="str">
            <v xml:space="preserve">BLOWER ASM </v>
          </cell>
          <cell r="G66">
            <v>1</v>
          </cell>
          <cell r="H66" t="str">
            <v>AS</v>
          </cell>
          <cell r="O66">
            <v>0.40799999999999997</v>
          </cell>
        </row>
        <row r="67">
          <cell r="C67" t="str">
            <v>90P4791</v>
          </cell>
          <cell r="D67" t="str">
            <v>2FT17-01</v>
          </cell>
          <cell r="E67" t="str">
            <v>H15410M</v>
          </cell>
          <cell r="F67" t="str">
            <v>MEDIA TRAY</v>
          </cell>
          <cell r="G67">
            <v>1</v>
          </cell>
          <cell r="H67" t="str">
            <v>AS</v>
          </cell>
        </row>
        <row r="68">
          <cell r="C68" t="str">
            <v>90P4795</v>
          </cell>
          <cell r="D68" t="str">
            <v>2FT16-01</v>
          </cell>
          <cell r="E68" t="str">
            <v>H16448J</v>
          </cell>
          <cell r="F68" t="str">
            <v>COVER ASM ENCLOSURE</v>
          </cell>
          <cell r="H68" t="str">
            <v>AS</v>
          </cell>
          <cell r="O68">
            <v>0.16800000000000001</v>
          </cell>
        </row>
        <row r="69">
          <cell r="C69" t="str">
            <v>49P2534</v>
          </cell>
          <cell r="D69" t="str">
            <v>4N881-01</v>
          </cell>
          <cell r="E69" t="str">
            <v>H15410E</v>
          </cell>
          <cell r="F69" t="str">
            <v>SIGNAL CABLE</v>
          </cell>
          <cell r="G69">
            <v>1</v>
          </cell>
          <cell r="H69" t="str">
            <v>CBL</v>
          </cell>
          <cell r="M69">
            <v>0.20200000000000001</v>
          </cell>
          <cell r="N69">
            <v>2.52</v>
          </cell>
        </row>
        <row r="70">
          <cell r="C70" t="str">
            <v>01K6808</v>
          </cell>
          <cell r="D70" t="str">
            <v>N/A</v>
          </cell>
          <cell r="E70" t="str">
            <v>E74125J</v>
          </cell>
          <cell r="F70" t="str">
            <v>ARTWORK</v>
          </cell>
          <cell r="G70">
            <v>0</v>
          </cell>
          <cell r="H70" t="str">
            <v>DWG</v>
          </cell>
        </row>
        <row r="71">
          <cell r="C71" t="str">
            <v>02R9034</v>
          </cell>
          <cell r="D71" t="str">
            <v>N/A</v>
          </cell>
          <cell r="E71" t="str">
            <v>H14882R</v>
          </cell>
          <cell r="F71" t="str">
            <v>RIGHT SLD ASM ARTWORK</v>
          </cell>
          <cell r="G71" t="str">
            <v>REF</v>
          </cell>
          <cell r="H71" t="str">
            <v>DWG</v>
          </cell>
        </row>
        <row r="72">
          <cell r="C72" t="str">
            <v>06P6261</v>
          </cell>
          <cell r="D72" t="str">
            <v>N/A</v>
          </cell>
          <cell r="E72" t="str">
            <v>N/A</v>
          </cell>
          <cell r="F72" t="str">
            <v>SCHEM</v>
          </cell>
          <cell r="G72" t="str">
            <v>REF</v>
          </cell>
          <cell r="H72" t="str">
            <v>DWG</v>
          </cell>
        </row>
        <row r="73">
          <cell r="C73" t="str">
            <v>07H6655</v>
          </cell>
          <cell r="D73" t="str">
            <v>N/A</v>
          </cell>
          <cell r="E73" t="str">
            <v>N/A</v>
          </cell>
          <cell r="F73" t="str">
            <v>CABEL</v>
          </cell>
          <cell r="G73" t="str">
            <v>REF</v>
          </cell>
          <cell r="H73" t="str">
            <v>DWG</v>
          </cell>
        </row>
        <row r="74">
          <cell r="C74" t="str">
            <v>37L6533</v>
          </cell>
          <cell r="D74" t="str">
            <v>N/A</v>
          </cell>
          <cell r="E74" t="str">
            <v>H15410E</v>
          </cell>
          <cell r="F74" t="str">
            <v>MEDIA TRAY REF DWG</v>
          </cell>
          <cell r="G74" t="str">
            <v>REF</v>
          </cell>
          <cell r="H74" t="str">
            <v>DWG</v>
          </cell>
        </row>
        <row r="75">
          <cell r="C75" t="str">
            <v>37L6548</v>
          </cell>
          <cell r="D75" t="str">
            <v>N/A</v>
          </cell>
          <cell r="E75" t="str">
            <v>H15410E</v>
          </cell>
          <cell r="F75" t="str">
            <v>SBCI CARD REF DWG</v>
          </cell>
          <cell r="G75">
            <v>0</v>
          </cell>
          <cell r="H75" t="str">
            <v>DWG</v>
          </cell>
        </row>
        <row r="76">
          <cell r="C76" t="str">
            <v>37L6549</v>
          </cell>
          <cell r="D76" t="str">
            <v>N/A</v>
          </cell>
          <cell r="E76" t="str">
            <v>H14882N</v>
          </cell>
          <cell r="F76" t="str">
            <v>USB FLOPPY REF DWG</v>
          </cell>
          <cell r="G76" t="str">
            <v>REF</v>
          </cell>
          <cell r="H76" t="str">
            <v>DWG</v>
          </cell>
        </row>
        <row r="77">
          <cell r="C77" t="str">
            <v>37L6601</v>
          </cell>
          <cell r="D77" t="str">
            <v>N/A</v>
          </cell>
          <cell r="E77" t="str">
            <v>H14882A</v>
          </cell>
          <cell r="F77" t="str">
            <v>Blade FRT ASM REF DWG</v>
          </cell>
          <cell r="G77">
            <v>0</v>
          </cell>
          <cell r="H77" t="str">
            <v>DWG</v>
          </cell>
        </row>
        <row r="78">
          <cell r="C78" t="str">
            <v>37L6614</v>
          </cell>
          <cell r="D78" t="str">
            <v>2T587-01</v>
          </cell>
          <cell r="E78" t="str">
            <v>H14882R</v>
          </cell>
          <cell r="F78" t="str">
            <v xml:space="preserve">TAB DWG </v>
          </cell>
          <cell r="G78">
            <v>0</v>
          </cell>
          <cell r="H78" t="str">
            <v>DWG</v>
          </cell>
        </row>
        <row r="79">
          <cell r="C79" t="str">
            <v>48P9052</v>
          </cell>
          <cell r="D79" t="str">
            <v>N/A</v>
          </cell>
          <cell r="E79" t="str">
            <v>N/A</v>
          </cell>
          <cell r="F79" t="str">
            <v>SCHEM</v>
          </cell>
          <cell r="G79" t="str">
            <v>REF</v>
          </cell>
          <cell r="H79" t="str">
            <v>DWG</v>
          </cell>
        </row>
        <row r="80">
          <cell r="C80" t="str">
            <v>49P2546</v>
          </cell>
          <cell r="D80" t="str">
            <v>N/A</v>
          </cell>
          <cell r="E80" t="str">
            <v>H14882A</v>
          </cell>
          <cell r="F80" t="str">
            <v>IBM LOGO ARTWORK</v>
          </cell>
          <cell r="G80">
            <v>0</v>
          </cell>
          <cell r="H80" t="str">
            <v>DWG</v>
          </cell>
        </row>
        <row r="81">
          <cell r="C81" t="str">
            <v>49P2605</v>
          </cell>
          <cell r="D81" t="str">
            <v>2T833-01</v>
          </cell>
          <cell r="E81" t="str">
            <v>H14882F</v>
          </cell>
          <cell r="F81" t="str">
            <v>ELA LATCH SPRING</v>
          </cell>
          <cell r="G81">
            <v>1</v>
          </cell>
          <cell r="H81" t="str">
            <v>DWG</v>
          </cell>
        </row>
        <row r="82">
          <cell r="C82" t="str">
            <v>49P2643</v>
          </cell>
          <cell r="D82" t="str">
            <v>N/A</v>
          </cell>
          <cell r="E82" t="str">
            <v>H14882A</v>
          </cell>
          <cell r="F82" t="str">
            <v>Select Button ARTWORK</v>
          </cell>
          <cell r="G82">
            <v>0</v>
          </cell>
          <cell r="H82" t="str">
            <v>DWG</v>
          </cell>
        </row>
        <row r="83">
          <cell r="C83" t="str">
            <v>49P2666</v>
          </cell>
          <cell r="D83" t="str">
            <v>N/A</v>
          </cell>
          <cell r="E83" t="str">
            <v>H14882A</v>
          </cell>
          <cell r="F83" t="str">
            <v>REAR COMBO ID ARTWORK</v>
          </cell>
          <cell r="G83" t="str">
            <v>REF</v>
          </cell>
          <cell r="H83" t="str">
            <v>DWG</v>
          </cell>
        </row>
        <row r="84">
          <cell r="C84">
            <v>556450</v>
          </cell>
          <cell r="D84" t="str">
            <v>N/A</v>
          </cell>
          <cell r="E84">
            <v>209858</v>
          </cell>
          <cell r="F84" t="str">
            <v>TIE LOK</v>
          </cell>
          <cell r="G84">
            <v>6</v>
          </cell>
          <cell r="H84" t="str">
            <v>HW</v>
          </cell>
          <cell r="M84">
            <v>0.1</v>
          </cell>
          <cell r="N84">
            <v>0.01</v>
          </cell>
        </row>
        <row r="85">
          <cell r="C85">
            <v>1622308</v>
          </cell>
          <cell r="D85" t="str">
            <v>N/A</v>
          </cell>
          <cell r="E85" t="str">
            <v>A53112E</v>
          </cell>
          <cell r="F85" t="str">
            <v>WASHER</v>
          </cell>
          <cell r="G85">
            <v>1</v>
          </cell>
          <cell r="H85" t="str">
            <v>HW</v>
          </cell>
          <cell r="M85">
            <v>2.7E-2</v>
          </cell>
          <cell r="N85">
            <v>3.0000000000000001E-3</v>
          </cell>
        </row>
        <row r="86">
          <cell r="C86">
            <v>1622980</v>
          </cell>
          <cell r="E86" t="str">
            <v>H14882J</v>
          </cell>
          <cell r="F86" t="str">
            <v>10 HDKLIPRING RETAINER</v>
          </cell>
          <cell r="G86">
            <v>1</v>
          </cell>
          <cell r="H86" t="str">
            <v>HW</v>
          </cell>
          <cell r="M86">
            <v>8.5000000000000006E-2</v>
          </cell>
          <cell r="N86">
            <v>9.0000000000000011E-3</v>
          </cell>
        </row>
        <row r="87">
          <cell r="C87" t="str">
            <v xml:space="preserve"> RED  LABEL </v>
          </cell>
          <cell r="D87" t="str">
            <v>N/A</v>
          </cell>
          <cell r="E87" t="str">
            <v>N/A</v>
          </cell>
          <cell r="F87" t="str">
            <v xml:space="preserve"> RED  LABEL </v>
          </cell>
          <cell r="G87">
            <v>2</v>
          </cell>
          <cell r="H87" t="str">
            <v>HW</v>
          </cell>
          <cell r="M87">
            <v>0.13400000000000001</v>
          </cell>
          <cell r="N87">
            <v>1.3999999999999999E-2</v>
          </cell>
        </row>
        <row r="88">
          <cell r="C88" t="str">
            <v>00N7234</v>
          </cell>
          <cell r="E88" t="str">
            <v>H21943D</v>
          </cell>
          <cell r="F88" t="str">
            <v>CD SPRING</v>
          </cell>
          <cell r="G88">
            <v>6</v>
          </cell>
          <cell r="H88" t="str">
            <v>HW</v>
          </cell>
          <cell r="M88">
            <v>2.9000000000000001E-2</v>
          </cell>
          <cell r="N88">
            <v>3.0000000000000001E-3</v>
          </cell>
        </row>
        <row r="89">
          <cell r="C89" t="str">
            <v>00N7235</v>
          </cell>
          <cell r="D89" t="str">
            <v>3H713-01</v>
          </cell>
          <cell r="E89" t="str">
            <v>N/A</v>
          </cell>
          <cell r="F89" t="str">
            <v>FDD SPRING ROD</v>
          </cell>
          <cell r="G89">
            <v>1</v>
          </cell>
          <cell r="H89" t="str">
            <v>HW</v>
          </cell>
          <cell r="M89">
            <v>2.9000000000000001E-2</v>
          </cell>
          <cell r="N89">
            <v>3.0000000000000001E-3</v>
          </cell>
        </row>
        <row r="90">
          <cell r="C90" t="str">
            <v>00N8709</v>
          </cell>
          <cell r="E90" t="str">
            <v>H15624H</v>
          </cell>
          <cell r="F90" t="str">
            <v>"C" CLIP</v>
          </cell>
          <cell r="G90">
            <v>6</v>
          </cell>
          <cell r="H90" t="str">
            <v>HW</v>
          </cell>
          <cell r="M90">
            <v>0.13300000000000001</v>
          </cell>
          <cell r="N90">
            <v>1.3999999999999999E-2</v>
          </cell>
        </row>
        <row r="91">
          <cell r="C91" t="str">
            <v>01K6661</v>
          </cell>
          <cell r="D91" t="str">
            <v>7J0A5-01</v>
          </cell>
          <cell r="E91" t="str">
            <v>E74125J</v>
          </cell>
          <cell r="F91" t="str">
            <v>AC SAFETY  LABEL</v>
          </cell>
          <cell r="G91">
            <v>1</v>
          </cell>
          <cell r="H91" t="str">
            <v>HW</v>
          </cell>
          <cell r="M91">
            <v>5.1999999999999998E-2</v>
          </cell>
          <cell r="N91">
            <v>6.0000000000000001E-3</v>
          </cell>
        </row>
        <row r="92">
          <cell r="C92" t="str">
            <v>01R0566</v>
          </cell>
          <cell r="D92" t="str">
            <v>3E773-01</v>
          </cell>
          <cell r="E92" t="str">
            <v>H15078G</v>
          </cell>
          <cell r="F92" t="str">
            <v>1.8mm SHOULDER PIN</v>
          </cell>
          <cell r="G92">
            <v>3</v>
          </cell>
          <cell r="H92" t="str">
            <v>HW</v>
          </cell>
          <cell r="M92">
            <v>6.9000000000000006E-2</v>
          </cell>
          <cell r="N92">
            <v>7.0000000000000001E-3</v>
          </cell>
        </row>
        <row r="93">
          <cell r="C93" t="str">
            <v>01R0608</v>
          </cell>
          <cell r="D93" t="str">
            <v>N/A</v>
          </cell>
          <cell r="E93" t="str">
            <v>H24473L</v>
          </cell>
          <cell r="F93" t="str">
            <v>LEFT TOP EIA LATCH</v>
          </cell>
          <cell r="G93">
            <v>1</v>
          </cell>
          <cell r="H93" t="str">
            <v>HW</v>
          </cell>
        </row>
        <row r="94">
          <cell r="C94" t="str">
            <v>01R0610</v>
          </cell>
          <cell r="D94" t="str">
            <v>2T589-01</v>
          </cell>
          <cell r="E94" t="str">
            <v>H24473B</v>
          </cell>
          <cell r="F94" t="str">
            <v>L. BOTTOM EIA LATCH</v>
          </cell>
          <cell r="G94">
            <v>1</v>
          </cell>
          <cell r="H94" t="str">
            <v>HW</v>
          </cell>
          <cell r="M94">
            <v>0.06</v>
          </cell>
          <cell r="N94">
            <v>6.0000000000000001E-3</v>
          </cell>
        </row>
        <row r="95">
          <cell r="C95" t="str">
            <v>01R0612</v>
          </cell>
          <cell r="D95" t="str">
            <v>3H745-01</v>
          </cell>
          <cell r="E95" t="str">
            <v>H24473B</v>
          </cell>
          <cell r="F95" t="str">
            <v>EIA LATCH SPRING</v>
          </cell>
          <cell r="G95">
            <v>1</v>
          </cell>
          <cell r="H95" t="str">
            <v>HW</v>
          </cell>
          <cell r="M95">
            <v>1.4E-2</v>
          </cell>
          <cell r="N95">
            <v>2E-3</v>
          </cell>
        </row>
        <row r="96">
          <cell r="C96" t="str">
            <v>01R0671</v>
          </cell>
          <cell r="D96" t="str">
            <v>3B722-01</v>
          </cell>
          <cell r="E96" t="str">
            <v>N/A</v>
          </cell>
          <cell r="F96" t="str">
            <v>AVDEL CHERRY RIVET 1822-0406</v>
          </cell>
          <cell r="G96">
            <v>2</v>
          </cell>
          <cell r="H96" t="str">
            <v>HW</v>
          </cell>
          <cell r="M96">
            <v>3.4000000000000002E-2</v>
          </cell>
          <cell r="N96">
            <v>4.0000000000000001E-3</v>
          </cell>
        </row>
        <row r="97">
          <cell r="C97" t="str">
            <v>01R1422</v>
          </cell>
          <cell r="D97" t="str">
            <v>3E772-01</v>
          </cell>
          <cell r="E97" t="str">
            <v>H15078A</v>
          </cell>
          <cell r="F97" t="str">
            <v>STEP LOCATING PIN</v>
          </cell>
          <cell r="G97">
            <v>2</v>
          </cell>
          <cell r="H97" t="str">
            <v>HW</v>
          </cell>
          <cell r="M97">
            <v>2.8000000000000001E-2</v>
          </cell>
          <cell r="N97">
            <v>3.0000000000000001E-3</v>
          </cell>
        </row>
        <row r="98">
          <cell r="C98" t="str">
            <v>02R9001</v>
          </cell>
          <cell r="D98" t="str">
            <v>7J0A6-01</v>
          </cell>
          <cell r="E98" t="str">
            <v>H14882B</v>
          </cell>
          <cell r="F98" t="str">
            <v>MOBILE HDD LABEL</v>
          </cell>
          <cell r="G98">
            <v>2</v>
          </cell>
          <cell r="H98" t="str">
            <v>HW</v>
          </cell>
          <cell r="M98">
            <v>4.0000000000000001E-3</v>
          </cell>
          <cell r="N98">
            <v>1E-3</v>
          </cell>
        </row>
        <row r="99">
          <cell r="C99" t="str">
            <v>02R9006</v>
          </cell>
          <cell r="E99" t="str">
            <v>H14882L</v>
          </cell>
          <cell r="F99" t="str">
            <v>SLEEVE</v>
          </cell>
          <cell r="G99">
            <v>1</v>
          </cell>
          <cell r="H99" t="str">
            <v>HW</v>
          </cell>
          <cell r="M99">
            <v>0.11899999999999999</v>
          </cell>
          <cell r="N99">
            <v>1.2E-2</v>
          </cell>
        </row>
        <row r="100">
          <cell r="C100" t="str">
            <v>02R9009</v>
          </cell>
          <cell r="E100" t="str">
            <v>H14882J</v>
          </cell>
          <cell r="F100" t="str">
            <v>BottomRt/Top L FOAM</v>
          </cell>
          <cell r="G100">
            <v>2</v>
          </cell>
          <cell r="H100" t="str">
            <v>HW</v>
          </cell>
          <cell r="M100">
            <v>1.4069999999999998</v>
          </cell>
          <cell r="N100">
            <v>0.14100000000000001</v>
          </cell>
        </row>
        <row r="101">
          <cell r="C101" t="str">
            <v>02R9010</v>
          </cell>
          <cell r="E101" t="str">
            <v>H14882J</v>
          </cell>
          <cell r="F101" t="str">
            <v>TOP RIGHT FOAM</v>
          </cell>
          <cell r="G101">
            <v>1</v>
          </cell>
          <cell r="H101" t="str">
            <v>HW</v>
          </cell>
          <cell r="M101">
            <v>1.4069999999999998</v>
          </cell>
          <cell r="N101">
            <v>0.14100000000000001</v>
          </cell>
        </row>
        <row r="102">
          <cell r="C102" t="str">
            <v>02R9018</v>
          </cell>
          <cell r="E102" t="str">
            <v>H14882R</v>
          </cell>
          <cell r="F102" t="str">
            <v>MIX CARD CABLE</v>
          </cell>
          <cell r="G102">
            <v>1</v>
          </cell>
          <cell r="H102" t="str">
            <v>HW</v>
          </cell>
          <cell r="M102">
            <v>0</v>
          </cell>
          <cell r="N102">
            <v>0</v>
          </cell>
        </row>
        <row r="103">
          <cell r="C103" t="str">
            <v>02R9021</v>
          </cell>
          <cell r="D103" t="str">
            <v>3B735-01</v>
          </cell>
          <cell r="E103" t="str">
            <v>H14882E</v>
          </cell>
          <cell r="F103" t="str">
            <v>SMIPPING BRACKET RIVET</v>
          </cell>
          <cell r="G103">
            <v>4</v>
          </cell>
          <cell r="H103" t="str">
            <v>HW</v>
          </cell>
          <cell r="M103">
            <v>0.04</v>
          </cell>
          <cell r="N103">
            <v>4.0000000000000001E-3</v>
          </cell>
        </row>
        <row r="104">
          <cell r="C104" t="str">
            <v>02R9031</v>
          </cell>
          <cell r="D104" t="str">
            <v>7J0A7-01</v>
          </cell>
          <cell r="E104" t="str">
            <v>H14882H</v>
          </cell>
          <cell r="F104" t="str">
            <v>LEFT SLIDE ASM LABEL</v>
          </cell>
          <cell r="G104">
            <v>1</v>
          </cell>
          <cell r="H104" t="str">
            <v>HW</v>
          </cell>
          <cell r="M104">
            <v>8.0000000000000002E-3</v>
          </cell>
          <cell r="N104">
            <v>1E-3</v>
          </cell>
        </row>
        <row r="105">
          <cell r="C105" t="str">
            <v>02R9033</v>
          </cell>
          <cell r="D105" t="str">
            <v>7J0A8-01</v>
          </cell>
          <cell r="E105" t="str">
            <v>H14882H</v>
          </cell>
          <cell r="F105" t="str">
            <v>Right SLD ASM LABEL</v>
          </cell>
          <cell r="G105">
            <v>1</v>
          </cell>
          <cell r="H105" t="str">
            <v>HW</v>
          </cell>
          <cell r="M105">
            <v>8.0000000000000002E-3</v>
          </cell>
          <cell r="N105">
            <v>1E-3</v>
          </cell>
        </row>
        <row r="106">
          <cell r="C106" t="str">
            <v>02R9035</v>
          </cell>
          <cell r="E106" t="str">
            <v>H14882H</v>
          </cell>
          <cell r="F106" t="str">
            <v>Mounting HW</v>
          </cell>
          <cell r="H106" t="str">
            <v>DWG</v>
          </cell>
        </row>
        <row r="107">
          <cell r="C107" t="str">
            <v>02R9036</v>
          </cell>
          <cell r="E107" t="str">
            <v>H14882C</v>
          </cell>
          <cell r="F107" t="str">
            <v>Customer Write</v>
          </cell>
          <cell r="G107">
            <v>1</v>
          </cell>
          <cell r="H107" t="str">
            <v>HW</v>
          </cell>
          <cell r="M107">
            <v>1.2E-2</v>
          </cell>
          <cell r="N107">
            <v>2E-3</v>
          </cell>
        </row>
        <row r="108">
          <cell r="C108" t="str">
            <v>02R9037</v>
          </cell>
          <cell r="E108" t="str">
            <v>H14882J</v>
          </cell>
          <cell r="F108" t="str">
            <v xml:space="preserve">LABEL ICON </v>
          </cell>
          <cell r="G108">
            <v>1</v>
          </cell>
          <cell r="H108" t="str">
            <v>HW</v>
          </cell>
          <cell r="M108">
            <v>6.5000000000000002E-2</v>
          </cell>
          <cell r="N108">
            <v>7.0000000000000001E-3</v>
          </cell>
        </row>
        <row r="109">
          <cell r="C109" t="str">
            <v>02R9059</v>
          </cell>
          <cell r="D109" t="str">
            <v>3M983-01</v>
          </cell>
          <cell r="E109" t="str">
            <v>H14882D</v>
          </cell>
          <cell r="F109" t="str">
            <v>Insltr Enc INSULATOR</v>
          </cell>
          <cell r="G109">
            <v>1</v>
          </cell>
          <cell r="H109" t="str">
            <v>HW</v>
          </cell>
          <cell r="M109">
            <v>7.9000000000000001E-2</v>
          </cell>
          <cell r="N109">
            <v>8.0000000000000002E-3</v>
          </cell>
        </row>
        <row r="110">
          <cell r="C110" t="str">
            <v>02R9061</v>
          </cell>
          <cell r="E110" t="str">
            <v>N/A</v>
          </cell>
          <cell r="F110" t="str">
            <v xml:space="preserve">FOAM MIDDLE </v>
          </cell>
          <cell r="G110">
            <v>1</v>
          </cell>
          <cell r="H110" t="str">
            <v>HW</v>
          </cell>
          <cell r="M110">
            <v>0.75</v>
          </cell>
          <cell r="N110">
            <v>7.4999999999999997E-2</v>
          </cell>
        </row>
        <row r="111">
          <cell r="C111" t="str">
            <v>02R9062</v>
          </cell>
          <cell r="E111" t="str">
            <v>N/A</v>
          </cell>
          <cell r="F111" t="str">
            <v xml:space="preserve">FOAM MIDDLE </v>
          </cell>
          <cell r="G111">
            <v>1</v>
          </cell>
          <cell r="H111" t="str">
            <v>HW</v>
          </cell>
          <cell r="M111">
            <v>0.56300000000000006</v>
          </cell>
          <cell r="N111">
            <v>5.7000000000000002E-2</v>
          </cell>
        </row>
        <row r="112">
          <cell r="C112" t="str">
            <v>03K9003</v>
          </cell>
          <cell r="D112" t="str">
            <v>2FK56-01</v>
          </cell>
          <cell r="E112" t="str">
            <v>N/A</v>
          </cell>
          <cell r="F112" t="str">
            <v>TECH-ETCH EMC SPRING 187S32</v>
          </cell>
          <cell r="G112">
            <v>1</v>
          </cell>
          <cell r="H112" t="str">
            <v>HW</v>
          </cell>
          <cell r="M112">
            <v>3.2000000000000001E-2</v>
          </cell>
          <cell r="N112">
            <v>4.0000000000000001E-3</v>
          </cell>
        </row>
        <row r="113">
          <cell r="C113" t="str">
            <v>03K9009</v>
          </cell>
          <cell r="D113" t="str">
            <v>3M868-01</v>
          </cell>
          <cell r="E113" t="str">
            <v>H21232H</v>
          </cell>
          <cell r="F113" t="str">
            <v>IBM LOGO PLATE</v>
          </cell>
          <cell r="G113">
            <v>1</v>
          </cell>
          <cell r="H113" t="str">
            <v>HW</v>
          </cell>
          <cell r="M113">
            <v>0.18</v>
          </cell>
          <cell r="N113">
            <v>1.7999999999999999E-2</v>
          </cell>
        </row>
        <row r="114">
          <cell r="C114" t="str">
            <v>03K9126</v>
          </cell>
          <cell r="E114" t="str">
            <v>H24340</v>
          </cell>
          <cell r="F114" t="str">
            <v>M3.5X10 PHILLP</v>
          </cell>
          <cell r="G114">
            <v>4</v>
          </cell>
          <cell r="H114" t="str">
            <v>HW</v>
          </cell>
          <cell r="M114">
            <v>4.0000000000000001E-3</v>
          </cell>
          <cell r="N114">
            <v>1E-3</v>
          </cell>
        </row>
        <row r="115">
          <cell r="C115" t="str">
            <v>09N7507</v>
          </cell>
          <cell r="D115" t="str">
            <v>3B734-01</v>
          </cell>
          <cell r="E115" t="str">
            <v>E73959E</v>
          </cell>
          <cell r="F115" t="str">
            <v>3.2MM X 6.3 RIVET</v>
          </cell>
          <cell r="G115">
            <v>162</v>
          </cell>
          <cell r="H115" t="str">
            <v>HW</v>
          </cell>
          <cell r="M115">
            <v>3.4000000000000002E-2</v>
          </cell>
          <cell r="N115">
            <v>3.3999999999999998E-3</v>
          </cell>
        </row>
        <row r="116">
          <cell r="C116" t="str">
            <v>12J5288</v>
          </cell>
          <cell r="D116" t="str">
            <v>3F740-01</v>
          </cell>
          <cell r="E116" t="str">
            <v>H15624H</v>
          </cell>
          <cell r="F116" t="str">
            <v>M6 CAGED NUTS</v>
          </cell>
          <cell r="G116">
            <v>6</v>
          </cell>
          <cell r="H116" t="str">
            <v>HW</v>
          </cell>
          <cell r="M116">
            <v>0.12</v>
          </cell>
          <cell r="N116">
            <v>1.2E-2</v>
          </cell>
        </row>
        <row r="117">
          <cell r="C117" t="str">
            <v>12J5289</v>
          </cell>
          <cell r="E117" t="str">
            <v>E72570F</v>
          </cell>
          <cell r="F117" t="str">
            <v>M6 HEX HEAD</v>
          </cell>
          <cell r="G117">
            <v>1</v>
          </cell>
          <cell r="H117" t="str">
            <v>HW</v>
          </cell>
          <cell r="M117">
            <v>9.0000000000000011E-3</v>
          </cell>
          <cell r="N117">
            <v>1E-3</v>
          </cell>
        </row>
        <row r="118">
          <cell r="C118" t="str">
            <v>13N2627</v>
          </cell>
          <cell r="D118" t="str">
            <v>3M0B1-01</v>
          </cell>
          <cell r="E118" t="str">
            <v>N/A</v>
          </cell>
          <cell r="F118" t="str">
            <v>BLADE ENCLOSURE INSULATOR</v>
          </cell>
          <cell r="G118">
            <v>1</v>
          </cell>
          <cell r="H118" t="str">
            <v>HW</v>
          </cell>
          <cell r="M118">
            <v>0.65700000000000003</v>
          </cell>
          <cell r="N118">
            <v>6.6000000000000003E-2</v>
          </cell>
        </row>
        <row r="119">
          <cell r="C119" t="str">
            <v>13N2628</v>
          </cell>
          <cell r="D119" t="str">
            <v>3M0B2-01</v>
          </cell>
          <cell r="E119" t="str">
            <v>N/A</v>
          </cell>
          <cell r="F119" t="str">
            <v>BLADE ENCLOSURE INSULATOR</v>
          </cell>
          <cell r="G119">
            <v>1</v>
          </cell>
          <cell r="H119" t="str">
            <v>HW</v>
          </cell>
          <cell r="M119">
            <v>0.14399999999999999</v>
          </cell>
          <cell r="N119">
            <v>1.4999999999999999E-2</v>
          </cell>
        </row>
        <row r="120">
          <cell r="C120" t="str">
            <v>1621831</v>
          </cell>
          <cell r="D120" t="str">
            <v>3A868-01</v>
          </cell>
          <cell r="E120" t="str">
            <v>N/A</v>
          </cell>
          <cell r="F120" t="str">
            <v>M3.5 X 8 THREADED ROLLING PAN HEAD SCREW</v>
          </cell>
          <cell r="G120">
            <v>17</v>
          </cell>
          <cell r="H120" t="str">
            <v>HW</v>
          </cell>
          <cell r="M120">
            <v>2.5000000000000001E-2</v>
          </cell>
          <cell r="N120">
            <v>3.0000000000000001E-3</v>
          </cell>
        </row>
        <row r="121">
          <cell r="C121" t="str">
            <v>24P2824</v>
          </cell>
          <cell r="E121" t="str">
            <v>H22383C</v>
          </cell>
          <cell r="F121" t="str">
            <v>MANUAL(SAFETY POINTER)</v>
          </cell>
          <cell r="G121">
            <v>1</v>
          </cell>
          <cell r="H121" t="str">
            <v>HW</v>
          </cell>
          <cell r="M121">
            <v>3.4000000000000002E-2</v>
          </cell>
          <cell r="N121">
            <v>4.0000000000000001E-3</v>
          </cell>
        </row>
        <row r="122">
          <cell r="C122" t="str">
            <v>26k5961</v>
          </cell>
          <cell r="D122" t="str">
            <v>3J888-01</v>
          </cell>
          <cell r="E122" t="str">
            <v>H14882R</v>
          </cell>
          <cell r="F122" t="str">
            <v>GASKET</v>
          </cell>
          <cell r="G122">
            <v>1</v>
          </cell>
          <cell r="H122" t="str">
            <v>HW</v>
          </cell>
          <cell r="M122">
            <v>0.311</v>
          </cell>
          <cell r="N122">
            <v>3.2000000000000001E-2</v>
          </cell>
        </row>
        <row r="123">
          <cell r="C123" t="str">
            <v>27F4212</v>
          </cell>
          <cell r="E123" t="str">
            <v>H15624H</v>
          </cell>
          <cell r="F123" t="str">
            <v>M 3.5 STEEL</v>
          </cell>
          <cell r="G123">
            <v>6</v>
          </cell>
          <cell r="H123" t="str">
            <v>HW</v>
          </cell>
          <cell r="M123">
            <v>4.0000000000000001E-3</v>
          </cell>
          <cell r="N123">
            <v>1E-3</v>
          </cell>
        </row>
        <row r="124">
          <cell r="C124" t="str">
            <v>28L0657</v>
          </cell>
          <cell r="D124" t="str">
            <v>3A865-01</v>
          </cell>
          <cell r="E124" t="str">
            <v>H22584G</v>
          </cell>
          <cell r="F124" t="str">
            <v>SMIPPING SCREW</v>
          </cell>
          <cell r="G124">
            <v>2</v>
          </cell>
          <cell r="H124" t="str">
            <v>HW</v>
          </cell>
          <cell r="M124">
            <v>0.183</v>
          </cell>
          <cell r="N124">
            <v>1.9E-2</v>
          </cell>
        </row>
        <row r="125">
          <cell r="C125" t="str">
            <v>32P9114</v>
          </cell>
          <cell r="D125" t="str">
            <v>3H744-01</v>
          </cell>
          <cell r="E125" t="str">
            <v>H24473G</v>
          </cell>
          <cell r="F125" t="str">
            <v>EXTENSION SPRING</v>
          </cell>
          <cell r="G125">
            <v>1</v>
          </cell>
          <cell r="H125" t="str">
            <v>HW</v>
          </cell>
          <cell r="M125">
            <v>6.3E-2</v>
          </cell>
          <cell r="N125">
            <v>7.0000000000000001E-3</v>
          </cell>
        </row>
        <row r="126">
          <cell r="C126" t="str">
            <v>32P9132</v>
          </cell>
          <cell r="D126" t="str">
            <v>3F721-01</v>
          </cell>
          <cell r="E126" t="str">
            <v>H22933U</v>
          </cell>
          <cell r="F126" t="str">
            <v>FLOATING NUT</v>
          </cell>
          <cell r="G126">
            <v>1</v>
          </cell>
          <cell r="H126" t="str">
            <v>HW</v>
          </cell>
          <cell r="M126">
            <v>8.7999999999999995E-2</v>
          </cell>
          <cell r="N126">
            <v>9.0000000000000011E-3</v>
          </cell>
        </row>
        <row r="127">
          <cell r="C127" t="str">
            <v>33P3322</v>
          </cell>
          <cell r="D127" t="str">
            <v>4B726-01</v>
          </cell>
          <cell r="E127" t="str">
            <v>N/A</v>
          </cell>
          <cell r="F127" t="str">
            <v>FDD,TEAC, USB</v>
          </cell>
          <cell r="G127">
            <v>1</v>
          </cell>
          <cell r="H127" t="str">
            <v>HW</v>
          </cell>
          <cell r="M127">
            <v>31.2</v>
          </cell>
          <cell r="N127">
            <v>0.93600000000000005</v>
          </cell>
        </row>
        <row r="128">
          <cell r="C128" t="str">
            <v>37L5555</v>
          </cell>
          <cell r="D128" t="str">
            <v>3A127-01</v>
          </cell>
          <cell r="E128" t="str">
            <v>E73300A</v>
          </cell>
          <cell r="F128" t="str">
            <v>PAN HEAD SCREW</v>
          </cell>
          <cell r="G128">
            <v>2</v>
          </cell>
          <cell r="H128" t="str">
            <v>HW</v>
          </cell>
          <cell r="M128">
            <v>5.0000000000000001E-3</v>
          </cell>
          <cell r="N128">
            <v>1E-3</v>
          </cell>
        </row>
        <row r="129">
          <cell r="C129" t="str">
            <v>37L6516</v>
          </cell>
          <cell r="D129" t="str">
            <v>3K795-01</v>
          </cell>
          <cell r="E129" t="str">
            <v>H14882A</v>
          </cell>
          <cell r="F129" t="str">
            <v>PIN SBCI PIN</v>
          </cell>
          <cell r="G129">
            <v>1</v>
          </cell>
          <cell r="H129" t="str">
            <v>HW</v>
          </cell>
          <cell r="M129">
            <v>8.7999999999999995E-2</v>
          </cell>
          <cell r="N129">
            <v>9.0000000000000011E-3</v>
          </cell>
        </row>
        <row r="130">
          <cell r="C130" t="str">
            <v>37L6561</v>
          </cell>
          <cell r="D130" t="str">
            <v>3H961-01</v>
          </cell>
          <cell r="E130" t="str">
            <v>H14882E</v>
          </cell>
          <cell r="F130" t="str">
            <v>BEZEL LATCH SPRING</v>
          </cell>
          <cell r="G130">
            <v>2</v>
          </cell>
          <cell r="H130" t="str">
            <v>HW</v>
          </cell>
          <cell r="M130">
            <v>8.0000000000000002E-3</v>
          </cell>
          <cell r="N130">
            <v>1E-3</v>
          </cell>
        </row>
        <row r="131">
          <cell r="C131" t="str">
            <v>37L6616</v>
          </cell>
          <cell r="D131" t="str">
            <v>3E776-01</v>
          </cell>
          <cell r="E131" t="str">
            <v>H14882A</v>
          </cell>
          <cell r="F131" t="str">
            <v>LEVER PIN</v>
          </cell>
          <cell r="G131">
            <v>1</v>
          </cell>
          <cell r="H131" t="str">
            <v>HW</v>
          </cell>
          <cell r="M131">
            <v>2.4E-2</v>
          </cell>
          <cell r="N131">
            <v>3.0000000000000001E-3</v>
          </cell>
        </row>
        <row r="132">
          <cell r="C132" t="str">
            <v>37L6626</v>
          </cell>
          <cell r="D132" t="str">
            <v>3H758-01</v>
          </cell>
          <cell r="E132" t="str">
            <v>H14882A</v>
          </cell>
          <cell r="F132" t="str">
            <v>BRACKET</v>
          </cell>
          <cell r="G132">
            <v>1</v>
          </cell>
          <cell r="H132" t="str">
            <v>HW</v>
          </cell>
          <cell r="M132">
            <v>1.3000000000000001E-2</v>
          </cell>
          <cell r="N132">
            <v>2E-3</v>
          </cell>
        </row>
        <row r="133">
          <cell r="C133" t="str">
            <v>37L6629</v>
          </cell>
          <cell r="D133" t="str">
            <v>7J996-01</v>
          </cell>
          <cell r="E133" t="str">
            <v>H14882A</v>
          </cell>
          <cell r="F133" t="str">
            <v>RIVET</v>
          </cell>
          <cell r="G133" t="str">
            <v>2</v>
          </cell>
          <cell r="H133" t="str">
            <v>HW</v>
          </cell>
          <cell r="M133">
            <v>6.0999999999999999E-2</v>
          </cell>
          <cell r="N133">
            <v>7.0000000000000001E-3</v>
          </cell>
        </row>
        <row r="134">
          <cell r="C134" t="str">
            <v>37L6631</v>
          </cell>
          <cell r="D134" t="str">
            <v>3M984-01</v>
          </cell>
          <cell r="E134" t="str">
            <v>H14882A</v>
          </cell>
          <cell r="F134" t="str">
            <v>INSULATOR ENC</v>
          </cell>
          <cell r="G134">
            <v>1</v>
          </cell>
          <cell r="H134" t="str">
            <v>HW</v>
          </cell>
          <cell r="M134">
            <v>1.0099999999999998</v>
          </cell>
          <cell r="N134">
            <v>0.10100000000000001</v>
          </cell>
        </row>
        <row r="135">
          <cell r="C135" t="str">
            <v>3A866-01</v>
          </cell>
          <cell r="D135" t="str">
            <v>3A866-01</v>
          </cell>
          <cell r="E135" t="str">
            <v>N/A</v>
          </cell>
          <cell r="F135" t="str">
            <v>SOUTHCO THUMBSCREW</v>
          </cell>
          <cell r="G135">
            <v>1</v>
          </cell>
          <cell r="H135" t="str">
            <v>HW</v>
          </cell>
          <cell r="M135">
            <v>0.90400000000000003</v>
          </cell>
          <cell r="N135">
            <v>9.0999999999999998E-2</v>
          </cell>
        </row>
        <row r="136">
          <cell r="C136" t="str">
            <v>3B703-01</v>
          </cell>
          <cell r="D136" t="str">
            <v>3B703-01</v>
          </cell>
          <cell r="E136" t="str">
            <v>N/A</v>
          </cell>
          <cell r="F136" t="str">
            <v xml:space="preserve">REIVET </v>
          </cell>
          <cell r="G136">
            <v>3</v>
          </cell>
          <cell r="H136" t="str">
            <v>HW</v>
          </cell>
          <cell r="M136">
            <v>3.4000000000000002E-2</v>
          </cell>
          <cell r="N136">
            <v>4.0000000000000001E-3</v>
          </cell>
        </row>
        <row r="137">
          <cell r="C137" t="str">
            <v>3B737-01</v>
          </cell>
          <cell r="D137" t="str">
            <v>3B737-01</v>
          </cell>
          <cell r="E137" t="str">
            <v>N/A</v>
          </cell>
          <cell r="F137" t="str">
            <v>PEM RIVET</v>
          </cell>
          <cell r="G137">
            <v>1</v>
          </cell>
          <cell r="H137" t="str">
            <v>HW</v>
          </cell>
          <cell r="M137">
            <v>0.05</v>
          </cell>
          <cell r="N137">
            <v>5.0000000000000001E-3</v>
          </cell>
        </row>
        <row r="138">
          <cell r="C138" t="str">
            <v>3E787-01</v>
          </cell>
          <cell r="D138" t="str">
            <v>3E787-01</v>
          </cell>
          <cell r="E138" t="str">
            <v>N/A</v>
          </cell>
          <cell r="F138" t="str">
            <v>PEM STANDOFF</v>
          </cell>
          <cell r="G138">
            <v>2</v>
          </cell>
          <cell r="H138" t="str">
            <v>HW</v>
          </cell>
          <cell r="M138">
            <v>0.106</v>
          </cell>
          <cell r="N138">
            <v>1.0999999999999999E-2</v>
          </cell>
        </row>
        <row r="139">
          <cell r="C139" t="str">
            <v>3E833-01</v>
          </cell>
          <cell r="D139" t="str">
            <v>3E833-01</v>
          </cell>
          <cell r="E139" t="str">
            <v>N/A</v>
          </cell>
          <cell r="F139" t="str">
            <v>PEM STANDOFF</v>
          </cell>
          <cell r="G139">
            <v>4</v>
          </cell>
          <cell r="H139" t="str">
            <v>HW</v>
          </cell>
          <cell r="M139">
            <v>0.378</v>
          </cell>
          <cell r="N139">
            <v>3.7999999999999999E-2</v>
          </cell>
        </row>
        <row r="140">
          <cell r="C140" t="str">
            <v>3E838-01</v>
          </cell>
          <cell r="D140" t="str">
            <v>3E838-01</v>
          </cell>
          <cell r="E140" t="str">
            <v>N/A</v>
          </cell>
          <cell r="F140" t="str">
            <v>PEM STANDOFF M3.5 x 3.5mm TYPE SO</v>
          </cell>
          <cell r="G140">
            <v>10</v>
          </cell>
          <cell r="H140" t="str">
            <v>HW</v>
          </cell>
          <cell r="M140">
            <v>0.04</v>
          </cell>
          <cell r="N140">
            <v>4.0000000000000001E-3</v>
          </cell>
        </row>
        <row r="141">
          <cell r="C141" t="str">
            <v>3E838-01</v>
          </cell>
          <cell r="D141" t="str">
            <v>3E838-01</v>
          </cell>
          <cell r="E141" t="str">
            <v>N/A</v>
          </cell>
          <cell r="F141" t="str">
            <v>STANDOFF</v>
          </cell>
          <cell r="G141">
            <v>21</v>
          </cell>
          <cell r="H141" t="str">
            <v>HW</v>
          </cell>
          <cell r="M141">
            <v>0.04</v>
          </cell>
          <cell r="N141">
            <v>4.0000000000000001E-3</v>
          </cell>
        </row>
        <row r="142">
          <cell r="C142" t="str">
            <v>3E839-01</v>
          </cell>
          <cell r="D142" t="str">
            <v>3E839-01</v>
          </cell>
          <cell r="E142" t="str">
            <v>N/A</v>
          </cell>
          <cell r="F142" t="str">
            <v>PEM M3.5 STANDOFF</v>
          </cell>
          <cell r="G142">
            <v>4</v>
          </cell>
          <cell r="H142" t="str">
            <v>HW</v>
          </cell>
          <cell r="M142">
            <v>4.3000000000000003E-2</v>
          </cell>
          <cell r="N142">
            <v>5.0000000000000001E-3</v>
          </cell>
        </row>
        <row r="143">
          <cell r="C143" t="str">
            <v>3E840-01</v>
          </cell>
          <cell r="D143" t="str">
            <v>3E840-01</v>
          </cell>
          <cell r="E143" t="str">
            <v>H14882R</v>
          </cell>
          <cell r="F143" t="str">
            <v xml:space="preserve">STANDOFF </v>
          </cell>
          <cell r="G143">
            <v>6</v>
          </cell>
          <cell r="H143" t="str">
            <v>HW</v>
          </cell>
          <cell r="M143">
            <v>6.2E-2</v>
          </cell>
          <cell r="N143">
            <v>7.0000000000000001E-3</v>
          </cell>
        </row>
        <row r="144">
          <cell r="C144" t="str">
            <v>3F735-01</v>
          </cell>
          <cell r="D144" t="str">
            <v>3F735-01</v>
          </cell>
          <cell r="E144" t="str">
            <v>H14882R</v>
          </cell>
          <cell r="F144" t="str">
            <v>NUT</v>
          </cell>
          <cell r="G144">
            <v>2</v>
          </cell>
          <cell r="H144" t="str">
            <v>HW</v>
          </cell>
          <cell r="M144">
            <v>2.7E-2</v>
          </cell>
          <cell r="N144">
            <v>3.0000000000000001E-3</v>
          </cell>
        </row>
        <row r="145">
          <cell r="C145" t="str">
            <v>3F738-01</v>
          </cell>
          <cell r="D145" t="str">
            <v>3F738-01</v>
          </cell>
          <cell r="E145" t="str">
            <v>N/A</v>
          </cell>
          <cell r="F145" t="str">
            <v>PEM CLINCH NUT</v>
          </cell>
          <cell r="G145">
            <v>2</v>
          </cell>
          <cell r="H145" t="str">
            <v>HW</v>
          </cell>
          <cell r="M145">
            <v>3.3000000000000002E-2</v>
          </cell>
          <cell r="N145">
            <v>4.0000000000000001E-3</v>
          </cell>
        </row>
        <row r="146">
          <cell r="C146" t="str">
            <v>3F738-01</v>
          </cell>
          <cell r="D146" t="str">
            <v>3F738-01</v>
          </cell>
          <cell r="E146" t="str">
            <v>N/A</v>
          </cell>
          <cell r="F146" t="str">
            <v>PEM CLINCH NUT</v>
          </cell>
          <cell r="G146">
            <v>1</v>
          </cell>
          <cell r="H146" t="str">
            <v>HW</v>
          </cell>
          <cell r="M146">
            <v>3.3000000000000002E-2</v>
          </cell>
          <cell r="N146">
            <v>4.0000000000000001E-3</v>
          </cell>
        </row>
        <row r="147">
          <cell r="C147" t="str">
            <v>3F739-01</v>
          </cell>
          <cell r="D147" t="str">
            <v>3F739-01</v>
          </cell>
          <cell r="E147" t="str">
            <v>N/A</v>
          </cell>
          <cell r="F147" t="str">
            <v>PEM CLINCH NUT</v>
          </cell>
          <cell r="G147">
            <v>1</v>
          </cell>
          <cell r="H147" t="str">
            <v>HW</v>
          </cell>
          <cell r="M147">
            <v>0.47199999999999998</v>
          </cell>
          <cell r="N147">
            <v>4.8000000000000001E-2</v>
          </cell>
        </row>
        <row r="148">
          <cell r="C148" t="str">
            <v>3J855-01</v>
          </cell>
          <cell r="D148" t="str">
            <v>3J855-01</v>
          </cell>
          <cell r="E148" t="str">
            <v>N/A</v>
          </cell>
          <cell r="F148" t="str">
            <v>BUTTON POWER</v>
          </cell>
          <cell r="G148">
            <v>1</v>
          </cell>
          <cell r="H148" t="str">
            <v>HW</v>
          </cell>
          <cell r="M148">
            <v>0.5</v>
          </cell>
          <cell r="N148">
            <v>0.05</v>
          </cell>
        </row>
        <row r="149">
          <cell r="C149" t="str">
            <v>3J856-01</v>
          </cell>
          <cell r="D149" t="str">
            <v>3J856-01</v>
          </cell>
          <cell r="E149" t="str">
            <v>N/A</v>
          </cell>
          <cell r="F149" t="str">
            <v>SBCI CARD ICON ARTWORK</v>
          </cell>
          <cell r="G149">
            <v>0</v>
          </cell>
          <cell r="H149" t="str">
            <v>HW</v>
          </cell>
          <cell r="M149">
            <v>0.33</v>
          </cell>
          <cell r="N149">
            <v>3.3000000000000002E-2</v>
          </cell>
        </row>
        <row r="150">
          <cell r="C150" t="str">
            <v>3J859-01</v>
          </cell>
          <cell r="D150" t="str">
            <v>3J859-01</v>
          </cell>
          <cell r="E150" t="str">
            <v>H14882R</v>
          </cell>
          <cell r="F150" t="str">
            <v>GASKET</v>
          </cell>
          <cell r="G150">
            <v>3</v>
          </cell>
          <cell r="H150" t="str">
            <v>HW</v>
          </cell>
          <cell r="M150">
            <v>8.1000000000000003E-2</v>
          </cell>
          <cell r="N150">
            <v>9.0000000000000011E-3</v>
          </cell>
        </row>
        <row r="151">
          <cell r="C151" t="str">
            <v>3J862-01</v>
          </cell>
          <cell r="D151" t="str">
            <v>3J862-01</v>
          </cell>
          <cell r="E151" t="str">
            <v>N/A</v>
          </cell>
          <cell r="F151" t="str">
            <v>SCHLEGEL EMC GASKET</v>
          </cell>
          <cell r="G151">
            <v>1</v>
          </cell>
          <cell r="H151" t="str">
            <v>HW</v>
          </cell>
          <cell r="M151">
            <v>0.2</v>
          </cell>
          <cell r="N151">
            <v>0.02</v>
          </cell>
        </row>
        <row r="152">
          <cell r="C152" t="str">
            <v>3J863-01</v>
          </cell>
          <cell r="D152" t="str">
            <v>3J863-01</v>
          </cell>
          <cell r="E152" t="str">
            <v>N/A</v>
          </cell>
          <cell r="F152" t="str">
            <v>EMC GASKET</v>
          </cell>
          <cell r="G152" t="str">
            <v>1</v>
          </cell>
          <cell r="H152" t="str">
            <v>HW</v>
          </cell>
          <cell r="M152">
            <v>0.41099999999999998</v>
          </cell>
          <cell r="N152">
            <v>4.2000000000000003E-2</v>
          </cell>
        </row>
        <row r="153">
          <cell r="C153" t="str">
            <v>3J866-01</v>
          </cell>
          <cell r="D153" t="str">
            <v>3J866-01</v>
          </cell>
          <cell r="E153" t="str">
            <v>N/A</v>
          </cell>
          <cell r="F153" t="str">
            <v>SCHLEGEL EMC GASKET</v>
          </cell>
          <cell r="G153">
            <v>1</v>
          </cell>
          <cell r="H153" t="str">
            <v>HW</v>
          </cell>
          <cell r="M153">
            <v>0.2</v>
          </cell>
          <cell r="N153">
            <v>0.02</v>
          </cell>
        </row>
        <row r="154">
          <cell r="C154" t="str">
            <v>3J867-01</v>
          </cell>
          <cell r="D154" t="str">
            <v>3J867-01</v>
          </cell>
          <cell r="E154" t="str">
            <v>N/A</v>
          </cell>
          <cell r="F154" t="str">
            <v>GASKET</v>
          </cell>
          <cell r="G154">
            <v>1</v>
          </cell>
          <cell r="H154" t="str">
            <v>HW</v>
          </cell>
          <cell r="M154">
            <v>0.2</v>
          </cell>
          <cell r="N154">
            <v>0.02</v>
          </cell>
        </row>
        <row r="155">
          <cell r="C155" t="str">
            <v>3J869-01</v>
          </cell>
          <cell r="D155" t="str">
            <v>3J869-01</v>
          </cell>
          <cell r="E155" t="str">
            <v>N/A</v>
          </cell>
          <cell r="F155" t="str">
            <v>SCHLEGEL EMC GASKET</v>
          </cell>
          <cell r="G155">
            <v>1</v>
          </cell>
          <cell r="H155" t="str">
            <v>HW</v>
          </cell>
          <cell r="M155">
            <v>0.371</v>
          </cell>
          <cell r="N155">
            <v>3.7999999999999999E-2</v>
          </cell>
        </row>
        <row r="156">
          <cell r="C156" t="str">
            <v>3J870-01</v>
          </cell>
          <cell r="D156" t="str">
            <v>3J870-01</v>
          </cell>
          <cell r="E156" t="str">
            <v>N/A</v>
          </cell>
          <cell r="F156" t="str">
            <v>SCHLEGEL EMC GASKET</v>
          </cell>
          <cell r="G156">
            <v>1</v>
          </cell>
          <cell r="H156" t="str">
            <v>HW</v>
          </cell>
          <cell r="M156">
            <v>0.48</v>
          </cell>
          <cell r="N156">
            <v>4.8000000000000001E-2</v>
          </cell>
        </row>
        <row r="157">
          <cell r="C157" t="str">
            <v>3J871-01</v>
          </cell>
          <cell r="D157" t="str">
            <v>3J871-01</v>
          </cell>
          <cell r="E157" t="str">
            <v>N/A</v>
          </cell>
          <cell r="F157" t="str">
            <v>SCHLEGEL EMC GASKET</v>
          </cell>
          <cell r="G157">
            <v>3</v>
          </cell>
          <cell r="H157" t="str">
            <v>HW</v>
          </cell>
          <cell r="M157">
            <v>0.66100000000000003</v>
          </cell>
          <cell r="N157">
            <v>6.7000000000000004E-2</v>
          </cell>
        </row>
        <row r="158">
          <cell r="C158" t="str">
            <v>3J873-01</v>
          </cell>
          <cell r="D158" t="str">
            <v>3J873-01</v>
          </cell>
          <cell r="E158" t="str">
            <v>N/A</v>
          </cell>
          <cell r="F158" t="str">
            <v>SCHLEGEL EMC GASKET</v>
          </cell>
          <cell r="G158">
            <v>1</v>
          </cell>
          <cell r="H158" t="str">
            <v>HW</v>
          </cell>
          <cell r="M158">
            <v>0.92100000000000004</v>
          </cell>
          <cell r="N158">
            <v>9.2999999999999999E-2</v>
          </cell>
        </row>
        <row r="159">
          <cell r="C159" t="str">
            <v>3J874-01</v>
          </cell>
          <cell r="D159" t="str">
            <v>3J874-01</v>
          </cell>
          <cell r="E159" t="str">
            <v>N/A</v>
          </cell>
          <cell r="F159" t="str">
            <v>SCHLEGEL EMC GASKET</v>
          </cell>
          <cell r="G159">
            <v>2</v>
          </cell>
          <cell r="H159" t="str">
            <v>HW</v>
          </cell>
          <cell r="M159">
            <v>0.64</v>
          </cell>
          <cell r="N159">
            <v>6.4000000000000001E-2</v>
          </cell>
        </row>
        <row r="160">
          <cell r="C160" t="str">
            <v>3J875-01</v>
          </cell>
          <cell r="D160" t="str">
            <v>3J875-01</v>
          </cell>
          <cell r="E160" t="str">
            <v>N/A</v>
          </cell>
          <cell r="F160" t="str">
            <v>SCHLEGEL EMC GASKET</v>
          </cell>
          <cell r="G160">
            <v>1</v>
          </cell>
          <cell r="H160" t="str">
            <v>HW</v>
          </cell>
          <cell r="M160">
            <v>0.15</v>
          </cell>
          <cell r="N160">
            <v>1.4999999999999999E-2</v>
          </cell>
        </row>
        <row r="161">
          <cell r="C161" t="str">
            <v>3J876-01</v>
          </cell>
          <cell r="D161" t="str">
            <v>3J876-01</v>
          </cell>
          <cell r="E161" t="str">
            <v>N/A</v>
          </cell>
          <cell r="F161" t="str">
            <v>SCHLEGEL EMC GASKET</v>
          </cell>
          <cell r="G161">
            <v>2</v>
          </cell>
          <cell r="H161" t="str">
            <v>HW</v>
          </cell>
          <cell r="M161">
            <v>0.18</v>
          </cell>
          <cell r="N161">
            <v>1.7999999999999999E-2</v>
          </cell>
        </row>
        <row r="162">
          <cell r="C162" t="str">
            <v>3J878-01</v>
          </cell>
          <cell r="D162" t="str">
            <v>3J878-01</v>
          </cell>
          <cell r="E162" t="str">
            <v>N/A</v>
          </cell>
          <cell r="F162" t="str">
            <v>SCHLEGEL EMC GASKET</v>
          </cell>
          <cell r="G162">
            <v>1</v>
          </cell>
          <cell r="H162" t="str">
            <v>HW</v>
          </cell>
          <cell r="M162">
            <v>0.46100000000000002</v>
          </cell>
          <cell r="N162">
            <v>4.7E-2</v>
          </cell>
        </row>
        <row r="163">
          <cell r="C163" t="str">
            <v>3J879-01</v>
          </cell>
          <cell r="D163" t="str">
            <v>3J879-01</v>
          </cell>
          <cell r="E163" t="str">
            <v>N/A</v>
          </cell>
          <cell r="F163" t="str">
            <v>SCHLEGEL GASKET, BULK</v>
          </cell>
          <cell r="G163">
            <v>1</v>
          </cell>
          <cell r="H163" t="str">
            <v>HW</v>
          </cell>
          <cell r="M163">
            <v>0.61099999999999999</v>
          </cell>
          <cell r="N163">
            <v>6.2E-2</v>
          </cell>
        </row>
        <row r="164">
          <cell r="C164" t="str">
            <v>3J879-01</v>
          </cell>
          <cell r="D164" t="str">
            <v>3J879-01</v>
          </cell>
          <cell r="E164" t="str">
            <v>N/A</v>
          </cell>
          <cell r="F164" t="str">
            <v xml:space="preserve">EMC GASKET </v>
          </cell>
          <cell r="G164">
            <v>1</v>
          </cell>
          <cell r="H164" t="str">
            <v>HW</v>
          </cell>
          <cell r="M164">
            <v>0.61099999999999999</v>
          </cell>
          <cell r="N164">
            <v>6.2E-2</v>
          </cell>
        </row>
        <row r="165">
          <cell r="C165" t="str">
            <v>3J881-01</v>
          </cell>
          <cell r="D165" t="str">
            <v>3J881-01</v>
          </cell>
          <cell r="E165" t="str">
            <v>N/A</v>
          </cell>
          <cell r="F165" t="str">
            <v>SCHLEGEL EMC GASKET</v>
          </cell>
          <cell r="G165">
            <v>1</v>
          </cell>
          <cell r="H165" t="str">
            <v>HW</v>
          </cell>
          <cell r="M165">
            <v>0.15</v>
          </cell>
          <cell r="N165">
            <v>1.4999999999999999E-2</v>
          </cell>
        </row>
        <row r="166">
          <cell r="C166" t="str">
            <v>3J882-01</v>
          </cell>
          <cell r="D166" t="str">
            <v>3J882-01</v>
          </cell>
          <cell r="E166" t="str">
            <v>N/A</v>
          </cell>
          <cell r="F166" t="str">
            <v>SCHLEGEL EMC GASKET 2</v>
          </cell>
          <cell r="G166">
            <v>1</v>
          </cell>
          <cell r="H166" t="str">
            <v>HW</v>
          </cell>
          <cell r="M166">
            <v>0.32100000000000001</v>
          </cell>
          <cell r="N166">
            <v>3.3000000000000002E-2</v>
          </cell>
        </row>
        <row r="167">
          <cell r="C167" t="str">
            <v>3J925-01</v>
          </cell>
          <cell r="D167" t="str">
            <v>3J925-01</v>
          </cell>
          <cell r="F167" t="str">
            <v>E3154H00791*200.91</v>
          </cell>
          <cell r="G167">
            <v>1</v>
          </cell>
          <cell r="H167" t="str">
            <v>HW</v>
          </cell>
          <cell r="M167">
            <v>0.39</v>
          </cell>
          <cell r="N167">
            <v>3.9E-2</v>
          </cell>
        </row>
        <row r="168">
          <cell r="C168" t="str">
            <v>3J926-01</v>
          </cell>
          <cell r="D168" t="str">
            <v>3J926-01</v>
          </cell>
          <cell r="F168" t="str">
            <v>E3154H00093*23.62</v>
          </cell>
          <cell r="G168">
            <v>1</v>
          </cell>
          <cell r="H168" t="str">
            <v>HW</v>
          </cell>
          <cell r="M168">
            <v>0.13100000000000001</v>
          </cell>
          <cell r="N168">
            <v>1.3999999999999999E-2</v>
          </cell>
        </row>
        <row r="169">
          <cell r="C169" t="str">
            <v>3K812-01</v>
          </cell>
          <cell r="D169" t="str">
            <v>3K812-01</v>
          </cell>
          <cell r="E169" t="str">
            <v>N/A</v>
          </cell>
          <cell r="F169" t="str">
            <v>PEM SELF-CLINCH PILOT PIN</v>
          </cell>
          <cell r="G169">
            <v>2</v>
          </cell>
          <cell r="H169" t="str">
            <v>HW</v>
          </cell>
          <cell r="M169">
            <v>4.1000000000000002E-2</v>
          </cell>
          <cell r="N169">
            <v>5.0000000000000001E-3</v>
          </cell>
        </row>
        <row r="170">
          <cell r="C170" t="str">
            <v>3M0B3-01</v>
          </cell>
          <cell r="D170" t="str">
            <v>3M0B3-01</v>
          </cell>
          <cell r="E170" t="str">
            <v>N/A</v>
          </cell>
          <cell r="F170" t="str">
            <v>MICRO-PLASTICS CABLE CLAMP, COLOR: NEUTRAL</v>
          </cell>
          <cell r="G170">
            <v>1</v>
          </cell>
          <cell r="H170" t="str">
            <v>HW</v>
          </cell>
          <cell r="M170">
            <v>5.7000000000000002E-2</v>
          </cell>
          <cell r="N170">
            <v>6.0000000000000001E-3</v>
          </cell>
        </row>
        <row r="171">
          <cell r="C171" t="str">
            <v>3M0B3-01</v>
          </cell>
          <cell r="D171" t="str">
            <v>3M0B3-01</v>
          </cell>
          <cell r="E171" t="str">
            <v>N/A</v>
          </cell>
          <cell r="F171" t="str">
            <v>WIRE CLAMP</v>
          </cell>
          <cell r="G171">
            <v>1</v>
          </cell>
          <cell r="H171" t="str">
            <v>HW</v>
          </cell>
          <cell r="M171">
            <v>5.7000000000000002E-2</v>
          </cell>
          <cell r="N171">
            <v>6.0000000000000001E-3</v>
          </cell>
        </row>
        <row r="172">
          <cell r="C172" t="str">
            <v>3M0B4-01</v>
          </cell>
          <cell r="D172" t="str">
            <v>3M0B4-01</v>
          </cell>
          <cell r="F172" t="str">
            <v>ADHESIVE TAPE 27mm*14mm</v>
          </cell>
          <cell r="G172">
            <v>1</v>
          </cell>
          <cell r="H172" t="str">
            <v>HW</v>
          </cell>
          <cell r="M172">
            <v>1.4999999999999999E-2</v>
          </cell>
          <cell r="N172">
            <v>2E-3</v>
          </cell>
        </row>
        <row r="173">
          <cell r="C173" t="str">
            <v>3M940-01</v>
          </cell>
          <cell r="D173" t="str">
            <v>3M940-01</v>
          </cell>
          <cell r="E173" t="str">
            <v>N/A</v>
          </cell>
          <cell r="F173" t="str">
            <v>BUMPER</v>
          </cell>
          <cell r="G173">
            <v>2</v>
          </cell>
          <cell r="H173" t="str">
            <v>HW</v>
          </cell>
          <cell r="M173">
            <v>0.105</v>
          </cell>
          <cell r="N173">
            <v>1.0999999999999999E-2</v>
          </cell>
        </row>
        <row r="174">
          <cell r="C174" t="str">
            <v>3MA01-01</v>
          </cell>
          <cell r="D174" t="str">
            <v>3MA01-01</v>
          </cell>
          <cell r="E174" t="str">
            <v>N/A</v>
          </cell>
          <cell r="F174" t="str">
            <v>TAPE</v>
          </cell>
          <cell r="G174">
            <v>2</v>
          </cell>
          <cell r="H174" t="str">
            <v>HW</v>
          </cell>
          <cell r="M174">
            <v>0.1</v>
          </cell>
          <cell r="N174">
            <v>0.01</v>
          </cell>
        </row>
        <row r="175">
          <cell r="C175" t="str">
            <v>49P2500</v>
          </cell>
          <cell r="D175" t="str">
            <v>3H453-026</v>
          </cell>
          <cell r="E175" t="str">
            <v>H14882E</v>
          </cell>
          <cell r="F175" t="str">
            <v>BLADE DAMPER SPRING</v>
          </cell>
          <cell r="G175">
            <v>1</v>
          </cell>
          <cell r="H175" t="str">
            <v>HW</v>
          </cell>
          <cell r="M175">
            <v>1.3000000000000001E-2</v>
          </cell>
          <cell r="N175">
            <v>2E-3</v>
          </cell>
        </row>
        <row r="176">
          <cell r="C176" t="str">
            <v>49P2501</v>
          </cell>
          <cell r="D176" t="str">
            <v>4N876-01</v>
          </cell>
          <cell r="E176" t="str">
            <v>H15410E</v>
          </cell>
          <cell r="F176" t="str">
            <v>SIGNAL CABLE</v>
          </cell>
          <cell r="G176">
            <v>1</v>
          </cell>
          <cell r="H176" t="str">
            <v>HW</v>
          </cell>
          <cell r="M176">
            <v>0.64</v>
          </cell>
          <cell r="N176">
            <v>6.4000000000000001E-2</v>
          </cell>
        </row>
        <row r="177">
          <cell r="C177" t="str">
            <v>49P2502</v>
          </cell>
          <cell r="D177" t="str">
            <v>4N877-01</v>
          </cell>
          <cell r="E177" t="str">
            <v>REV D</v>
          </cell>
          <cell r="F177" t="str">
            <v>POWER CABLE</v>
          </cell>
          <cell r="G177">
            <v>1</v>
          </cell>
          <cell r="H177" t="str">
            <v>HW</v>
          </cell>
          <cell r="M177">
            <v>0.49</v>
          </cell>
          <cell r="N177">
            <v>4.9000000000000002E-2</v>
          </cell>
        </row>
        <row r="178">
          <cell r="C178" t="str">
            <v>49P2503</v>
          </cell>
          <cell r="D178" t="str">
            <v>4N878-01</v>
          </cell>
          <cell r="E178" t="str">
            <v>H15410E</v>
          </cell>
          <cell r="F178" t="str">
            <v>SIGNAL CABLE</v>
          </cell>
          <cell r="G178">
            <v>1</v>
          </cell>
          <cell r="H178" t="str">
            <v>HW</v>
          </cell>
          <cell r="M178">
            <v>0.45</v>
          </cell>
          <cell r="N178">
            <v>4.4999999999999998E-2</v>
          </cell>
        </row>
        <row r="179">
          <cell r="C179" t="str">
            <v>49P2504</v>
          </cell>
          <cell r="D179" t="str">
            <v>4N879-01</v>
          </cell>
          <cell r="E179" t="str">
            <v>H14882V</v>
          </cell>
          <cell r="F179" t="str">
            <v>MEDIA CABLE</v>
          </cell>
          <cell r="G179">
            <v>1</v>
          </cell>
          <cell r="H179" t="str">
            <v>HW</v>
          </cell>
          <cell r="M179">
            <v>3.84</v>
          </cell>
          <cell r="N179">
            <v>0.308</v>
          </cell>
        </row>
        <row r="180">
          <cell r="C180" t="str">
            <v>49P2533</v>
          </cell>
          <cell r="D180" t="str">
            <v>7P736-01</v>
          </cell>
          <cell r="E180" t="str">
            <v>H14882A</v>
          </cell>
          <cell r="F180" t="str">
            <v>EMC GASKET</v>
          </cell>
          <cell r="G180" t="str">
            <v>1</v>
          </cell>
          <cell r="H180" t="str">
            <v>HW</v>
          </cell>
          <cell r="M180">
            <v>6.0999999999999999E-2</v>
          </cell>
          <cell r="N180">
            <v>7.0000000000000001E-3</v>
          </cell>
        </row>
        <row r="181">
          <cell r="C181" t="str">
            <v>49P2541</v>
          </cell>
          <cell r="D181" t="str">
            <v>3K807-01</v>
          </cell>
          <cell r="E181" t="str">
            <v>H14882E</v>
          </cell>
          <cell r="F181" t="str">
            <v>LIFT HANDLE BRACKET</v>
          </cell>
          <cell r="G181">
            <v>4</v>
          </cell>
          <cell r="H181" t="str">
            <v>HW</v>
          </cell>
          <cell r="M181">
            <v>0.27500000000000002</v>
          </cell>
          <cell r="N181">
            <v>2.8000000000000001E-2</v>
          </cell>
        </row>
        <row r="182">
          <cell r="C182" t="str">
            <v>49P2543</v>
          </cell>
          <cell r="D182" t="str">
            <v>7J0B2-01</v>
          </cell>
          <cell r="E182" t="str">
            <v>H14882L</v>
          </cell>
          <cell r="F182" t="str">
            <v>PWR CORD, WARNING, WEIGHT LABEL</v>
          </cell>
          <cell r="G182">
            <v>5</v>
          </cell>
          <cell r="H182" t="str">
            <v>HW</v>
          </cell>
          <cell r="M182">
            <v>0.59</v>
          </cell>
          <cell r="N182">
            <v>5.8999999999999997E-2</v>
          </cell>
        </row>
        <row r="183">
          <cell r="C183" t="str">
            <v>49P2557</v>
          </cell>
          <cell r="E183" t="str">
            <v>H24473B</v>
          </cell>
          <cell r="F183" t="str">
            <v>M3 x3 Slot Cap</v>
          </cell>
          <cell r="G183">
            <v>4</v>
          </cell>
          <cell r="H183" t="str">
            <v>HW</v>
          </cell>
          <cell r="M183">
            <v>6.0000000000000001E-3</v>
          </cell>
          <cell r="N183">
            <v>1E-3</v>
          </cell>
        </row>
        <row r="184">
          <cell r="C184" t="str">
            <v>49P2607</v>
          </cell>
          <cell r="D184" t="str">
            <v>3M985-01</v>
          </cell>
          <cell r="E184" t="str">
            <v>H14882C</v>
          </cell>
          <cell r="F184" t="str">
            <v>MODULE ENC FRT INSULATOR</v>
          </cell>
          <cell r="G184">
            <v>1</v>
          </cell>
          <cell r="H184" t="str">
            <v>HW</v>
          </cell>
          <cell r="M184">
            <v>7.9000000000000001E-2</v>
          </cell>
          <cell r="N184">
            <v>8.0000000000000002E-3</v>
          </cell>
        </row>
        <row r="185">
          <cell r="C185" t="str">
            <v>49P2649</v>
          </cell>
          <cell r="D185" t="str">
            <v>2T784-01</v>
          </cell>
          <cell r="E185" t="str">
            <v>N/A</v>
          </cell>
          <cell r="F185" t="str">
            <v>LEFT TOP EIA LATCH</v>
          </cell>
          <cell r="G185">
            <v>1</v>
          </cell>
          <cell r="H185" t="str">
            <v>HW</v>
          </cell>
          <cell r="M185">
            <v>0.35</v>
          </cell>
          <cell r="N185">
            <v>3.5000000000000003E-2</v>
          </cell>
        </row>
        <row r="186">
          <cell r="C186" t="str">
            <v>49P2657</v>
          </cell>
          <cell r="D186" t="str">
            <v>3K806-01</v>
          </cell>
          <cell r="E186" t="str">
            <v>H14884A</v>
          </cell>
          <cell r="F186" t="str">
            <v>UPPER SUPPORT BRACKET</v>
          </cell>
          <cell r="G186">
            <v>1</v>
          </cell>
          <cell r="H186" t="str">
            <v>HW</v>
          </cell>
          <cell r="M186">
            <v>0.96</v>
          </cell>
          <cell r="N186">
            <v>9.6000000000000002E-2</v>
          </cell>
        </row>
        <row r="187">
          <cell r="C187" t="str">
            <v>49P2660</v>
          </cell>
          <cell r="D187" t="str">
            <v>3E815-01</v>
          </cell>
          <cell r="E187" t="str">
            <v>H14882A</v>
          </cell>
          <cell r="F187" t="str">
            <v>PLUNGER STOP</v>
          </cell>
          <cell r="G187">
            <v>2</v>
          </cell>
          <cell r="H187" t="str">
            <v>HW</v>
          </cell>
          <cell r="M187">
            <v>0.78800000000000003</v>
          </cell>
          <cell r="N187">
            <v>7.9000000000000001E-2</v>
          </cell>
        </row>
        <row r="188">
          <cell r="C188" t="str">
            <v>49P2665</v>
          </cell>
          <cell r="D188" t="str">
            <v>7J0B3-01</v>
          </cell>
          <cell r="E188" t="str">
            <v>H14882L</v>
          </cell>
          <cell r="F188" t="str">
            <v>REAR COMBO BAY LABEL</v>
          </cell>
          <cell r="G188">
            <v>6</v>
          </cell>
          <cell r="H188" t="str">
            <v>HW</v>
          </cell>
          <cell r="M188">
            <v>0.29899999999999999</v>
          </cell>
          <cell r="N188">
            <v>3.0000000000000002E-2</v>
          </cell>
        </row>
        <row r="189">
          <cell r="C189" t="str">
            <v>49P2677</v>
          </cell>
          <cell r="D189" t="str">
            <v>3K808-01</v>
          </cell>
          <cell r="E189" t="str">
            <v>H14882E</v>
          </cell>
          <cell r="F189" t="str">
            <v>BLOWER BAY SMAFT</v>
          </cell>
          <cell r="G189">
            <v>2</v>
          </cell>
          <cell r="H189" t="str">
            <v>HW</v>
          </cell>
          <cell r="M189">
            <v>0.219</v>
          </cell>
          <cell r="N189">
            <v>2.2000000000000002E-2</v>
          </cell>
        </row>
        <row r="190">
          <cell r="C190" t="str">
            <v>49P2678</v>
          </cell>
          <cell r="D190" t="str">
            <v>3H761-01</v>
          </cell>
          <cell r="E190" t="str">
            <v>H14882E</v>
          </cell>
          <cell r="F190" t="str">
            <v xml:space="preserve">BLOWER BAY SPRING </v>
          </cell>
          <cell r="G190">
            <v>4</v>
          </cell>
          <cell r="H190" t="str">
            <v>HW</v>
          </cell>
          <cell r="M190">
            <v>1.7000000000000001E-2</v>
          </cell>
          <cell r="N190">
            <v>2E-3</v>
          </cell>
        </row>
        <row r="191">
          <cell r="C191" t="str">
            <v>49P2688</v>
          </cell>
          <cell r="E191" t="str">
            <v>H14882L</v>
          </cell>
          <cell r="F191" t="str">
            <v>SHAFT</v>
          </cell>
          <cell r="G191">
            <v>1</v>
          </cell>
          <cell r="H191" t="str">
            <v>HW</v>
          </cell>
          <cell r="M191">
            <v>1.0939999999999999</v>
          </cell>
          <cell r="N191">
            <v>0.11</v>
          </cell>
        </row>
        <row r="192">
          <cell r="C192" t="str">
            <v>49P2691</v>
          </cell>
          <cell r="E192" t="str">
            <v>H14882N</v>
          </cell>
          <cell r="F192" t="str">
            <v>FOAM FRONT FOAM</v>
          </cell>
          <cell r="G192">
            <v>2</v>
          </cell>
          <cell r="H192" t="str">
            <v>HW</v>
          </cell>
          <cell r="M192">
            <v>11.25</v>
          </cell>
          <cell r="N192">
            <v>0.33800000000000002</v>
          </cell>
        </row>
        <row r="193">
          <cell r="C193" t="str">
            <v>49P2692</v>
          </cell>
          <cell r="E193" t="str">
            <v>H14882J</v>
          </cell>
          <cell r="F193" t="str">
            <v xml:space="preserve"> SIDE FOAM</v>
          </cell>
          <cell r="G193">
            <v>2</v>
          </cell>
          <cell r="H193" t="str">
            <v>HW</v>
          </cell>
          <cell r="M193">
            <v>0.76900000000000002</v>
          </cell>
          <cell r="N193">
            <v>7.6999999999999999E-2</v>
          </cell>
        </row>
        <row r="194">
          <cell r="C194" t="str">
            <v>49P2693</v>
          </cell>
          <cell r="E194" t="str">
            <v>H14882J</v>
          </cell>
          <cell r="F194" t="str">
            <v>BOTTOM LEFT FOAM</v>
          </cell>
          <cell r="G194">
            <v>1</v>
          </cell>
          <cell r="H194" t="str">
            <v>HW</v>
          </cell>
          <cell r="M194">
            <v>2.0629999999999997</v>
          </cell>
          <cell r="N194">
            <v>0.16600000000000001</v>
          </cell>
        </row>
        <row r="195">
          <cell r="C195" t="str">
            <v>51H9502</v>
          </cell>
          <cell r="D195" t="str">
            <v>3M0B8-01</v>
          </cell>
          <cell r="E195" t="str">
            <v>E96101</v>
          </cell>
          <cell r="F195" t="str">
            <v>BLACK 14 IN TIE - SOFT</v>
          </cell>
          <cell r="G195">
            <v>6</v>
          </cell>
          <cell r="H195" t="str">
            <v>HW</v>
          </cell>
          <cell r="M195">
            <v>0.1</v>
          </cell>
          <cell r="N195">
            <v>0.01</v>
          </cell>
        </row>
        <row r="196">
          <cell r="C196" t="str">
            <v>59P6529</v>
          </cell>
          <cell r="E196" t="str">
            <v>H15449</v>
          </cell>
          <cell r="F196" t="str">
            <v>MANUAL</v>
          </cell>
          <cell r="G196">
            <v>1</v>
          </cell>
          <cell r="H196" t="str">
            <v>HW</v>
          </cell>
          <cell r="M196">
            <v>3.4000000000000002E-2</v>
          </cell>
          <cell r="N196">
            <v>4.0000000000000001E-3</v>
          </cell>
        </row>
        <row r="197">
          <cell r="C197" t="str">
            <v>62X0388</v>
          </cell>
          <cell r="E197" t="str">
            <v>H64292</v>
          </cell>
          <cell r="F197" t="str">
            <v>SHAFT</v>
          </cell>
          <cell r="G197">
            <v>2</v>
          </cell>
          <cell r="H197" t="str">
            <v>HW</v>
          </cell>
          <cell r="M197">
            <v>4.8000000000000001E-2</v>
          </cell>
          <cell r="N197">
            <v>5.0000000000000001E-3</v>
          </cell>
        </row>
        <row r="198">
          <cell r="C198" t="str">
            <v>71P8531</v>
          </cell>
          <cell r="D198" t="str">
            <v>N/A</v>
          </cell>
          <cell r="E198" t="str">
            <v>H15410M</v>
          </cell>
          <cell r="F198" t="str">
            <v>CARD PROFILER ,CUST INT FRONT</v>
          </cell>
          <cell r="G198">
            <v>1</v>
          </cell>
          <cell r="H198" t="str">
            <v>HW</v>
          </cell>
          <cell r="M198">
            <v>28.05</v>
          </cell>
          <cell r="N198">
            <v>0.84199999999999997</v>
          </cell>
        </row>
        <row r="199">
          <cell r="C199" t="str">
            <v>71P8532</v>
          </cell>
          <cell r="D199" t="str">
            <v>N/A</v>
          </cell>
          <cell r="E199" t="str">
            <v>H15410M</v>
          </cell>
          <cell r="F199" t="str">
            <v>FINAL CARD ASM BDPLANAR</v>
          </cell>
          <cell r="G199">
            <v>1</v>
          </cell>
          <cell r="H199" t="str">
            <v>HW</v>
          </cell>
          <cell r="M199">
            <v>0.35</v>
          </cell>
          <cell r="N199">
            <v>3.5000000000000003E-2</v>
          </cell>
        </row>
        <row r="200">
          <cell r="C200" t="str">
            <v>71P9733</v>
          </cell>
          <cell r="E200" t="str">
            <v>H15449</v>
          </cell>
          <cell r="F200" t="str">
            <v>ACCOUSTIC PUBGRP</v>
          </cell>
          <cell r="G200">
            <v>1</v>
          </cell>
          <cell r="H200" t="str">
            <v>HW</v>
          </cell>
          <cell r="M200">
            <v>0</v>
          </cell>
          <cell r="N200">
            <v>0</v>
          </cell>
        </row>
        <row r="201">
          <cell r="C201" t="str">
            <v>73P6643</v>
          </cell>
          <cell r="D201" t="str">
            <v>2T814-01</v>
          </cell>
          <cell r="E201" t="str">
            <v>H14882F</v>
          </cell>
          <cell r="F201" t="str">
            <v>LEFT TOP EIA LATCH</v>
          </cell>
          <cell r="G201">
            <v>1</v>
          </cell>
          <cell r="H201" t="str">
            <v>HW</v>
          </cell>
          <cell r="M201">
            <v>0.26</v>
          </cell>
          <cell r="N201">
            <v>2.5999999999999999E-2</v>
          </cell>
        </row>
        <row r="202">
          <cell r="C202" t="str">
            <v>73P6651</v>
          </cell>
          <cell r="D202" t="str">
            <v>4N880-01</v>
          </cell>
          <cell r="E202" t="str">
            <v>H15410M</v>
          </cell>
          <cell r="F202" t="str">
            <v xml:space="preserve">CABLE SIGNAL </v>
          </cell>
          <cell r="G202">
            <v>1</v>
          </cell>
          <cell r="H202" t="str">
            <v>HW</v>
          </cell>
          <cell r="M202">
            <v>0.64</v>
          </cell>
          <cell r="N202">
            <v>6.4000000000000001E-2</v>
          </cell>
        </row>
        <row r="203">
          <cell r="C203" t="str">
            <v>73P6652</v>
          </cell>
          <cell r="E203" t="str">
            <v>H15410M</v>
          </cell>
          <cell r="F203" t="str">
            <v xml:space="preserve">CABLE POWER </v>
          </cell>
          <cell r="G203">
            <v>1</v>
          </cell>
          <cell r="H203" t="str">
            <v>HW</v>
          </cell>
          <cell r="M203">
            <v>0.64</v>
          </cell>
          <cell r="N203">
            <v>6.4000000000000001E-2</v>
          </cell>
        </row>
        <row r="204">
          <cell r="C204" t="str">
            <v>73P6653</v>
          </cell>
          <cell r="E204" t="str">
            <v>H15410M</v>
          </cell>
          <cell r="F204" t="str">
            <v xml:space="preserve">CABLE SIGNAL </v>
          </cell>
          <cell r="G204">
            <v>1</v>
          </cell>
          <cell r="H204" t="str">
            <v>HW</v>
          </cell>
          <cell r="M204">
            <v>0.64</v>
          </cell>
          <cell r="N204">
            <v>6.4000000000000001E-2</v>
          </cell>
        </row>
        <row r="205">
          <cell r="C205" t="str">
            <v>73P6655</v>
          </cell>
          <cell r="E205" t="str">
            <v>H15410M</v>
          </cell>
          <cell r="F205" t="str">
            <v xml:space="preserve">CABLE SIGNAL </v>
          </cell>
          <cell r="G205">
            <v>1</v>
          </cell>
          <cell r="H205" t="str">
            <v>HW</v>
          </cell>
          <cell r="M205">
            <v>0.64</v>
          </cell>
          <cell r="N205">
            <v>6.4000000000000001E-2</v>
          </cell>
        </row>
        <row r="206">
          <cell r="C206" t="str">
            <v>7J0D6-01</v>
          </cell>
          <cell r="D206" t="str">
            <v>7J0D6-01</v>
          </cell>
          <cell r="E206" t="str">
            <v>N/A</v>
          </cell>
          <cell r="F206" t="str">
            <v>PILOT PIN</v>
          </cell>
          <cell r="G206">
            <v>2</v>
          </cell>
          <cell r="H206" t="str">
            <v>HW</v>
          </cell>
          <cell r="M206">
            <v>4.0000000000000001E-3</v>
          </cell>
          <cell r="N206">
            <v>1E-3</v>
          </cell>
        </row>
        <row r="207">
          <cell r="C207" t="str">
            <v>7J0D6-01</v>
          </cell>
          <cell r="D207" t="str">
            <v>7J0D6-01</v>
          </cell>
          <cell r="E207" t="str">
            <v>N/A</v>
          </cell>
          <cell r="F207" t="str">
            <v>PILOT PIN</v>
          </cell>
          <cell r="G207">
            <v>2</v>
          </cell>
          <cell r="H207" t="str">
            <v>HW</v>
          </cell>
          <cell r="M207">
            <v>4.0000000000000001E-3</v>
          </cell>
          <cell r="N207">
            <v>1E-3</v>
          </cell>
        </row>
        <row r="208">
          <cell r="C208" t="str">
            <v>7J0D7-01</v>
          </cell>
          <cell r="D208" t="str">
            <v>7J0D7-01</v>
          </cell>
          <cell r="E208" t="str">
            <v>N/A</v>
          </cell>
          <cell r="F208" t="str">
            <v>PLUNGER STOP</v>
          </cell>
          <cell r="G208">
            <v>2</v>
          </cell>
          <cell r="H208" t="str">
            <v>HW</v>
          </cell>
          <cell r="M208">
            <v>0.13300000000000001</v>
          </cell>
          <cell r="N208">
            <v>1.3999999999999999E-2</v>
          </cell>
        </row>
        <row r="209">
          <cell r="C209" t="str">
            <v>7J0D7-01</v>
          </cell>
          <cell r="D209" t="str">
            <v>7J0D7-01</v>
          </cell>
          <cell r="E209" t="str">
            <v>N/A</v>
          </cell>
          <cell r="F209" t="str">
            <v>PLUNGER STOP</v>
          </cell>
          <cell r="G209">
            <v>2</v>
          </cell>
          <cell r="H209" t="str">
            <v>HW</v>
          </cell>
          <cell r="M209">
            <v>0.13300000000000001</v>
          </cell>
          <cell r="N209">
            <v>1.3999999999999999E-2</v>
          </cell>
        </row>
        <row r="210">
          <cell r="C210" t="str">
            <v>89G3945</v>
          </cell>
          <cell r="D210" t="str">
            <v>N/A</v>
          </cell>
          <cell r="E210" t="str">
            <v>N/A</v>
          </cell>
          <cell r="F210" t="str">
            <v>CONNECTOR</v>
          </cell>
          <cell r="G210">
            <v>1</v>
          </cell>
          <cell r="H210" t="str">
            <v>HW</v>
          </cell>
          <cell r="M210">
            <v>0</v>
          </cell>
          <cell r="N210">
            <v>0</v>
          </cell>
        </row>
        <row r="211">
          <cell r="C211" t="str">
            <v>90P4702</v>
          </cell>
          <cell r="D211" t="str">
            <v>4J779-01</v>
          </cell>
          <cell r="E211" t="str">
            <v>N/A</v>
          </cell>
          <cell r="F211" t="str">
            <v>CARDPOP</v>
          </cell>
          <cell r="G211">
            <v>1</v>
          </cell>
          <cell r="H211" t="str">
            <v>HW</v>
          </cell>
          <cell r="M211">
            <v>28.05</v>
          </cell>
          <cell r="N211">
            <v>0.84199999999999997</v>
          </cell>
        </row>
        <row r="212">
          <cell r="C212" t="str">
            <v>90P4787(74P5153)</v>
          </cell>
          <cell r="D212" t="str">
            <v>5A761-01</v>
          </cell>
          <cell r="E212" t="str">
            <v>N/A</v>
          </cell>
          <cell r="F212" t="str">
            <v>BACKWARD CURVE BLOWER</v>
          </cell>
          <cell r="G212">
            <v>1</v>
          </cell>
          <cell r="H212" t="str">
            <v>HW</v>
          </cell>
          <cell r="M212">
            <v>129</v>
          </cell>
          <cell r="N212">
            <v>3.87</v>
          </cell>
        </row>
        <row r="213">
          <cell r="C213" t="str">
            <v>90P4797</v>
          </cell>
          <cell r="D213" t="str">
            <v>3M937-01</v>
          </cell>
          <cell r="E213" t="str">
            <v>H16448J</v>
          </cell>
          <cell r="F213" t="str">
            <v>LABEL</v>
          </cell>
          <cell r="G213">
            <v>1</v>
          </cell>
          <cell r="H213" t="str">
            <v>HW</v>
          </cell>
          <cell r="M213">
            <v>0.14199999999999999</v>
          </cell>
          <cell r="N213">
            <v>1.4999999999999999E-2</v>
          </cell>
        </row>
        <row r="214">
          <cell r="C214" t="str">
            <v>92F1294</v>
          </cell>
          <cell r="D214" t="str">
            <v>3A121-01</v>
          </cell>
          <cell r="E214" t="str">
            <v>H20222</v>
          </cell>
          <cell r="F214" t="str">
            <v>FASTENER M3.5 X 7 HEX FLANGE</v>
          </cell>
          <cell r="G214">
            <v>2</v>
          </cell>
          <cell r="H214" t="str">
            <v>HW</v>
          </cell>
          <cell r="M214">
            <v>4.0000000000000001E-3</v>
          </cell>
          <cell r="N214">
            <v>1E-3</v>
          </cell>
        </row>
        <row r="215">
          <cell r="C215" t="str">
            <v>BARCODE LABLE</v>
          </cell>
          <cell r="D215" t="str">
            <v>N/A</v>
          </cell>
          <cell r="E215" t="str">
            <v>N/A</v>
          </cell>
          <cell r="F215" t="str">
            <v>BARCODE LABLE</v>
          </cell>
          <cell r="G215">
            <v>1</v>
          </cell>
          <cell r="H215" t="str">
            <v>HW</v>
          </cell>
          <cell r="M215">
            <v>3.3000000000000002E-2</v>
          </cell>
          <cell r="N215">
            <v>4.0000000000000001E-3</v>
          </cell>
        </row>
        <row r="216">
          <cell r="C216" t="str">
            <v xml:space="preserve">BLUE   LABLE </v>
          </cell>
          <cell r="D216" t="str">
            <v>N/A</v>
          </cell>
          <cell r="E216" t="str">
            <v>N/A</v>
          </cell>
          <cell r="F216" t="str">
            <v xml:space="preserve">BLUE LABEL </v>
          </cell>
          <cell r="G216">
            <v>2</v>
          </cell>
          <cell r="H216" t="str">
            <v>HW</v>
          </cell>
          <cell r="M216">
            <v>5.8000000000000003E-2</v>
          </cell>
          <cell r="N216">
            <v>6.0000000000000001E-3</v>
          </cell>
        </row>
        <row r="217">
          <cell r="C217" t="str">
            <v>LABEL</v>
          </cell>
          <cell r="D217" t="str">
            <v>N/A</v>
          </cell>
          <cell r="E217" t="str">
            <v>N/A</v>
          </cell>
          <cell r="F217" t="str">
            <v xml:space="preserve">LABEL  </v>
          </cell>
          <cell r="G217">
            <v>2</v>
          </cell>
          <cell r="H217" t="str">
            <v>HW</v>
          </cell>
          <cell r="M217">
            <v>2.6000000000000002E-2</v>
          </cell>
          <cell r="N217">
            <v>3.0000000000000001E-3</v>
          </cell>
        </row>
        <row r="218">
          <cell r="C218" t="str">
            <v>PART LABEL</v>
          </cell>
          <cell r="D218" t="str">
            <v>N/A</v>
          </cell>
          <cell r="E218" t="str">
            <v>N/A</v>
          </cell>
          <cell r="F218" t="str">
            <v>PART LABEL</v>
          </cell>
          <cell r="G218">
            <v>1</v>
          </cell>
          <cell r="H218" t="str">
            <v>HW</v>
          </cell>
          <cell r="M218">
            <v>0.02</v>
          </cell>
          <cell r="N218">
            <v>2E-3</v>
          </cell>
        </row>
        <row r="219">
          <cell r="C219" t="str">
            <v>PART LABEL</v>
          </cell>
          <cell r="D219" t="str">
            <v>PART LABEL</v>
          </cell>
          <cell r="E219" t="str">
            <v>N/A</v>
          </cell>
          <cell r="F219" t="str">
            <v xml:space="preserve">LABLE CODE </v>
          </cell>
          <cell r="G219">
            <v>1</v>
          </cell>
          <cell r="H219" t="str">
            <v>HW</v>
          </cell>
          <cell r="M219">
            <v>0.02</v>
          </cell>
          <cell r="N219">
            <v>2E-3</v>
          </cell>
        </row>
        <row r="220">
          <cell r="C220" t="str">
            <v>71P8768</v>
          </cell>
          <cell r="D220" t="str">
            <v>4J778-01</v>
          </cell>
          <cell r="E220" t="str">
            <v>N/A</v>
          </cell>
          <cell r="F220" t="str">
            <v>CUSTOMER CARDPOP</v>
          </cell>
          <cell r="G220">
            <v>2</v>
          </cell>
          <cell r="H220" t="str">
            <v>HW</v>
          </cell>
          <cell r="M220">
            <v>6.14</v>
          </cell>
          <cell r="N220">
            <v>0.185</v>
          </cell>
        </row>
        <row r="221">
          <cell r="C221" t="str">
            <v>71P8533</v>
          </cell>
          <cell r="E221" t="str">
            <v>H15410M</v>
          </cell>
          <cell r="F221" t="str">
            <v>CUSTOMER CARDPOP</v>
          </cell>
          <cell r="G221">
            <v>3</v>
          </cell>
          <cell r="H221" t="str">
            <v>HW</v>
          </cell>
          <cell r="M221">
            <v>6.14</v>
          </cell>
          <cell r="N221">
            <v>0.185</v>
          </cell>
        </row>
        <row r="222">
          <cell r="C222" t="str">
            <v>02R9013</v>
          </cell>
          <cell r="D222" t="str">
            <v>2T761-01</v>
          </cell>
          <cell r="E222" t="str">
            <v>H14882R</v>
          </cell>
          <cell r="F222" t="str">
            <v>FILLER HSINK</v>
          </cell>
          <cell r="G222">
            <v>1</v>
          </cell>
          <cell r="H222" t="str">
            <v>PL</v>
          </cell>
          <cell r="I222" t="str">
            <v>PC/ABS</v>
          </cell>
          <cell r="J222" t="str">
            <v>46.69 gr</v>
          </cell>
          <cell r="K222">
            <v>0.28299999999999997</v>
          </cell>
          <cell r="L222">
            <v>0.157</v>
          </cell>
        </row>
        <row r="223">
          <cell r="C223" t="str">
            <v>02R9025</v>
          </cell>
          <cell r="D223" t="str">
            <v>2T740-01</v>
          </cell>
          <cell r="E223" t="str">
            <v>H14882R</v>
          </cell>
          <cell r="F223" t="str">
            <v>LIGHT BOX CLAMP</v>
          </cell>
          <cell r="G223">
            <v>1</v>
          </cell>
          <cell r="H223" t="str">
            <v>PL</v>
          </cell>
          <cell r="I223" t="str">
            <v>PC/ABS</v>
          </cell>
          <cell r="J223" t="str">
            <v>3.71 gr</v>
          </cell>
          <cell r="K223">
            <v>2.3E-2</v>
          </cell>
          <cell r="L223">
            <v>0.115</v>
          </cell>
        </row>
        <row r="224">
          <cell r="C224" t="str">
            <v>02R9063-ITEM1</v>
          </cell>
          <cell r="D224" t="str">
            <v>2T828-01</v>
          </cell>
          <cell r="E224" t="str">
            <v>H14882N</v>
          </cell>
          <cell r="F224" t="str">
            <v xml:space="preserve">HDD Tray </v>
          </cell>
          <cell r="G224">
            <v>1</v>
          </cell>
          <cell r="H224" t="str">
            <v>PL</v>
          </cell>
          <cell r="I224" t="str">
            <v>PC/ABS</v>
          </cell>
          <cell r="J224" t="str">
            <v>20.02 gr</v>
          </cell>
          <cell r="K224">
            <v>0.122</v>
          </cell>
          <cell r="L224">
            <v>0.115</v>
          </cell>
        </row>
        <row r="225">
          <cell r="C225" t="str">
            <v>37L6513</v>
          </cell>
          <cell r="D225" t="str">
            <v>2T762-01</v>
          </cell>
          <cell r="E225" t="str">
            <v>H14882R</v>
          </cell>
          <cell r="F225" t="str">
            <v>FRONT BEZEL</v>
          </cell>
          <cell r="G225">
            <v>1</v>
          </cell>
          <cell r="H225" t="str">
            <v>PL</v>
          </cell>
          <cell r="I225" t="str">
            <v>PC/ABS</v>
          </cell>
          <cell r="J225" t="str">
            <v>215.13 gr</v>
          </cell>
          <cell r="K225">
            <v>1.2999999999999998</v>
          </cell>
          <cell r="L225">
            <v>0.86899999999999999</v>
          </cell>
        </row>
        <row r="226">
          <cell r="C226" t="str">
            <v>37L6522</v>
          </cell>
          <cell r="E226" t="str">
            <v>H14882B</v>
          </cell>
          <cell r="F226" t="str">
            <v>Light Pipe Led</v>
          </cell>
          <cell r="G226">
            <v>2</v>
          </cell>
          <cell r="H226" t="str">
            <v>PL</v>
          </cell>
          <cell r="I226" t="str">
            <v>PC</v>
          </cell>
          <cell r="J226" t="str">
            <v>2.53 gr</v>
          </cell>
          <cell r="K226">
            <v>1.3000000000000001E-2</v>
          </cell>
          <cell r="L226">
            <v>8.3000000000000004E-2</v>
          </cell>
        </row>
        <row r="227">
          <cell r="C227" t="str">
            <v>37L6564</v>
          </cell>
          <cell r="D227" t="str">
            <v>2T763-01</v>
          </cell>
          <cell r="E227" t="str">
            <v>H14882R</v>
          </cell>
          <cell r="F227" t="str">
            <v>LATCH BUTTON</v>
          </cell>
          <cell r="G227">
            <v>2</v>
          </cell>
          <cell r="H227" t="str">
            <v>PL</v>
          </cell>
          <cell r="I227" t="str">
            <v>PC/ABS</v>
          </cell>
          <cell r="J227" t="str">
            <v>2.33 gr</v>
          </cell>
          <cell r="K227">
            <v>1.4999999999999999E-2</v>
          </cell>
          <cell r="L227">
            <v>6.4000000000000001E-2</v>
          </cell>
        </row>
        <row r="228">
          <cell r="C228" t="str">
            <v>37L6565</v>
          </cell>
          <cell r="D228" t="str">
            <v>2T764-01</v>
          </cell>
          <cell r="E228" t="str">
            <v>H14882R</v>
          </cell>
          <cell r="F228" t="str">
            <v>SPRING CAP</v>
          </cell>
          <cell r="G228">
            <v>2</v>
          </cell>
          <cell r="H228" t="str">
            <v>PL</v>
          </cell>
          <cell r="I228" t="str">
            <v>PC/ABS</v>
          </cell>
          <cell r="J228" t="str">
            <v>2.93 gr</v>
          </cell>
          <cell r="K228">
            <v>1.9E-2</v>
          </cell>
          <cell r="L228">
            <v>6.4000000000000001E-2</v>
          </cell>
        </row>
        <row r="229">
          <cell r="C229" t="str">
            <v>37L6602</v>
          </cell>
          <cell r="D229" t="str">
            <v>2T736-01</v>
          </cell>
          <cell r="E229" t="str">
            <v>H14882R</v>
          </cell>
          <cell r="F229" t="str">
            <v>SBCI CARd DOOR</v>
          </cell>
          <cell r="G229">
            <v>1</v>
          </cell>
          <cell r="H229" t="str">
            <v>PL</v>
          </cell>
          <cell r="I229" t="str">
            <v>PC</v>
          </cell>
          <cell r="J229" t="str">
            <v>6.09 gr</v>
          </cell>
          <cell r="K229">
            <v>3.2000000000000001E-2</v>
          </cell>
          <cell r="L229">
            <v>0.107</v>
          </cell>
        </row>
        <row r="230">
          <cell r="C230" t="str">
            <v>37L6603</v>
          </cell>
          <cell r="D230" t="str">
            <v>2T735-01</v>
          </cell>
          <cell r="E230" t="str">
            <v>H14882R</v>
          </cell>
          <cell r="F230" t="str">
            <v>SBCI FRAME</v>
          </cell>
          <cell r="G230">
            <v>1</v>
          </cell>
          <cell r="H230" t="str">
            <v>PL</v>
          </cell>
          <cell r="I230" t="str">
            <v>PC/ABS</v>
          </cell>
          <cell r="J230" t="str">
            <v>4.09 gr</v>
          </cell>
          <cell r="K230">
            <v>2.6000000000000002E-2</v>
          </cell>
          <cell r="L230">
            <v>0.106</v>
          </cell>
        </row>
        <row r="231">
          <cell r="C231" t="str">
            <v>37L6619</v>
          </cell>
          <cell r="D231" t="str">
            <v>2T581-01</v>
          </cell>
          <cell r="E231" t="str">
            <v>H14882R</v>
          </cell>
          <cell r="F231" t="str">
            <v>LEVER LACH PIN</v>
          </cell>
          <cell r="G231">
            <v>1</v>
          </cell>
          <cell r="H231" t="str">
            <v>PL</v>
          </cell>
          <cell r="I231" t="str">
            <v>PC/ABS</v>
          </cell>
          <cell r="J231" t="str">
            <v>3.26 gr</v>
          </cell>
          <cell r="K231">
            <v>2.1000000000000001E-2</v>
          </cell>
          <cell r="L231">
            <v>7.9000000000000001E-2</v>
          </cell>
        </row>
        <row r="232">
          <cell r="C232" t="str">
            <v>37L6622</v>
          </cell>
          <cell r="D232" t="str">
            <v>2T765-01</v>
          </cell>
          <cell r="E232" t="str">
            <v>H14882R</v>
          </cell>
          <cell r="F232" t="str">
            <v>BLOWER DAMPER</v>
          </cell>
          <cell r="G232">
            <v>1</v>
          </cell>
          <cell r="H232" t="str">
            <v>PL</v>
          </cell>
          <cell r="I232" t="str">
            <v>PC/ABS</v>
          </cell>
          <cell r="J232" t="str">
            <v>57.44 gr</v>
          </cell>
          <cell r="K232">
            <v>0.34799999999999998</v>
          </cell>
          <cell r="L232">
            <v>0.36799999999999999</v>
          </cell>
        </row>
        <row r="233">
          <cell r="C233" t="str">
            <v>37L6623</v>
          </cell>
          <cell r="D233" t="str">
            <v>2T766-01</v>
          </cell>
          <cell r="E233" t="str">
            <v>H14882R</v>
          </cell>
          <cell r="F233" t="str">
            <v>DAMPER BLADE</v>
          </cell>
          <cell r="G233">
            <v>5</v>
          </cell>
          <cell r="H233" t="str">
            <v>PL</v>
          </cell>
          <cell r="I233" t="str">
            <v>PC/ABS</v>
          </cell>
          <cell r="J233" t="str">
            <v>11.01 gr</v>
          </cell>
          <cell r="K233">
            <v>6.8000000000000005E-2</v>
          </cell>
          <cell r="L233">
            <v>0.129</v>
          </cell>
        </row>
        <row r="234">
          <cell r="C234" t="str">
            <v>37L6625</v>
          </cell>
          <cell r="D234" t="str">
            <v>2T737-01</v>
          </cell>
          <cell r="E234" t="str">
            <v>H14882R</v>
          </cell>
          <cell r="F234" t="str">
            <v>ENCLOSURE</v>
          </cell>
          <cell r="G234">
            <v>1</v>
          </cell>
          <cell r="H234" t="str">
            <v>PL</v>
          </cell>
          <cell r="I234" t="str">
            <v>PC/ABS</v>
          </cell>
          <cell r="J234" t="str">
            <v>6.41 gr</v>
          </cell>
          <cell r="K234">
            <v>4.1000000000000002E-2</v>
          </cell>
          <cell r="L234">
            <v>0.114</v>
          </cell>
        </row>
        <row r="235">
          <cell r="C235" t="str">
            <v>37L6627</v>
          </cell>
          <cell r="D235" t="str">
            <v>2T739-01</v>
          </cell>
          <cell r="E235" t="str">
            <v>H14882R</v>
          </cell>
          <cell r="F235" t="str">
            <v>Select Button</v>
          </cell>
          <cell r="G235">
            <v>0</v>
          </cell>
          <cell r="H235" t="str">
            <v>PL</v>
          </cell>
          <cell r="I235" t="str">
            <v>PC</v>
          </cell>
          <cell r="J235" t="str">
            <v>1.43 gr</v>
          </cell>
          <cell r="K235">
            <v>9.0000000000000011E-3</v>
          </cell>
          <cell r="L235">
            <v>7.8E-2</v>
          </cell>
        </row>
        <row r="236">
          <cell r="C236" t="str">
            <v>49P2508</v>
          </cell>
          <cell r="D236" t="str">
            <v>2T767-01</v>
          </cell>
          <cell r="E236" t="str">
            <v>H14882F</v>
          </cell>
          <cell r="F236" t="str">
            <v>BLOWER LIGHT PIPE</v>
          </cell>
          <cell r="G236">
            <v>1</v>
          </cell>
          <cell r="H236" t="str">
            <v>PL</v>
          </cell>
          <cell r="I236" t="str">
            <v>PC</v>
          </cell>
          <cell r="J236" t="str">
            <v>2.48 gr</v>
          </cell>
          <cell r="K236">
            <v>1.3000000000000001E-2</v>
          </cell>
          <cell r="L236">
            <v>0.10299999999999999</v>
          </cell>
        </row>
        <row r="237">
          <cell r="C237" t="str">
            <v>49P2510</v>
          </cell>
          <cell r="D237" t="str">
            <v>2T750-01</v>
          </cell>
          <cell r="E237" t="str">
            <v>H14882E</v>
          </cell>
          <cell r="F237" t="str">
            <v>ROUND FRONT LIGHT PIPE</v>
          </cell>
          <cell r="G237">
            <v>4</v>
          </cell>
          <cell r="H237" t="str">
            <v>PL</v>
          </cell>
          <cell r="I237" t="str">
            <v>PC</v>
          </cell>
          <cell r="J237" t="str">
            <v>1.29 gr</v>
          </cell>
          <cell r="K237">
            <v>7.0000000000000001E-3</v>
          </cell>
          <cell r="L237">
            <v>7.8E-2</v>
          </cell>
        </row>
        <row r="238">
          <cell r="C238" t="str">
            <v>49P2559</v>
          </cell>
          <cell r="D238" t="str">
            <v>2T752-01</v>
          </cell>
          <cell r="E238" t="str">
            <v>H14883A</v>
          </cell>
          <cell r="F238" t="str">
            <v>MOUNT, BLADE DAMPER</v>
          </cell>
          <cell r="G238">
            <v>1</v>
          </cell>
          <cell r="H238" t="str">
            <v>PL</v>
          </cell>
          <cell r="I238" t="str">
            <v>PC/ABS</v>
          </cell>
          <cell r="J238" t="str">
            <v>40.04 gr</v>
          </cell>
          <cell r="K238">
            <v>0.24299999999999999</v>
          </cell>
          <cell r="L238">
            <v>0.35899999999999999</v>
          </cell>
        </row>
        <row r="239">
          <cell r="C239" t="str">
            <v>49P2650</v>
          </cell>
          <cell r="D239" t="str">
            <v>2T582-01</v>
          </cell>
          <cell r="E239" t="str">
            <v>H14882A</v>
          </cell>
          <cell r="F239" t="str">
            <v>LEVER BOTTOM LATCH</v>
          </cell>
          <cell r="G239">
            <v>1</v>
          </cell>
          <cell r="H239" t="str">
            <v>PL</v>
          </cell>
          <cell r="I239" t="str">
            <v>PC/ABS</v>
          </cell>
          <cell r="J239" t="str">
            <v>3.26 gr</v>
          </cell>
          <cell r="K239">
            <v>2.1000000000000001E-2</v>
          </cell>
          <cell r="L239">
            <v>7.9000000000000001E-2</v>
          </cell>
        </row>
        <row r="240">
          <cell r="C240" t="str">
            <v>49P2652</v>
          </cell>
          <cell r="D240" t="str">
            <v>2T802-01</v>
          </cell>
          <cell r="E240" t="str">
            <v>H14882C</v>
          </cell>
          <cell r="F240" t="str">
            <v>LATCH LEVER</v>
          </cell>
          <cell r="G240">
            <v>1</v>
          </cell>
          <cell r="H240" t="str">
            <v>PL</v>
          </cell>
          <cell r="I240" t="str">
            <v>PC/ABS</v>
          </cell>
          <cell r="J240" t="str">
            <v>3.26 gr</v>
          </cell>
          <cell r="K240">
            <v>2.1000000000000001E-2</v>
          </cell>
          <cell r="L240">
            <v>7.9000000000000001E-2</v>
          </cell>
        </row>
        <row r="241">
          <cell r="C241" t="str">
            <v>49P2659</v>
          </cell>
          <cell r="D241" t="str">
            <v>2T753-01</v>
          </cell>
          <cell r="E241" t="str">
            <v>H14882R</v>
          </cell>
          <cell r="F241" t="str">
            <v>DAMPER GUIDE</v>
          </cell>
          <cell r="G241">
            <v>1</v>
          </cell>
          <cell r="H241" t="str">
            <v>PL</v>
          </cell>
          <cell r="I241" t="str">
            <v>PC/ABS</v>
          </cell>
          <cell r="J241" t="str">
            <v>2.03 gr</v>
          </cell>
          <cell r="K241">
            <v>1.3000000000000001E-2</v>
          </cell>
          <cell r="L241">
            <v>8.3000000000000004E-2</v>
          </cell>
        </row>
        <row r="242">
          <cell r="C242" t="str">
            <v>49P2661</v>
          </cell>
          <cell r="D242" t="str">
            <v>2T754-01</v>
          </cell>
          <cell r="E242" t="str">
            <v>H14882R</v>
          </cell>
          <cell r="F242" t="str">
            <v>TRAY FIBER CHANNEL RETAINER</v>
          </cell>
          <cell r="G242">
            <v>1</v>
          </cell>
          <cell r="H242" t="str">
            <v>PL</v>
          </cell>
          <cell r="I242" t="str">
            <v>PC/ABS</v>
          </cell>
          <cell r="J242" t="str">
            <v>14.51 gr</v>
          </cell>
          <cell r="K242">
            <v>8.8999999999999996E-2</v>
          </cell>
          <cell r="L242">
            <v>0.113</v>
          </cell>
          <cell r="O242">
            <v>3.9E-2</v>
          </cell>
        </row>
        <row r="243">
          <cell r="C243" t="str">
            <v>49P2662</v>
          </cell>
          <cell r="D243" t="str">
            <v>2T755-01</v>
          </cell>
          <cell r="E243" t="str">
            <v>H14882E</v>
          </cell>
          <cell r="F243" t="str">
            <v>SQUARE FRONT LIGHT PIPE</v>
          </cell>
          <cell r="G243">
            <v>1</v>
          </cell>
          <cell r="H243" t="str">
            <v>PL</v>
          </cell>
          <cell r="I243" t="str">
            <v>PC</v>
          </cell>
          <cell r="J243" t="str">
            <v>1.63 gr</v>
          </cell>
          <cell r="K243">
            <v>9.9999999999999985E-3</v>
          </cell>
          <cell r="L243">
            <v>9.8000000000000004E-2</v>
          </cell>
        </row>
        <row r="244">
          <cell r="C244" t="str">
            <v>49P2664</v>
          </cell>
          <cell r="D244" t="str">
            <v>2T747-01</v>
          </cell>
          <cell r="E244" t="str">
            <v>H14882G</v>
          </cell>
          <cell r="F244" t="str">
            <v>GUIDE, COVER</v>
          </cell>
          <cell r="G244">
            <v>2</v>
          </cell>
          <cell r="H244" t="str">
            <v>PL</v>
          </cell>
          <cell r="I244" t="str">
            <v>PC/ABS</v>
          </cell>
          <cell r="J244" t="str">
            <v>2.92 gr</v>
          </cell>
          <cell r="K244">
            <v>1.9E-2</v>
          </cell>
          <cell r="L244">
            <v>8.3000000000000004E-2</v>
          </cell>
        </row>
        <row r="245">
          <cell r="C245" t="str">
            <v>49P2670</v>
          </cell>
          <cell r="D245" t="str">
            <v>2T738-01</v>
          </cell>
          <cell r="E245" t="str">
            <v>H14882R</v>
          </cell>
          <cell r="F245" t="str">
            <v>Button Power</v>
          </cell>
          <cell r="G245" t="str">
            <v>1</v>
          </cell>
          <cell r="H245" t="str">
            <v>PL</v>
          </cell>
          <cell r="I245" t="str">
            <v>PC/ABS</v>
          </cell>
          <cell r="J245" t="str">
            <v>1.27 gr</v>
          </cell>
          <cell r="K245">
            <v>9.9999999999999985E-3</v>
          </cell>
          <cell r="L245">
            <v>3.5000000000000003E-2</v>
          </cell>
        </row>
        <row r="246">
          <cell r="C246" t="str">
            <v>49P2687</v>
          </cell>
          <cell r="E246" t="str">
            <v>H14882R</v>
          </cell>
          <cell r="F246" t="str">
            <v>MUFFLER SHAFT HANDLE</v>
          </cell>
          <cell r="G246">
            <v>1</v>
          </cell>
          <cell r="H246" t="str">
            <v>PL</v>
          </cell>
          <cell r="I246" t="str">
            <v>PC/ABS</v>
          </cell>
          <cell r="J246" t="str">
            <v>16.73 gr</v>
          </cell>
          <cell r="K246">
            <v>0.10299999999999999</v>
          </cell>
          <cell r="L246">
            <v>0.124</v>
          </cell>
        </row>
        <row r="247">
          <cell r="C247" t="str">
            <v>49P2690</v>
          </cell>
          <cell r="E247" t="str">
            <v>H14882L</v>
          </cell>
          <cell r="F247" t="str">
            <v>ACOUSTIC MUFLR LIGHT PIPE</v>
          </cell>
          <cell r="G247">
            <v>1</v>
          </cell>
          <cell r="H247" t="str">
            <v>PL</v>
          </cell>
          <cell r="I247" t="str">
            <v>PC</v>
          </cell>
          <cell r="J247" t="str">
            <v>33.73 gr</v>
          </cell>
          <cell r="K247">
            <v>0.16700000000000001</v>
          </cell>
          <cell r="L247">
            <v>0.40600000000000003</v>
          </cell>
        </row>
        <row r="248">
          <cell r="C248" t="str">
            <v>49P2699</v>
          </cell>
          <cell r="D248" t="str">
            <v>2T768-01</v>
          </cell>
          <cell r="E248" t="str">
            <v>H14882R</v>
          </cell>
          <cell r="F248" t="str">
            <v>BLADE DAMPER</v>
          </cell>
          <cell r="G248">
            <v>1</v>
          </cell>
          <cell r="H248" t="str">
            <v>PL</v>
          </cell>
          <cell r="I248" t="str">
            <v>PC/ABS</v>
          </cell>
          <cell r="J248" t="str">
            <v>13.64 gr</v>
          </cell>
          <cell r="K248">
            <v>8.3000000000000004E-2</v>
          </cell>
          <cell r="L248">
            <v>0.125</v>
          </cell>
        </row>
        <row r="249">
          <cell r="C249" t="str">
            <v>73P6147</v>
          </cell>
          <cell r="D249" t="str">
            <v>2T769-01</v>
          </cell>
          <cell r="E249" t="str">
            <v>H15410J</v>
          </cell>
          <cell r="F249" t="str">
            <v>LOGO BEZEL PLATE</v>
          </cell>
          <cell r="G249">
            <v>1</v>
          </cell>
          <cell r="H249" t="str">
            <v>PL</v>
          </cell>
          <cell r="I249" t="str">
            <v>PC/ABS</v>
          </cell>
          <cell r="J249" t="str">
            <v>2.91 gr</v>
          </cell>
          <cell r="K249">
            <v>1.9E-2</v>
          </cell>
          <cell r="L249">
            <v>6.4000000000000001E-2</v>
          </cell>
        </row>
        <row r="250">
          <cell r="C250" t="str">
            <v>73P6153</v>
          </cell>
          <cell r="D250" t="str">
            <v>2T837-01</v>
          </cell>
          <cell r="E250" t="str">
            <v>H14882R</v>
          </cell>
          <cell r="F250" t="str">
            <v>BEZEL FRONT BEZEL</v>
          </cell>
          <cell r="G250">
            <v>1</v>
          </cell>
          <cell r="H250" t="str">
            <v>PL</v>
          </cell>
          <cell r="I250" t="str">
            <v>PC/ABS</v>
          </cell>
          <cell r="J250" t="str">
            <v>215.13 gr</v>
          </cell>
          <cell r="K250">
            <v>1.2999999999999998</v>
          </cell>
          <cell r="L250">
            <v>0.86899999999999999</v>
          </cell>
        </row>
        <row r="251">
          <cell r="C251" t="str">
            <v>73P6639</v>
          </cell>
          <cell r="D251" t="str">
            <v>2T803-01</v>
          </cell>
          <cell r="E251" t="str">
            <v>H15410M</v>
          </cell>
          <cell r="F251" t="str">
            <v>LEVER LATCH</v>
          </cell>
          <cell r="G251">
            <v>1</v>
          </cell>
          <cell r="H251" t="str">
            <v>PL</v>
          </cell>
          <cell r="I251" t="str">
            <v>PC/ABS</v>
          </cell>
          <cell r="J251" t="str">
            <v>3.26 gr</v>
          </cell>
          <cell r="K251">
            <v>2.1000000000000001E-2</v>
          </cell>
          <cell r="L251">
            <v>7.9000000000000001E-2</v>
          </cell>
        </row>
        <row r="252">
          <cell r="C252" t="str">
            <v>02R9032</v>
          </cell>
          <cell r="D252" t="str">
            <v>N/A</v>
          </cell>
          <cell r="E252" t="str">
            <v>H14882R</v>
          </cell>
          <cell r="F252" t="str">
            <v>LEFT SLIDE ASM ARTWORK</v>
          </cell>
          <cell r="G252">
            <v>0</v>
          </cell>
          <cell r="H252" t="str">
            <v>REF</v>
          </cell>
        </row>
        <row r="253">
          <cell r="C253" t="str">
            <v>37L6546</v>
          </cell>
          <cell r="D253" t="str">
            <v>N/A</v>
          </cell>
          <cell r="E253" t="str">
            <v>H15410E</v>
          </cell>
          <cell r="F253" t="str">
            <v>MEDIA TRAY CI REF DWG</v>
          </cell>
          <cell r="G253" t="str">
            <v>REF</v>
          </cell>
          <cell r="H253" t="str">
            <v>REF</v>
          </cell>
        </row>
        <row r="254">
          <cell r="C254" t="str">
            <v>37L6547</v>
          </cell>
          <cell r="E254" t="str">
            <v>H15410E</v>
          </cell>
          <cell r="F254" t="str">
            <v>REAR CI BOARD REF DWG</v>
          </cell>
          <cell r="G254">
            <v>0</v>
          </cell>
          <cell r="H254" t="str">
            <v>REF</v>
          </cell>
        </row>
        <row r="255">
          <cell r="C255" t="str">
            <v>49P2621</v>
          </cell>
          <cell r="D255" t="str">
            <v>N/A</v>
          </cell>
          <cell r="E255" t="str">
            <v>N/A</v>
          </cell>
          <cell r="F255" t="str">
            <v>BEZEL BLDCTR ARTWORK</v>
          </cell>
          <cell r="G255" t="str">
            <v>REF</v>
          </cell>
          <cell r="H255" t="str">
            <v>REF</v>
          </cell>
        </row>
        <row r="256">
          <cell r="C256" t="str">
            <v>49P2635</v>
          </cell>
          <cell r="D256" t="str">
            <v>N/A</v>
          </cell>
          <cell r="E256" t="str">
            <v>H14882A</v>
          </cell>
          <cell r="F256" t="str">
            <v>COMBO CHASSIS ARTWORK</v>
          </cell>
          <cell r="G256" t="str">
            <v>REF</v>
          </cell>
          <cell r="H256" t="str">
            <v>REF</v>
          </cell>
        </row>
        <row r="257">
          <cell r="C257" t="str">
            <v>49P2641</v>
          </cell>
          <cell r="D257" t="str">
            <v>N/A</v>
          </cell>
          <cell r="E257" t="str">
            <v>N/A</v>
          </cell>
          <cell r="F257" t="str">
            <v>BEZEL ESERVER ARTWORK</v>
          </cell>
          <cell r="G257" t="str">
            <v>REF</v>
          </cell>
          <cell r="H257" t="str">
            <v>REF</v>
          </cell>
        </row>
        <row r="258">
          <cell r="C258" t="str">
            <v>49P2642</v>
          </cell>
          <cell r="D258" t="str">
            <v>N/A</v>
          </cell>
          <cell r="E258" t="str">
            <v>H14882A</v>
          </cell>
          <cell r="F258" t="str">
            <v>CHASSIS ID NUMBER  ARTWORK</v>
          </cell>
          <cell r="G258" t="str">
            <v>REF</v>
          </cell>
          <cell r="H258" t="str">
            <v>REF</v>
          </cell>
        </row>
        <row r="259">
          <cell r="C259" t="str">
            <v>49P2646</v>
          </cell>
          <cell r="D259" t="str">
            <v>N/A</v>
          </cell>
          <cell r="E259" t="str">
            <v>N/A</v>
          </cell>
          <cell r="F259" t="str">
            <v>MEDIA TRAY ID ARTWORK</v>
          </cell>
          <cell r="G259" t="str">
            <v>REF</v>
          </cell>
          <cell r="H259" t="str">
            <v>REF</v>
          </cell>
        </row>
        <row r="260">
          <cell r="C260" t="str">
            <v>73P6650</v>
          </cell>
          <cell r="D260" t="str">
            <v>N/A</v>
          </cell>
          <cell r="E260" t="str">
            <v>H15410M</v>
          </cell>
          <cell r="F260" t="str">
            <v>MEDIA TRAY ID ARTWORK</v>
          </cell>
          <cell r="G260">
            <v>0</v>
          </cell>
          <cell r="H260" t="str">
            <v>REF</v>
          </cell>
        </row>
        <row r="261">
          <cell r="C261" t="str">
            <v>49P2632</v>
          </cell>
          <cell r="D261" t="str">
            <v>7P738-01</v>
          </cell>
          <cell r="E261" t="str">
            <v>H14882A</v>
          </cell>
          <cell r="F261" t="str">
            <v>BUTTON</v>
          </cell>
          <cell r="G261">
            <v>2</v>
          </cell>
          <cell r="H261" t="str">
            <v>REF(菲林)</v>
          </cell>
        </row>
        <row r="262">
          <cell r="C262" t="str">
            <v>01R0561</v>
          </cell>
          <cell r="D262" t="str">
            <v>N/A</v>
          </cell>
          <cell r="E262" t="str">
            <v>H15078</v>
          </cell>
          <cell r="F262" t="str">
            <v>FT SLIDE RELEA LATCH</v>
          </cell>
          <cell r="G262">
            <v>1</v>
          </cell>
          <cell r="H262" t="str">
            <v>SM</v>
          </cell>
          <cell r="I262" t="str">
            <v>SUS301 ,  60 x 50 x 0.8</v>
          </cell>
          <cell r="K262">
            <v>0.115</v>
          </cell>
          <cell r="L262">
            <v>0.11</v>
          </cell>
        </row>
        <row r="263">
          <cell r="C263" t="str">
            <v>01R0627</v>
          </cell>
          <cell r="D263" t="str">
            <v>2FJ80-01</v>
          </cell>
          <cell r="E263" t="str">
            <v>H15078G</v>
          </cell>
          <cell r="F263" t="str">
            <v>SLIDE LIMITER LATCH</v>
          </cell>
          <cell r="G263">
            <v>1</v>
          </cell>
          <cell r="H263" t="str">
            <v>SM</v>
          </cell>
          <cell r="I263" t="str">
            <v>SUS301 ,  80 x 24 x 0.8</v>
          </cell>
          <cell r="K263">
            <v>8.1000000000000003E-2</v>
          </cell>
          <cell r="L263">
            <v>6.2E-2</v>
          </cell>
        </row>
        <row r="264">
          <cell r="C264" t="str">
            <v>01R1425</v>
          </cell>
          <cell r="D264" t="str">
            <v>2FJ87-01</v>
          </cell>
          <cell r="E264" t="str">
            <v>H15078G</v>
          </cell>
          <cell r="F264" t="str">
            <v>LR/RF SLIDE LATCH</v>
          </cell>
          <cell r="G264">
            <v>1</v>
          </cell>
          <cell r="H264" t="str">
            <v>SM</v>
          </cell>
          <cell r="I264" t="str">
            <v>SUS301 ,  55 x 50 x 0.8</v>
          </cell>
          <cell r="K264">
            <v>0.107</v>
          </cell>
          <cell r="L264">
            <v>0.11</v>
          </cell>
        </row>
        <row r="265">
          <cell r="C265" t="str">
            <v>01R1426</v>
          </cell>
          <cell r="D265" t="str">
            <v>2FJ88-01</v>
          </cell>
          <cell r="E265" t="str">
            <v>H15078G</v>
          </cell>
          <cell r="F265" t="str">
            <v>FL/RR SLIDE LATCH</v>
          </cell>
          <cell r="G265">
            <v>1</v>
          </cell>
          <cell r="H265" t="str">
            <v>SM</v>
          </cell>
          <cell r="I265" t="str">
            <v>SUS301 ,  55 x 50 x 0.8</v>
          </cell>
          <cell r="K265">
            <v>0.107</v>
          </cell>
          <cell r="L265">
            <v>0.11</v>
          </cell>
        </row>
        <row r="266">
          <cell r="C266" t="str">
            <v>02R9008</v>
          </cell>
          <cell r="D266" t="str">
            <v>2FQ40-01</v>
          </cell>
          <cell r="E266" t="str">
            <v>H14882L</v>
          </cell>
          <cell r="F266" t="str">
            <v>BRACKET; HDD STOP</v>
          </cell>
          <cell r="G266">
            <v>2</v>
          </cell>
          <cell r="H266" t="str">
            <v>SM</v>
          </cell>
          <cell r="I266" t="str">
            <v>GI ,  48 x 40 x 0.813</v>
          </cell>
          <cell r="K266">
            <v>0.03</v>
          </cell>
          <cell r="L266">
            <v>5.7000000000000002E-2</v>
          </cell>
        </row>
        <row r="267">
          <cell r="C267" t="str">
            <v>02R9020</v>
          </cell>
          <cell r="D267" t="str">
            <v>2FQ57-01</v>
          </cell>
          <cell r="E267" t="str">
            <v>H14882R</v>
          </cell>
          <cell r="F267" t="str">
            <v>SMIPPING BRACKET SPRING</v>
          </cell>
          <cell r="G267">
            <v>2</v>
          </cell>
          <cell r="H267" t="str">
            <v>SM</v>
          </cell>
          <cell r="I267" t="str">
            <v>SUS301 ,  80 x 22 x 0.5</v>
          </cell>
          <cell r="K267">
            <v>5.5E-2</v>
          </cell>
          <cell r="L267">
            <v>0.06</v>
          </cell>
        </row>
        <row r="268">
          <cell r="C268" t="str">
            <v>02R9040</v>
          </cell>
          <cell r="D268" t="str">
            <v>2FQ58-01</v>
          </cell>
          <cell r="E268" t="str">
            <v>H14882L</v>
          </cell>
          <cell r="F268" t="str">
            <v>MEDIA LATCH</v>
          </cell>
          <cell r="G268">
            <v>2</v>
          </cell>
          <cell r="H268" t="str">
            <v>SM</v>
          </cell>
          <cell r="I268" t="str">
            <v>SUS301 ,  101 x 17 x 0.5</v>
          </cell>
          <cell r="K268">
            <v>5.3999999999999999E-2</v>
          </cell>
          <cell r="L268">
            <v>0.06</v>
          </cell>
        </row>
        <row r="269">
          <cell r="C269" t="str">
            <v>02R9173</v>
          </cell>
          <cell r="D269" t="str">
            <v>2FQ92-01</v>
          </cell>
          <cell r="E269" t="str">
            <v>H14882Y</v>
          </cell>
          <cell r="F269" t="str">
            <v>RIGHT ANGLE BRACKET</v>
          </cell>
          <cell r="G269">
            <v>1</v>
          </cell>
          <cell r="H269" t="str">
            <v>SM</v>
          </cell>
          <cell r="I269" t="str">
            <v>GI ,  575 x 208 x 1.524</v>
          </cell>
          <cell r="K269">
            <v>1.143</v>
          </cell>
          <cell r="L269">
            <v>0.49399999999999999</v>
          </cell>
        </row>
        <row r="270">
          <cell r="C270" t="str">
            <v>02R9174</v>
          </cell>
          <cell r="D270" t="str">
            <v>2FQ91-01</v>
          </cell>
          <cell r="E270" t="str">
            <v>H14882Y</v>
          </cell>
          <cell r="F270" t="str">
            <v>BRACKET</v>
          </cell>
          <cell r="G270">
            <v>1</v>
          </cell>
          <cell r="H270" t="str">
            <v>SM</v>
          </cell>
          <cell r="I270" t="str">
            <v>GI ,  486 x 129 x 1.524</v>
          </cell>
          <cell r="K270">
            <v>0.60899999999999999</v>
          </cell>
          <cell r="L270">
            <v>0.371</v>
          </cell>
        </row>
        <row r="271">
          <cell r="C271" t="str">
            <v>02R9175(49p2585)</v>
          </cell>
          <cell r="D271" t="str">
            <v>2FQ88-01</v>
          </cell>
          <cell r="E271" t="str">
            <v>H14882Y</v>
          </cell>
          <cell r="F271" t="str">
            <v>LEFT ANGLE BRACKET</v>
          </cell>
          <cell r="G271">
            <v>1</v>
          </cell>
          <cell r="H271" t="str">
            <v>SM</v>
          </cell>
          <cell r="I271" t="str">
            <v>GI ,  575 x 208 x 1.524</v>
          </cell>
          <cell r="K271">
            <v>1.143</v>
          </cell>
          <cell r="L271">
            <v>0.49399999999999999</v>
          </cell>
        </row>
        <row r="272">
          <cell r="C272" t="str">
            <v>02R9176</v>
          </cell>
          <cell r="D272" t="str">
            <v>2FQ87-01</v>
          </cell>
          <cell r="E272" t="str">
            <v>H14882Y</v>
          </cell>
          <cell r="F272" t="str">
            <v>LEFT SLIDE BRACKET</v>
          </cell>
          <cell r="G272">
            <v>1</v>
          </cell>
          <cell r="H272" t="str">
            <v>SM</v>
          </cell>
          <cell r="I272" t="str">
            <v>GI ,  486 x 129 x 1.524</v>
          </cell>
          <cell r="K272">
            <v>0.60899999999999999</v>
          </cell>
          <cell r="L272">
            <v>0.371</v>
          </cell>
        </row>
        <row r="273">
          <cell r="C273" t="str">
            <v>02R9195</v>
          </cell>
          <cell r="D273" t="str">
            <v>2FQ59-01</v>
          </cell>
          <cell r="E273" t="str">
            <v>N/A</v>
          </cell>
          <cell r="F273" t="str">
            <v>CHASSIS</v>
          </cell>
          <cell r="G273">
            <v>1</v>
          </cell>
          <cell r="H273" t="str">
            <v>SM</v>
          </cell>
          <cell r="I273" t="str">
            <v>GI ,  775 x 1079.5 x 1.2192</v>
          </cell>
          <cell r="K273">
            <v>6.3049999999999997</v>
          </cell>
          <cell r="L273">
            <v>0.86599999999999999</v>
          </cell>
        </row>
        <row r="274">
          <cell r="C274" t="str">
            <v>02R9196</v>
          </cell>
          <cell r="D274" t="str">
            <v>2FQ60-01</v>
          </cell>
          <cell r="E274" t="str">
            <v>H14882L</v>
          </cell>
          <cell r="F274" t="str">
            <v>CHASSIS TOP COVER</v>
          </cell>
          <cell r="G274">
            <v>1</v>
          </cell>
          <cell r="H274" t="str">
            <v>SM</v>
          </cell>
          <cell r="I274" t="str">
            <v>GI ,  730 x 479 x 1.2192</v>
          </cell>
          <cell r="K274">
            <v>2.6469999999999998</v>
          </cell>
          <cell r="L274">
            <v>0.40200000000000002</v>
          </cell>
        </row>
        <row r="275">
          <cell r="C275" t="str">
            <v>37L6509</v>
          </cell>
          <cell r="D275" t="str">
            <v>2FQ61-01</v>
          </cell>
          <cell r="E275" t="str">
            <v>H14882V</v>
          </cell>
          <cell r="F275" t="str">
            <v>UPPER SMELF BRACKET</v>
          </cell>
          <cell r="G275">
            <v>1</v>
          </cell>
          <cell r="H275" t="str">
            <v>SM</v>
          </cell>
          <cell r="I275" t="str">
            <v>GI ,  485 x 445 x 1.2192</v>
          </cell>
          <cell r="K275">
            <v>1.641</v>
          </cell>
          <cell r="L275">
            <v>0.56300000000000006</v>
          </cell>
        </row>
        <row r="276">
          <cell r="C276" t="str">
            <v>37L6510</v>
          </cell>
          <cell r="D276" t="str">
            <v>2FQ62-01</v>
          </cell>
          <cell r="E276" t="str">
            <v>H14882N</v>
          </cell>
          <cell r="F276" t="str">
            <v>LOWER SUPPORT BRACKET</v>
          </cell>
          <cell r="G276">
            <v>1</v>
          </cell>
          <cell r="H276" t="str">
            <v>SM</v>
          </cell>
          <cell r="I276" t="str">
            <v>GI ,  442 x 78 x 1.016</v>
          </cell>
          <cell r="K276">
            <v>0.23599999999999999</v>
          </cell>
          <cell r="L276">
            <v>0.28699999999999998</v>
          </cell>
        </row>
        <row r="277">
          <cell r="C277" t="str">
            <v>37L6511</v>
          </cell>
          <cell r="D277" t="str">
            <v>2FQ63-01</v>
          </cell>
          <cell r="E277" t="str">
            <v>H14882L</v>
          </cell>
          <cell r="F277" t="str">
            <v>MEDIA TRAY BRACKET</v>
          </cell>
          <cell r="G277">
            <v>1</v>
          </cell>
          <cell r="H277" t="str">
            <v>SM</v>
          </cell>
          <cell r="I277" t="str">
            <v>GI ,  480 x 203 x 1.016</v>
          </cell>
          <cell r="K277">
            <v>0.63</v>
          </cell>
          <cell r="L277">
            <v>0.373</v>
          </cell>
        </row>
        <row r="278">
          <cell r="C278" t="str">
            <v>37L6512</v>
          </cell>
          <cell r="D278" t="str">
            <v>2FQ64-01</v>
          </cell>
          <cell r="E278" t="str">
            <v>H14882N</v>
          </cell>
          <cell r="F278" t="str">
            <v>UPPER SUPPORT BRACKET</v>
          </cell>
          <cell r="G278">
            <v>1</v>
          </cell>
          <cell r="H278" t="str">
            <v>SM</v>
          </cell>
          <cell r="I278" t="str">
            <v>GI ,  442 x 109 x 1.016</v>
          </cell>
          <cell r="K278">
            <v>0.32200000000000001</v>
          </cell>
          <cell r="L278">
            <v>0.45200000000000001</v>
          </cell>
        </row>
        <row r="279">
          <cell r="C279" t="str">
            <v>37L6514</v>
          </cell>
          <cell r="D279" t="str">
            <v>2FQ65-01</v>
          </cell>
          <cell r="E279" t="str">
            <v>H14882V</v>
          </cell>
          <cell r="F279" t="str">
            <v>LOWER SMELF BRACKET</v>
          </cell>
          <cell r="G279">
            <v>1</v>
          </cell>
          <cell r="H279" t="str">
            <v>SM</v>
          </cell>
          <cell r="I279" t="str">
            <v>GI ,  485 x 445 x 1.016</v>
          </cell>
          <cell r="K279">
            <v>1.371</v>
          </cell>
          <cell r="L279">
            <v>0.60099999999999998</v>
          </cell>
        </row>
        <row r="280">
          <cell r="C280" t="str">
            <v>37L6515</v>
          </cell>
          <cell r="D280" t="str">
            <v>2FQ66-01</v>
          </cell>
          <cell r="E280" t="str">
            <v>H14882R</v>
          </cell>
          <cell r="F280" t="str">
            <v>MEDIA TRAY BRACKET</v>
          </cell>
          <cell r="G280">
            <v>1</v>
          </cell>
          <cell r="H280" t="str">
            <v>SM</v>
          </cell>
          <cell r="I280" t="str">
            <v>GI ,  440 x 237 x 1.2192</v>
          </cell>
          <cell r="K280">
            <v>0.80300000000000005</v>
          </cell>
          <cell r="L280">
            <v>0.48</v>
          </cell>
        </row>
        <row r="281">
          <cell r="C281" t="str">
            <v>37L6517-ITEM1</v>
          </cell>
          <cell r="D281" t="str">
            <v>N/A</v>
          </cell>
          <cell r="E281" t="str">
            <v>H14883L</v>
          </cell>
          <cell r="F281" t="str">
            <v>BlADE FillER BRACKET</v>
          </cell>
          <cell r="G281">
            <v>1</v>
          </cell>
          <cell r="H281" t="str">
            <v>SM</v>
          </cell>
          <cell r="I281" t="str">
            <v>GI ,  392 x 306 x 1.016</v>
          </cell>
          <cell r="K281">
            <v>0.77100000000000002</v>
          </cell>
          <cell r="L281">
            <v>0.67400000000000004</v>
          </cell>
          <cell r="O281">
            <v>1.3640000000000001</v>
          </cell>
        </row>
        <row r="282">
          <cell r="C282" t="str">
            <v>37L6520</v>
          </cell>
          <cell r="D282" t="str">
            <v>2FQ68-01</v>
          </cell>
          <cell r="E282" t="str">
            <v>H14882T</v>
          </cell>
          <cell r="F282" t="str">
            <v>CHASSIS FRONT BRACKET</v>
          </cell>
          <cell r="G282">
            <v>1</v>
          </cell>
          <cell r="H282" t="str">
            <v>SM</v>
          </cell>
          <cell r="I282" t="str">
            <v>GI ,  525 x 350 x 1.2192</v>
          </cell>
          <cell r="K282">
            <v>1.4</v>
          </cell>
          <cell r="L282">
            <v>0.42199999999999999</v>
          </cell>
          <cell r="O282">
            <v>1.4850000000000001</v>
          </cell>
        </row>
        <row r="283">
          <cell r="C283" t="str">
            <v>37L6521</v>
          </cell>
          <cell r="D283" t="str">
            <v>2FQ41-01</v>
          </cell>
          <cell r="E283" t="str">
            <v>H14882L</v>
          </cell>
          <cell r="F283" t="str">
            <v>BRACKET, BSE LED MOUNT</v>
          </cell>
          <cell r="G283">
            <v>2</v>
          </cell>
          <cell r="H283" t="str">
            <v>SM</v>
          </cell>
          <cell r="I283" t="str">
            <v>GI ,  64 x 40 x 0.813</v>
          </cell>
          <cell r="K283">
            <v>3.3000000000000002E-2</v>
          </cell>
          <cell r="L283">
            <v>5.7000000000000002E-2</v>
          </cell>
        </row>
        <row r="284">
          <cell r="C284" t="str">
            <v>37L6524</v>
          </cell>
          <cell r="D284" t="str">
            <v>2FQ70-01</v>
          </cell>
          <cell r="E284" t="str">
            <v>H14882T</v>
          </cell>
          <cell r="F284" t="str">
            <v>SIDE PLATE BRACKET</v>
          </cell>
          <cell r="G284">
            <v>1</v>
          </cell>
          <cell r="H284" t="str">
            <v>SM</v>
          </cell>
          <cell r="I284" t="str">
            <v>GI ,  305 x 290 x 1.016</v>
          </cell>
          <cell r="K284">
            <v>0.57399999999999995</v>
          </cell>
          <cell r="L284">
            <v>0.222</v>
          </cell>
        </row>
        <row r="285">
          <cell r="C285" t="str">
            <v>37L6525</v>
          </cell>
          <cell r="D285" t="str">
            <v>2FQ71-01</v>
          </cell>
          <cell r="E285" t="str">
            <v>H14882T</v>
          </cell>
          <cell r="F285" t="str">
            <v>SIDE PLATE BRACKET</v>
          </cell>
          <cell r="G285">
            <v>1</v>
          </cell>
          <cell r="H285" t="str">
            <v>SM</v>
          </cell>
          <cell r="I285" t="str">
            <v>GI ,  305 x 290 x 1.016</v>
          </cell>
          <cell r="K285">
            <v>0.57399999999999995</v>
          </cell>
          <cell r="L285">
            <v>0.222</v>
          </cell>
        </row>
        <row r="286">
          <cell r="C286" t="str">
            <v>37L6526</v>
          </cell>
          <cell r="D286" t="str">
            <v>2FQ72-01</v>
          </cell>
          <cell r="E286" t="str">
            <v>H14882R</v>
          </cell>
          <cell r="F286" t="str">
            <v>TOP STIFFENER BRACKET</v>
          </cell>
          <cell r="G286">
            <v>1</v>
          </cell>
          <cell r="H286" t="str">
            <v>SM</v>
          </cell>
          <cell r="I286" t="str">
            <v>GI ,  450 x 73 x 1.016</v>
          </cell>
          <cell r="K286">
            <v>0.22600000000000001</v>
          </cell>
          <cell r="L286">
            <v>7.6999999999999999E-2</v>
          </cell>
        </row>
        <row r="287">
          <cell r="C287" t="str">
            <v>37L6527</v>
          </cell>
          <cell r="D287" t="str">
            <v>2FQ73-01</v>
          </cell>
          <cell r="E287" t="str">
            <v>H14882V</v>
          </cell>
          <cell r="F287" t="str">
            <v>MIDDLE SUPPORT BRACKET</v>
          </cell>
          <cell r="G287">
            <v>1</v>
          </cell>
          <cell r="H287" t="str">
            <v>SM</v>
          </cell>
          <cell r="I287" t="str">
            <v>GI ,  681 x 464 x 1.016</v>
          </cell>
          <cell r="K287">
            <v>1.998</v>
          </cell>
          <cell r="L287">
            <v>0.59199999999999997</v>
          </cell>
        </row>
        <row r="288">
          <cell r="C288" t="str">
            <v>37L6528</v>
          </cell>
          <cell r="D288" t="str">
            <v>2FQ74-01</v>
          </cell>
          <cell r="E288" t="str">
            <v>H14882V</v>
          </cell>
          <cell r="F288" t="str">
            <v>UPPER SUPPORT BRACKET</v>
          </cell>
          <cell r="G288">
            <v>1</v>
          </cell>
          <cell r="H288" t="str">
            <v>SM</v>
          </cell>
          <cell r="I288" t="str">
            <v>GI ,  681 x 464 x 1.016</v>
          </cell>
          <cell r="K288">
            <v>1.998</v>
          </cell>
          <cell r="L288">
            <v>0.65300000000000002</v>
          </cell>
        </row>
        <row r="289">
          <cell r="C289" t="str">
            <v>37L6530</v>
          </cell>
          <cell r="D289" t="str">
            <v>2FQ75-01</v>
          </cell>
          <cell r="E289" t="str">
            <v>H14882R</v>
          </cell>
          <cell r="F289" t="str">
            <v>CHASSIS TIE PLATE BRACKET</v>
          </cell>
          <cell r="G289">
            <v>2</v>
          </cell>
          <cell r="H289" t="str">
            <v>SM</v>
          </cell>
          <cell r="I289" t="str">
            <v>GI ,  273 x 133 x 1.016</v>
          </cell>
          <cell r="K289">
            <v>0.247</v>
          </cell>
          <cell r="L289">
            <v>0.128</v>
          </cell>
        </row>
        <row r="290">
          <cell r="C290" t="str">
            <v>37L6531</v>
          </cell>
          <cell r="D290" t="str">
            <v>2FQ76-01</v>
          </cell>
          <cell r="E290" t="str">
            <v>H14882R</v>
          </cell>
          <cell r="F290" t="str">
            <v>BOTTOM STIFFEN BRACKET</v>
          </cell>
          <cell r="G290">
            <v>1</v>
          </cell>
          <cell r="H290" t="str">
            <v>SM</v>
          </cell>
          <cell r="I290" t="str">
            <v>GI ,  451 x 83 x 1.016</v>
          </cell>
          <cell r="K290">
            <v>0.254</v>
          </cell>
          <cell r="L290">
            <v>0.13800000000000001</v>
          </cell>
        </row>
        <row r="291">
          <cell r="C291" t="str">
            <v>37L6551</v>
          </cell>
          <cell r="D291" t="str">
            <v>2FQ77-01</v>
          </cell>
          <cell r="E291" t="str">
            <v>H14882R</v>
          </cell>
          <cell r="F291" t="str">
            <v>COVER SIDE BSE</v>
          </cell>
          <cell r="G291">
            <v>1</v>
          </cell>
          <cell r="H291" t="str">
            <v>SM</v>
          </cell>
          <cell r="I291" t="str">
            <v>GI ,  489 x 379 x 1.016</v>
          </cell>
          <cell r="K291">
            <v>1.18</v>
          </cell>
          <cell r="L291">
            <v>0.57599999999999996</v>
          </cell>
          <cell r="O291">
            <v>1.38</v>
          </cell>
        </row>
        <row r="292">
          <cell r="C292" t="str">
            <v>37L6566</v>
          </cell>
          <cell r="D292" t="str">
            <v>2FQ78-01</v>
          </cell>
          <cell r="E292" t="str">
            <v>H14882C</v>
          </cell>
          <cell r="F292" t="str">
            <v>COVER, SINGLE WIDE MODULE</v>
          </cell>
          <cell r="G292">
            <v>1</v>
          </cell>
          <cell r="H292" t="str">
            <v>SM</v>
          </cell>
          <cell r="I292" t="str">
            <v>GI ,  230 x 160 x 0.813</v>
          </cell>
          <cell r="K292">
            <v>0.20399999999999999</v>
          </cell>
          <cell r="L292">
            <v>0.08</v>
          </cell>
        </row>
        <row r="293">
          <cell r="C293" t="str">
            <v>37L6568</v>
          </cell>
          <cell r="D293" t="str">
            <v>2FK52-01</v>
          </cell>
          <cell r="E293" t="str">
            <v>H14882L</v>
          </cell>
          <cell r="F293" t="str">
            <v>FINGER PULL LOCK</v>
          </cell>
          <cell r="G293" t="str">
            <v>1</v>
          </cell>
          <cell r="H293" t="str">
            <v>SM</v>
          </cell>
          <cell r="I293" t="str">
            <v>SPCC ,  40 x 20 x 1.9</v>
          </cell>
          <cell r="K293">
            <v>2.7E-2</v>
          </cell>
          <cell r="L293">
            <v>5.7000000000000002E-2</v>
          </cell>
          <cell r="O293">
            <v>0.121</v>
          </cell>
        </row>
        <row r="294">
          <cell r="C294" t="str">
            <v>37L6569</v>
          </cell>
          <cell r="D294" t="str">
            <v>2FQ42-01</v>
          </cell>
          <cell r="E294" t="str">
            <v>H14882R</v>
          </cell>
          <cell r="F294" t="str">
            <v>BRACKET, BSE HDD CAGE, BOTTOM</v>
          </cell>
          <cell r="G294">
            <v>1</v>
          </cell>
          <cell r="H294" t="str">
            <v>SM</v>
          </cell>
          <cell r="I294" t="str">
            <v>GI ,  197 x 243 x 0.813</v>
          </cell>
          <cell r="K294">
            <v>0.26</v>
          </cell>
          <cell r="L294">
            <v>0.13</v>
          </cell>
        </row>
        <row r="295">
          <cell r="C295" t="str">
            <v>37L6572</v>
          </cell>
          <cell r="D295" t="str">
            <v>2FQ79-01</v>
          </cell>
          <cell r="E295" t="str">
            <v>H14882L</v>
          </cell>
          <cell r="F295" t="str">
            <v>ENC MODULE BASE</v>
          </cell>
          <cell r="G295">
            <v>1</v>
          </cell>
          <cell r="H295" t="str">
            <v>SM</v>
          </cell>
          <cell r="I295" t="str">
            <v>GI ,  330 x 205 x 0.813</v>
          </cell>
          <cell r="K295">
            <v>0.35899999999999999</v>
          </cell>
          <cell r="L295">
            <v>0.45500000000000002</v>
          </cell>
        </row>
        <row r="296">
          <cell r="C296" t="str">
            <v>37L6587-ITEM1</v>
          </cell>
          <cell r="D296" t="str">
            <v>N/A</v>
          </cell>
          <cell r="E296" t="str">
            <v>H14883L</v>
          </cell>
          <cell r="F296" t="str">
            <v>FILLER SWICH</v>
          </cell>
          <cell r="G296">
            <v>1</v>
          </cell>
          <cell r="H296" t="str">
            <v>SM</v>
          </cell>
          <cell r="I296" t="str">
            <v>GI ,  328 x 388 x 0.813</v>
          </cell>
          <cell r="K296">
            <v>0.65800000000000003</v>
          </cell>
          <cell r="L296">
            <v>0.42599999999999999</v>
          </cell>
        </row>
        <row r="297">
          <cell r="C297" t="str">
            <v>37L6589</v>
          </cell>
          <cell r="D297" t="str">
            <v>2FR58-01</v>
          </cell>
          <cell r="E297" t="str">
            <v xml:space="preserve"> H14882L</v>
          </cell>
          <cell r="F297" t="str">
            <v>POWER SUPPLY FILLER</v>
          </cell>
          <cell r="G297">
            <v>1</v>
          </cell>
          <cell r="H297" t="str">
            <v>SM</v>
          </cell>
          <cell r="I297" t="str">
            <v>GI ,  408 x 234 x 1.016</v>
          </cell>
          <cell r="K297">
            <v>0.61799999999999999</v>
          </cell>
          <cell r="L297">
            <v>0.42299999999999999</v>
          </cell>
        </row>
        <row r="298">
          <cell r="C298" t="str">
            <v>37L6613</v>
          </cell>
          <cell r="D298" t="str">
            <v>2FQ21-01</v>
          </cell>
          <cell r="E298" t="str">
            <v>H14882L</v>
          </cell>
          <cell r="F298" t="str">
            <v>Enclos Bottom LEVER</v>
          </cell>
          <cell r="G298">
            <v>1</v>
          </cell>
          <cell r="H298" t="str">
            <v>SM</v>
          </cell>
          <cell r="I298" t="str">
            <v>SPCC ,  110 x 45 x 1.9</v>
          </cell>
          <cell r="K298">
            <v>6.2E-2</v>
          </cell>
          <cell r="L298">
            <v>6.4000000000000001E-2</v>
          </cell>
          <cell r="O298">
            <v>0.57799999999999996</v>
          </cell>
        </row>
        <row r="299">
          <cell r="C299" t="str">
            <v>37L6615</v>
          </cell>
          <cell r="D299" t="str">
            <v>2FK53-01</v>
          </cell>
          <cell r="E299" t="str">
            <v>H14882A</v>
          </cell>
          <cell r="F299" t="str">
            <v>SPRING LEVER</v>
          </cell>
          <cell r="G299">
            <v>1</v>
          </cell>
          <cell r="H299" t="str">
            <v>SM</v>
          </cell>
          <cell r="I299" t="str">
            <v>SUS301 ,  35 x 10 x 0.4</v>
          </cell>
          <cell r="K299">
            <v>2.5999999999999999E-2</v>
          </cell>
          <cell r="L299">
            <v>5.2999999999999999E-2</v>
          </cell>
        </row>
        <row r="300">
          <cell r="C300" t="str">
            <v>37L6618</v>
          </cell>
          <cell r="D300" t="str">
            <v>2FQ22-01</v>
          </cell>
          <cell r="E300" t="str">
            <v>H14882L</v>
          </cell>
          <cell r="F300" t="str">
            <v>Enclosure Top LEVER</v>
          </cell>
          <cell r="G300">
            <v>1</v>
          </cell>
          <cell r="H300" t="str">
            <v>SM</v>
          </cell>
          <cell r="I300" t="str">
            <v>SPCC ,  110 x 45 x 1.9</v>
          </cell>
          <cell r="K300">
            <v>6.2E-2</v>
          </cell>
          <cell r="L300">
            <v>6.4000000000000001E-2</v>
          </cell>
          <cell r="O300">
            <v>0.57799999999999996</v>
          </cell>
        </row>
        <row r="301">
          <cell r="C301" t="str">
            <v>37L6634</v>
          </cell>
          <cell r="D301" t="str">
            <v>2FQ81-01</v>
          </cell>
          <cell r="E301" t="str">
            <v>H14882T</v>
          </cell>
          <cell r="F301" t="str">
            <v>STIFFENER REAR BRACKET</v>
          </cell>
          <cell r="G301">
            <v>1</v>
          </cell>
          <cell r="H301" t="str">
            <v>SM</v>
          </cell>
          <cell r="I301" t="str">
            <v>GI ,  1080 x 355 x 1.016</v>
          </cell>
          <cell r="K301">
            <v>2.42</v>
          </cell>
          <cell r="L301">
            <v>0.626</v>
          </cell>
        </row>
        <row r="302">
          <cell r="C302" t="str">
            <v>37L6635</v>
          </cell>
          <cell r="D302" t="str">
            <v>2FQ82-01</v>
          </cell>
          <cell r="E302" t="str">
            <v>H14882F</v>
          </cell>
          <cell r="F302" t="str">
            <v>STIFFENER BRACKET</v>
          </cell>
          <cell r="G302">
            <v>1</v>
          </cell>
          <cell r="H302" t="str">
            <v>SM</v>
          </cell>
          <cell r="I302" t="str">
            <v>GI ,  462 x 114 x 1.016</v>
          </cell>
          <cell r="K302">
            <v>0.35</v>
          </cell>
          <cell r="L302">
            <v>0.40100000000000002</v>
          </cell>
        </row>
        <row r="303">
          <cell r="C303" t="str">
            <v>37L6636</v>
          </cell>
          <cell r="D303" t="str">
            <v>2FQ83-01</v>
          </cell>
          <cell r="E303" t="str">
            <v>H14882R</v>
          </cell>
          <cell r="F303" t="str">
            <v>RIGHT SPC CHASSIS HANDLE</v>
          </cell>
          <cell r="G303">
            <v>1</v>
          </cell>
          <cell r="H303" t="str">
            <v>SM</v>
          </cell>
          <cell r="I303" t="str">
            <v>SPCC ,  193 x 30 x 2.6</v>
          </cell>
          <cell r="K303">
            <v>8.6999999999999994E-2</v>
          </cell>
          <cell r="L303">
            <v>0.17599999999999999</v>
          </cell>
        </row>
        <row r="304">
          <cell r="C304" t="str">
            <v>37L6637</v>
          </cell>
          <cell r="D304" t="str">
            <v>2FQ84-01</v>
          </cell>
          <cell r="E304" t="str">
            <v>H14882E</v>
          </cell>
          <cell r="F304" t="str">
            <v>LEFT SPC CHASSIS HANDLE</v>
          </cell>
          <cell r="G304">
            <v>1</v>
          </cell>
          <cell r="H304" t="str">
            <v>SM</v>
          </cell>
          <cell r="I304" t="str">
            <v>SPCC ,  193 x 30 x 2.6</v>
          </cell>
          <cell r="K304">
            <v>8.6999999999999994E-2</v>
          </cell>
          <cell r="L304">
            <v>0.17599999999999999</v>
          </cell>
        </row>
        <row r="305">
          <cell r="C305" t="str">
            <v>37L6638</v>
          </cell>
          <cell r="D305" t="str">
            <v>2FQ85-01</v>
          </cell>
          <cell r="E305" t="str">
            <v>H14882F</v>
          </cell>
          <cell r="F305" t="str">
            <v>EMC FILLER BRACKET</v>
          </cell>
          <cell r="G305">
            <v>2</v>
          </cell>
          <cell r="H305" t="str">
            <v>SM</v>
          </cell>
          <cell r="I305" t="str">
            <v>GI ,  126 x 47 x 1.016</v>
          </cell>
          <cell r="K305">
            <v>5.7000000000000002E-2</v>
          </cell>
          <cell r="L305">
            <v>0.06</v>
          </cell>
        </row>
        <row r="306">
          <cell r="C306" t="str">
            <v>49P2506</v>
          </cell>
          <cell r="D306" t="str">
            <v>2FR02-01</v>
          </cell>
          <cell r="E306" t="str">
            <v>H14882L</v>
          </cell>
          <cell r="F306" t="str">
            <v>MEDIA CABLE BRACKET</v>
          </cell>
          <cell r="G306">
            <v>1</v>
          </cell>
          <cell r="H306" t="str">
            <v>SM</v>
          </cell>
          <cell r="I306" t="str">
            <v>GI ,  305 x 130 x 1.2192</v>
          </cell>
          <cell r="K306">
            <v>0.318</v>
          </cell>
          <cell r="L306">
            <v>0.39800000000000002</v>
          </cell>
        </row>
        <row r="307">
          <cell r="C307" t="str">
            <v>49P2515</v>
          </cell>
          <cell r="D307" t="str">
            <v>2FR03-01</v>
          </cell>
          <cell r="E307" t="str">
            <v>H14882R</v>
          </cell>
          <cell r="F307" t="str">
            <v>SPC INTERLOCK BRACKET</v>
          </cell>
          <cell r="G307">
            <v>2</v>
          </cell>
          <cell r="H307" t="str">
            <v>SM</v>
          </cell>
          <cell r="I307" t="str">
            <v>GI ,  55 x 33 x 1.016</v>
          </cell>
          <cell r="K307">
            <v>3.1E-2</v>
          </cell>
          <cell r="L307">
            <v>5.7000000000000002E-2</v>
          </cell>
        </row>
        <row r="308">
          <cell r="C308" t="str">
            <v>49P2537</v>
          </cell>
          <cell r="D308" t="str">
            <v>2FR04-01</v>
          </cell>
          <cell r="E308" t="str">
            <v>H14882R</v>
          </cell>
          <cell r="F308" t="str">
            <v>BOOKLET SUPPORT BRACKET</v>
          </cell>
          <cell r="G308">
            <v>1</v>
          </cell>
          <cell r="H308" t="str">
            <v>SM</v>
          </cell>
          <cell r="I308" t="str">
            <v>GI ,  445 x 273 x 1.016</v>
          </cell>
          <cell r="K308">
            <v>0.78100000000000003</v>
          </cell>
          <cell r="L308">
            <v>0.27700000000000002</v>
          </cell>
        </row>
        <row r="309">
          <cell r="C309" t="str">
            <v>49P2542</v>
          </cell>
          <cell r="D309" t="str">
            <v>2FR05-01</v>
          </cell>
          <cell r="E309" t="str">
            <v>H14882R</v>
          </cell>
          <cell r="F309" t="str">
            <v>LIFT HANDLE BRACKET</v>
          </cell>
          <cell r="G309">
            <v>4</v>
          </cell>
          <cell r="H309" t="str">
            <v>SM</v>
          </cell>
          <cell r="I309" t="str">
            <v>GI ,  125 x 34 x 1.2192</v>
          </cell>
          <cell r="K309">
            <v>5.1999999999999998E-2</v>
          </cell>
          <cell r="L309">
            <v>5.9000000000000004E-2</v>
          </cell>
        </row>
        <row r="310">
          <cell r="C310" t="str">
            <v>49P2565</v>
          </cell>
          <cell r="D310" t="str">
            <v>2FR06-01</v>
          </cell>
          <cell r="E310" t="str">
            <v>H14882V</v>
          </cell>
          <cell r="F310" t="str">
            <v>MEDIA COVER</v>
          </cell>
          <cell r="G310">
            <v>1</v>
          </cell>
          <cell r="H310" t="str">
            <v>SM</v>
          </cell>
          <cell r="I310" t="str">
            <v>GI ,  434 x 195 x 1.2192</v>
          </cell>
          <cell r="K310">
            <v>0.65600000000000003</v>
          </cell>
          <cell r="L310">
            <v>0.32100000000000001</v>
          </cell>
        </row>
        <row r="311">
          <cell r="C311" t="str">
            <v>49P2573</v>
          </cell>
          <cell r="D311" t="str">
            <v>2FR59-01</v>
          </cell>
          <cell r="E311" t="str">
            <v>H14882L</v>
          </cell>
          <cell r="F311" t="str">
            <v>AIR RESTRICTIO BRACKET</v>
          </cell>
          <cell r="G311">
            <v>1</v>
          </cell>
          <cell r="H311" t="str">
            <v>SM</v>
          </cell>
          <cell r="I311" t="str">
            <v>GI ,  270 x 45 x 0.5</v>
          </cell>
          <cell r="K311">
            <v>5.7000000000000002E-2</v>
          </cell>
          <cell r="L311">
            <v>0.06</v>
          </cell>
          <cell r="O311">
            <v>0.64400000000000002</v>
          </cell>
        </row>
        <row r="312">
          <cell r="C312" t="str">
            <v>49P2576</v>
          </cell>
          <cell r="D312" t="str">
            <v>2FR08-01</v>
          </cell>
          <cell r="E312" t="str">
            <v>H14882L</v>
          </cell>
          <cell r="F312" t="str">
            <v>MGMT MODULE SHIELD</v>
          </cell>
          <cell r="G312">
            <v>1</v>
          </cell>
          <cell r="H312" t="str">
            <v>SM</v>
          </cell>
          <cell r="I312" t="str">
            <v>SUS301 ,  134 x 37 x 0.2</v>
          </cell>
          <cell r="K312">
            <v>5.8999999999999997E-2</v>
          </cell>
          <cell r="L312">
            <v>0.20200000000000001</v>
          </cell>
        </row>
        <row r="313">
          <cell r="C313" t="str">
            <v>49P2577</v>
          </cell>
          <cell r="D313" t="str">
            <v>2FS10-01</v>
          </cell>
          <cell r="E313" t="str">
            <v>H14882R</v>
          </cell>
          <cell r="F313" t="str">
            <v>SHIELD ETHERNET SWITCH MODULE</v>
          </cell>
          <cell r="G313">
            <v>1</v>
          </cell>
          <cell r="H313" t="str">
            <v>SM</v>
          </cell>
          <cell r="I313" t="str">
            <v>SUS301 ,  133 x 43 x 0.2</v>
          </cell>
          <cell r="K313">
            <v>6.5000000000000002E-2</v>
          </cell>
          <cell r="L313">
            <v>0.30199999999999999</v>
          </cell>
        </row>
        <row r="314">
          <cell r="C314" t="str">
            <v>49P2582</v>
          </cell>
          <cell r="D314" t="str">
            <v>2FQ86-01</v>
          </cell>
          <cell r="E314" t="str">
            <v>H14882G</v>
          </cell>
          <cell r="F314" t="str">
            <v>SLIDE LEFT BRACKET</v>
          </cell>
          <cell r="G314">
            <v>1</v>
          </cell>
          <cell r="H314" t="str">
            <v>SM</v>
          </cell>
          <cell r="I314" t="str">
            <v>GI ,  212 x 80 x 1.2192</v>
          </cell>
          <cell r="K314">
            <v>0.14699999999999999</v>
          </cell>
          <cell r="L314">
            <v>0.33300000000000002</v>
          </cell>
        </row>
        <row r="315">
          <cell r="C315" t="str">
            <v>49P2589</v>
          </cell>
          <cell r="D315" t="str">
            <v>2FQ89-01</v>
          </cell>
          <cell r="E315" t="str">
            <v>H14882H</v>
          </cell>
          <cell r="F315" t="str">
            <v>INNER SLIDE L BRACKET</v>
          </cell>
          <cell r="G315">
            <v>1</v>
          </cell>
          <cell r="H315" t="str">
            <v>SM</v>
          </cell>
          <cell r="I315" t="str">
            <v>GI ,  118 x 121 x 1.524</v>
          </cell>
          <cell r="K315">
            <v>0.154</v>
          </cell>
          <cell r="L315">
            <v>0.17499999999999999</v>
          </cell>
        </row>
        <row r="316">
          <cell r="C316" t="str">
            <v>49P2592</v>
          </cell>
          <cell r="D316" t="str">
            <v>2FQ90-01</v>
          </cell>
          <cell r="E316" t="str">
            <v>H14882G</v>
          </cell>
          <cell r="F316" t="str">
            <v>INNER SLIDE R BRACKET</v>
          </cell>
          <cell r="G316">
            <v>1</v>
          </cell>
          <cell r="H316" t="str">
            <v>SM</v>
          </cell>
          <cell r="I316" t="str">
            <v>GI ,  212 x 80 x 1.524</v>
          </cell>
          <cell r="K316">
            <v>0.17899999999999999</v>
          </cell>
          <cell r="L316">
            <v>0.28200000000000003</v>
          </cell>
        </row>
        <row r="317">
          <cell r="C317" t="str">
            <v>49P2598</v>
          </cell>
          <cell r="D317" t="str">
            <v>2FQ93-01</v>
          </cell>
          <cell r="E317" t="str">
            <v>H14882G</v>
          </cell>
          <cell r="F317" t="str">
            <v>INNER SLIDE RT BRACKET</v>
          </cell>
          <cell r="G317">
            <v>1</v>
          </cell>
          <cell r="H317" t="str">
            <v>SM</v>
          </cell>
          <cell r="I317" t="str">
            <v>GI ,  118 x 121 x 1.524</v>
          </cell>
          <cell r="K317">
            <v>0.154</v>
          </cell>
          <cell r="L317">
            <v>0.17499999999999999</v>
          </cell>
        </row>
        <row r="318">
          <cell r="C318" t="str">
            <v>49P2599</v>
          </cell>
          <cell r="D318" t="str">
            <v>2FQ94-01</v>
          </cell>
          <cell r="E318" t="str">
            <v>H14882S</v>
          </cell>
          <cell r="F318" t="str">
            <v>CHASSIS REAR R BRACKET</v>
          </cell>
          <cell r="G318">
            <v>2</v>
          </cell>
          <cell r="H318" t="str">
            <v>SM</v>
          </cell>
          <cell r="I318" t="str">
            <v>SPCC ,  84 x 72 x 1.5</v>
          </cell>
          <cell r="K318">
            <v>0.06</v>
          </cell>
          <cell r="L318">
            <v>0.16300000000000001</v>
          </cell>
        </row>
        <row r="319">
          <cell r="C319" t="str">
            <v>49P2602</v>
          </cell>
          <cell r="D319" t="str">
            <v>2FQ95-01</v>
          </cell>
          <cell r="E319" t="str">
            <v xml:space="preserve"> H14882L</v>
          </cell>
          <cell r="F319" t="str">
            <v>SHIELD FIBER,CHANNEL MODULE</v>
          </cell>
          <cell r="G319">
            <v>1</v>
          </cell>
          <cell r="H319" t="str">
            <v>SM</v>
          </cell>
          <cell r="I319" t="str">
            <v>SUS301 ,  133 x 41 x 0.2</v>
          </cell>
          <cell r="K319">
            <v>6.3E-2</v>
          </cell>
          <cell r="L319">
            <v>0.253</v>
          </cell>
        </row>
        <row r="320">
          <cell r="C320" t="str">
            <v>49P2655</v>
          </cell>
          <cell r="D320" t="str">
            <v>2FQ96-01</v>
          </cell>
          <cell r="E320" t="str">
            <v>H14882E</v>
          </cell>
          <cell r="F320" t="str">
            <v>SAFTY LATCH BRACKET</v>
          </cell>
          <cell r="G320">
            <v>2</v>
          </cell>
          <cell r="H320" t="str">
            <v>SM</v>
          </cell>
          <cell r="I320" t="str">
            <v>SUS301 ,  114 x 116 x 0.8</v>
          </cell>
          <cell r="K320">
            <v>0.438</v>
          </cell>
          <cell r="L320">
            <v>0.187</v>
          </cell>
          <cell r="O320">
            <v>0.33600000000000002</v>
          </cell>
        </row>
        <row r="321">
          <cell r="C321" t="str">
            <v>49P2656</v>
          </cell>
          <cell r="D321" t="str">
            <v>2FQ97-01</v>
          </cell>
          <cell r="E321" t="str">
            <v>H14882L</v>
          </cell>
          <cell r="F321" t="str">
            <v>SMIPPING BRACKET</v>
          </cell>
          <cell r="G321">
            <v>2</v>
          </cell>
          <cell r="H321" t="str">
            <v>SM</v>
          </cell>
          <cell r="I321" t="str">
            <v>SPCC ,  94 x 24 x 2.6</v>
          </cell>
          <cell r="K321">
            <v>4.5999999999999999E-2</v>
          </cell>
          <cell r="L321">
            <v>0.14899999999999999</v>
          </cell>
        </row>
        <row r="322">
          <cell r="C322" t="str">
            <v>49P2679</v>
          </cell>
          <cell r="D322" t="str">
            <v>2FQ98-01</v>
          </cell>
          <cell r="E322" t="str">
            <v>H14882N</v>
          </cell>
          <cell r="F322" t="str">
            <v>BLOWER BAY DOOR</v>
          </cell>
          <cell r="G322">
            <v>2</v>
          </cell>
          <cell r="H322" t="str">
            <v>SM</v>
          </cell>
          <cell r="I322" t="str">
            <v>GI ,  196 x 153 x 1.016</v>
          </cell>
          <cell r="K322">
            <v>0.20799999999999999</v>
          </cell>
          <cell r="L322">
            <v>0.18</v>
          </cell>
        </row>
        <row r="323">
          <cell r="C323" t="str">
            <v>49P2684</v>
          </cell>
          <cell r="E323" t="str">
            <v>H14882L</v>
          </cell>
          <cell r="F323" t="str">
            <v>Muffler Base BRACKET</v>
          </cell>
          <cell r="G323">
            <v>1</v>
          </cell>
          <cell r="H323" t="str">
            <v>SM</v>
          </cell>
          <cell r="I323" t="str">
            <v>GI ,  652 x 376 x 0.813</v>
          </cell>
          <cell r="K323">
            <v>1.248</v>
          </cell>
          <cell r="L323">
            <v>0.40899999999999997</v>
          </cell>
        </row>
        <row r="324">
          <cell r="C324" t="str">
            <v>49P2685</v>
          </cell>
          <cell r="E324" t="str">
            <v>H14882L</v>
          </cell>
          <cell r="F324" t="str">
            <v>Muffler Side BRACKET</v>
          </cell>
          <cell r="G324">
            <v>2</v>
          </cell>
          <cell r="H324" t="str">
            <v>SM</v>
          </cell>
          <cell r="I324" t="str">
            <v>GI ,  320 x 211 x 0.813</v>
          </cell>
          <cell r="K324">
            <v>0.35799999999999998</v>
          </cell>
          <cell r="L324">
            <v>0.45500000000000002</v>
          </cell>
        </row>
        <row r="325">
          <cell r="C325" t="str">
            <v>49P2686</v>
          </cell>
          <cell r="E325" t="str">
            <v>H14882L</v>
          </cell>
          <cell r="F325" t="str">
            <v>Muffler Shaft BRACKET</v>
          </cell>
          <cell r="G325">
            <v>1</v>
          </cell>
          <cell r="H325" t="str">
            <v>SM</v>
          </cell>
          <cell r="I325" t="str">
            <v>GI ,  337 x 56 x 1.2192</v>
          </cell>
          <cell r="K325">
            <v>0.16200000000000001</v>
          </cell>
          <cell r="L325">
            <v>0.28000000000000003</v>
          </cell>
        </row>
        <row r="326">
          <cell r="C326" t="str">
            <v>74P5156 ITEM 1</v>
          </cell>
          <cell r="D326" t="str">
            <v>2FQ43-01</v>
          </cell>
          <cell r="E326" t="str">
            <v>H14882R</v>
          </cell>
          <cell r="F326" t="str">
            <v>BRACKET, BSE HDD CAGE, TOP</v>
          </cell>
          <cell r="G326">
            <v>1</v>
          </cell>
          <cell r="H326" t="str">
            <v>SM</v>
          </cell>
          <cell r="I326" t="str">
            <v>GI ,  203 x 216 x 0.813</v>
          </cell>
          <cell r="K326">
            <v>0.24</v>
          </cell>
          <cell r="L326">
            <v>0.128</v>
          </cell>
        </row>
        <row r="327">
          <cell r="C327" t="str">
            <v>74P5156 ITEM 2</v>
          </cell>
          <cell r="D327" t="str">
            <v>2FT85-01</v>
          </cell>
          <cell r="E327" t="str">
            <v>H14882R</v>
          </cell>
          <cell r="F327" t="str">
            <v>BRACKET, BSE HDD CAGE, TOP-74P5156-ITEM2</v>
          </cell>
          <cell r="G327">
            <v>1</v>
          </cell>
          <cell r="H327" t="str">
            <v>SM</v>
          </cell>
          <cell r="I327" t="str">
            <v>GI ,  69 x 37 x 0.813</v>
          </cell>
          <cell r="K327">
            <v>3.3000000000000002E-2</v>
          </cell>
          <cell r="L327">
            <v>6.0999999999999999E-2</v>
          </cell>
        </row>
        <row r="328">
          <cell r="C328" t="str">
            <v>90P4709-ITEM1</v>
          </cell>
          <cell r="D328" t="str">
            <v>2FQ25-11</v>
          </cell>
          <cell r="E328" t="str">
            <v>H16634E</v>
          </cell>
          <cell r="F328" t="str">
            <v>BLADE BASE ENCLOSURE</v>
          </cell>
          <cell r="G328">
            <v>1</v>
          </cell>
          <cell r="H328" t="str">
            <v>SM</v>
          </cell>
          <cell r="I328" t="str">
            <v>GI ,  435 x 325 x 1.016</v>
          </cell>
          <cell r="K328">
            <v>0.90500000000000003</v>
          </cell>
          <cell r="L328">
            <v>0.47499999999999998</v>
          </cell>
        </row>
        <row r="329">
          <cell r="C329" t="str">
            <v>90P4709-ITEM2</v>
          </cell>
          <cell r="D329" t="str">
            <v>2FQ46-01</v>
          </cell>
          <cell r="E329" t="str">
            <v>H16635E</v>
          </cell>
          <cell r="F329" t="str">
            <v>LATCH</v>
          </cell>
          <cell r="G329">
            <v>1</v>
          </cell>
          <cell r="H329" t="str">
            <v>SM</v>
          </cell>
          <cell r="I329" t="str">
            <v>SUS301 ,  125 x 20 x 0.5</v>
          </cell>
          <cell r="K329">
            <v>6.9000000000000006E-2</v>
          </cell>
          <cell r="L329">
            <v>0.06</v>
          </cell>
        </row>
        <row r="330">
          <cell r="C330" t="str">
            <v>90P4709-ITEM3</v>
          </cell>
          <cell r="D330" t="str">
            <v>2FQ47-01</v>
          </cell>
          <cell r="E330" t="str">
            <v>H16636E</v>
          </cell>
          <cell r="F330" t="str">
            <v>LATCH</v>
          </cell>
          <cell r="G330">
            <v>1</v>
          </cell>
          <cell r="H330" t="str">
            <v>SM</v>
          </cell>
          <cell r="I330" t="str">
            <v>SUS301 ,  125 x 20 x 0.5</v>
          </cell>
          <cell r="K330">
            <v>6.9000000000000006E-2</v>
          </cell>
          <cell r="L330">
            <v>0.06</v>
          </cell>
        </row>
        <row r="331">
          <cell r="C331" t="str">
            <v>90P4762</v>
          </cell>
          <cell r="D331" t="str">
            <v>2FR60-01</v>
          </cell>
          <cell r="E331" t="str">
            <v>H16633H</v>
          </cell>
          <cell r="F331" t="str">
            <v>SBCI SPRING</v>
          </cell>
          <cell r="G331">
            <v>1</v>
          </cell>
          <cell r="H331" t="str">
            <v>SM</v>
          </cell>
          <cell r="I331" t="str">
            <v>GI ,  380 x 100 x 1.016</v>
          </cell>
          <cell r="K331">
            <v>0.25800000000000001</v>
          </cell>
          <cell r="L331">
            <v>0.23400000000000001</v>
          </cell>
          <cell r="O331">
            <v>1.3009999999999999</v>
          </cell>
        </row>
        <row r="332">
          <cell r="C332" t="str">
            <v>90P4794</v>
          </cell>
          <cell r="D332" t="str">
            <v>2FQ20-01</v>
          </cell>
          <cell r="E332" t="str">
            <v>H16448J</v>
          </cell>
          <cell r="F332" t="str">
            <v>BLADE ENCLOS COVER</v>
          </cell>
          <cell r="G332">
            <v>1</v>
          </cell>
          <cell r="H332" t="str">
            <v>SM</v>
          </cell>
          <cell r="I332" t="str">
            <v>GI ,  420 x 310 x 1.016</v>
          </cell>
          <cell r="K332">
            <v>0.83499999999999996</v>
          </cell>
          <cell r="L332">
            <v>0.38900000000000001</v>
          </cell>
        </row>
        <row r="333">
          <cell r="C333" t="str">
            <v>02R9038</v>
          </cell>
          <cell r="E333" t="str">
            <v>H14882J</v>
          </cell>
          <cell r="F333" t="str">
            <v>ARTWORK</v>
          </cell>
          <cell r="G333">
            <v>0</v>
          </cell>
          <cell r="H333" t="str">
            <v>TEXT</v>
          </cell>
        </row>
        <row r="334">
          <cell r="C334" t="str">
            <v>02R9046</v>
          </cell>
          <cell r="E334" t="str">
            <v>H14882C</v>
          </cell>
          <cell r="F334" t="str">
            <v>Customer Write</v>
          </cell>
          <cell r="G334">
            <v>6</v>
          </cell>
          <cell r="H334" t="str">
            <v>TEXT</v>
          </cell>
        </row>
        <row r="335">
          <cell r="C335" t="str">
            <v>31L5039</v>
          </cell>
          <cell r="E335" t="str">
            <v>H16834K</v>
          </cell>
          <cell r="F335" t="str">
            <v>INST INSTR</v>
          </cell>
          <cell r="G335">
            <v>0</v>
          </cell>
          <cell r="H335" t="str">
            <v>TEXT</v>
          </cell>
        </row>
        <row r="336">
          <cell r="C336" t="str">
            <v>73P6154</v>
          </cell>
          <cell r="D336" t="str">
            <v>N/A</v>
          </cell>
          <cell r="E336" t="str">
            <v>H14882A</v>
          </cell>
          <cell r="F336" t="str">
            <v>BEZEL FRONT ARTWORK</v>
          </cell>
          <cell r="G336">
            <v>0</v>
          </cell>
          <cell r="H336" t="str">
            <v>TEXT</v>
          </cell>
        </row>
        <row r="337">
          <cell r="C337" t="str">
            <v>90P4798</v>
          </cell>
          <cell r="D337" t="str">
            <v>N/A</v>
          </cell>
          <cell r="E337" t="str">
            <v>N/A</v>
          </cell>
          <cell r="F337" t="str">
            <v xml:space="preserve">ARTWORK </v>
          </cell>
          <cell r="H337" t="str">
            <v>TEXT</v>
          </cell>
        </row>
        <row r="338">
          <cell r="C338" t="str">
            <v>48P7078</v>
          </cell>
          <cell r="D338" t="str">
            <v>2FT90-01</v>
          </cell>
          <cell r="E338" t="str">
            <v>H14882F</v>
          </cell>
          <cell r="F338" t="str">
            <v>L1 COPT MODULE FILLER</v>
          </cell>
        </row>
        <row r="339">
          <cell r="C339" t="str">
            <v>49P2522</v>
          </cell>
          <cell r="E339" t="str">
            <v>H14882K</v>
          </cell>
          <cell r="F339" t="str">
            <v>MEDIA TRAY ASM</v>
          </cell>
        </row>
        <row r="340">
          <cell r="C340" t="str">
            <v>49P2523</v>
          </cell>
          <cell r="E340" t="str">
            <v>H14828J</v>
          </cell>
          <cell r="F340" t="str">
            <v>Misc Parts Kit</v>
          </cell>
          <cell r="G340">
            <v>1</v>
          </cell>
        </row>
        <row r="341">
          <cell r="C341" t="str">
            <v>73P6641</v>
          </cell>
          <cell r="D341" t="str">
            <v>2FT12-01</v>
          </cell>
          <cell r="E341" t="str">
            <v>H15410M</v>
          </cell>
          <cell r="F341" t="str">
            <v>ASM MODULE ENCLOSURE</v>
          </cell>
        </row>
        <row r="342">
          <cell r="C342" t="str">
            <v>73P6646</v>
          </cell>
          <cell r="D342" t="str">
            <v>2FT13-01</v>
          </cell>
          <cell r="E342" t="str">
            <v>H15410M</v>
          </cell>
          <cell r="F342" t="str">
            <v>MODULE FILLER</v>
          </cell>
        </row>
        <row r="343">
          <cell r="C343" t="str">
            <v>90P4710</v>
          </cell>
          <cell r="D343" t="str">
            <v>2FT26-01</v>
          </cell>
          <cell r="E343" t="str">
            <v>H16633E</v>
          </cell>
          <cell r="F343" t="str">
            <v>Blade Base ASM</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B3" t="str">
            <v>02R9003</v>
          </cell>
          <cell r="C3" t="str">
            <v>Glasgow(sea)</v>
          </cell>
          <cell r="D3" t="str">
            <v>DDU</v>
          </cell>
          <cell r="E3">
            <v>864</v>
          </cell>
          <cell r="F3">
            <v>24</v>
          </cell>
          <cell r="G3">
            <v>864</v>
          </cell>
          <cell r="H3">
            <v>1.1040000000000001</v>
          </cell>
          <cell r="I3">
            <v>1.1040000000000001</v>
          </cell>
          <cell r="J3">
            <v>15</v>
          </cell>
          <cell r="K3">
            <v>100</v>
          </cell>
          <cell r="L3">
            <v>30</v>
          </cell>
          <cell r="M3">
            <v>39.744</v>
          </cell>
          <cell r="N3">
            <v>77.28</v>
          </cell>
          <cell r="O3">
            <v>60</v>
          </cell>
          <cell r="P3">
            <v>0</v>
          </cell>
          <cell r="Q3">
            <v>67.5</v>
          </cell>
          <cell r="R3">
            <v>20.700000000000003</v>
          </cell>
          <cell r="S3">
            <v>0</v>
          </cell>
          <cell r="T3">
            <v>99.360000000000014</v>
          </cell>
          <cell r="V3">
            <v>509.584</v>
          </cell>
          <cell r="W3">
            <v>400</v>
          </cell>
          <cell r="X3">
            <v>0.58979629629629626</v>
          </cell>
          <cell r="Y3">
            <v>0.108</v>
          </cell>
          <cell r="Z3">
            <v>0.10769230769230768</v>
          </cell>
          <cell r="AA3">
            <v>0.313</v>
          </cell>
        </row>
        <row r="4">
          <cell r="B4" t="str">
            <v>02R9007</v>
          </cell>
          <cell r="C4" t="str">
            <v>Glasgow(sea)</v>
          </cell>
          <cell r="D4" t="str">
            <v>DDU</v>
          </cell>
          <cell r="E4">
            <v>180</v>
          </cell>
          <cell r="F4">
            <v>30</v>
          </cell>
          <cell r="G4">
            <v>30</v>
          </cell>
          <cell r="H4">
            <v>1.04139</v>
          </cell>
          <cell r="I4">
            <v>6.2483400000000007</v>
          </cell>
          <cell r="J4">
            <v>15</v>
          </cell>
          <cell r="K4">
            <v>140</v>
          </cell>
          <cell r="L4">
            <v>30</v>
          </cell>
          <cell r="M4">
            <v>224.94024000000002</v>
          </cell>
          <cell r="N4">
            <v>437.38380000000006</v>
          </cell>
          <cell r="O4">
            <v>60</v>
          </cell>
          <cell r="P4">
            <v>0</v>
          </cell>
          <cell r="Q4">
            <v>67.5</v>
          </cell>
          <cell r="R4">
            <v>117.15637500000001</v>
          </cell>
          <cell r="S4">
            <v>0</v>
          </cell>
          <cell r="T4">
            <v>562.3506000000001</v>
          </cell>
          <cell r="V4">
            <v>1654.3310150000002</v>
          </cell>
          <cell r="W4">
            <v>400</v>
          </cell>
          <cell r="X4">
            <v>9.1907278611111121</v>
          </cell>
          <cell r="Y4">
            <v>0.58599999999999997</v>
          </cell>
          <cell r="Z4">
            <v>0.58589743589743593</v>
          </cell>
          <cell r="AA4">
            <v>0.5</v>
          </cell>
        </row>
        <row r="5">
          <cell r="B5" t="str">
            <v>02R9058</v>
          </cell>
          <cell r="C5" t="str">
            <v>Glasgow(sea)</v>
          </cell>
          <cell r="D5" t="str">
            <v>DDU</v>
          </cell>
          <cell r="E5">
            <v>360</v>
          </cell>
          <cell r="F5">
            <v>30</v>
          </cell>
          <cell r="G5">
            <v>360</v>
          </cell>
          <cell r="H5">
            <v>0.95804800000000001</v>
          </cell>
          <cell r="I5">
            <v>1</v>
          </cell>
          <cell r="J5">
            <v>15</v>
          </cell>
          <cell r="K5">
            <v>100</v>
          </cell>
          <cell r="L5">
            <v>30</v>
          </cell>
          <cell r="M5">
            <v>36</v>
          </cell>
          <cell r="N5">
            <v>70</v>
          </cell>
          <cell r="O5">
            <v>60</v>
          </cell>
          <cell r="P5">
            <v>0</v>
          </cell>
          <cell r="Q5">
            <v>67.5</v>
          </cell>
          <cell r="R5">
            <v>18.75</v>
          </cell>
          <cell r="S5">
            <v>0</v>
          </cell>
          <cell r="T5">
            <v>90</v>
          </cell>
          <cell r="V5">
            <v>487.25</v>
          </cell>
          <cell r="W5">
            <v>400</v>
          </cell>
          <cell r="X5">
            <v>1.3534722222222222</v>
          </cell>
          <cell r="Y5">
            <v>0.13400000000000001</v>
          </cell>
          <cell r="Z5">
            <v>0.13333333333333333</v>
          </cell>
          <cell r="AA5">
            <v>4.2000000000000003E-2</v>
          </cell>
        </row>
        <row r="6">
          <cell r="B6" t="str">
            <v>02R9063</v>
          </cell>
          <cell r="C6" t="str">
            <v>Glasgow(sea)</v>
          </cell>
          <cell r="D6" t="str">
            <v>DDU</v>
          </cell>
          <cell r="E6">
            <v>2592</v>
          </cell>
          <cell r="F6">
            <v>216</v>
          </cell>
          <cell r="G6">
            <v>2592</v>
          </cell>
          <cell r="H6">
            <v>1.0992</v>
          </cell>
          <cell r="I6">
            <v>1.0992</v>
          </cell>
          <cell r="J6">
            <v>15</v>
          </cell>
          <cell r="K6">
            <v>100</v>
          </cell>
          <cell r="L6">
            <v>30</v>
          </cell>
          <cell r="M6">
            <v>39.571199999999997</v>
          </cell>
          <cell r="N6">
            <v>76.944000000000003</v>
          </cell>
          <cell r="O6">
            <v>60</v>
          </cell>
          <cell r="P6">
            <v>0</v>
          </cell>
          <cell r="Q6">
            <v>67.5</v>
          </cell>
          <cell r="R6">
            <v>20.61</v>
          </cell>
          <cell r="S6">
            <v>0</v>
          </cell>
          <cell r="T6">
            <v>98.927999999999997</v>
          </cell>
          <cell r="V6">
            <v>508.5532</v>
          </cell>
          <cell r="W6">
            <v>400</v>
          </cell>
          <cell r="X6">
            <v>0.19620108024691357</v>
          </cell>
          <cell r="Y6">
            <v>2.2000000000000002E-2</v>
          </cell>
          <cell r="Z6">
            <v>2.1794871794871797E-2</v>
          </cell>
          <cell r="AA6">
            <v>6.0000000000000001E-3</v>
          </cell>
        </row>
        <row r="7">
          <cell r="B7" t="str">
            <v>02R9065</v>
          </cell>
          <cell r="C7" t="str">
            <v>Glasgow(sea)</v>
          </cell>
          <cell r="D7" t="str">
            <v>DDU</v>
          </cell>
          <cell r="E7">
            <v>1152</v>
          </cell>
          <cell r="F7">
            <v>192</v>
          </cell>
          <cell r="G7">
            <v>384</v>
          </cell>
          <cell r="H7">
            <v>1.3417343999999998</v>
          </cell>
          <cell r="I7">
            <v>4.0252031999999991</v>
          </cell>
          <cell r="J7">
            <v>15</v>
          </cell>
          <cell r="K7">
            <v>100</v>
          </cell>
          <cell r="L7">
            <v>30</v>
          </cell>
          <cell r="M7">
            <v>144.90731519999997</v>
          </cell>
          <cell r="N7">
            <v>281.76422399999996</v>
          </cell>
          <cell r="O7">
            <v>60</v>
          </cell>
          <cell r="P7">
            <v>0</v>
          </cell>
          <cell r="Q7">
            <v>67.5</v>
          </cell>
          <cell r="R7">
            <v>75.472559999999987</v>
          </cell>
          <cell r="S7">
            <v>0</v>
          </cell>
          <cell r="T7">
            <v>362.26828799999993</v>
          </cell>
          <cell r="V7">
            <v>1136.9123871999998</v>
          </cell>
          <cell r="W7">
            <v>400</v>
          </cell>
          <cell r="X7">
            <v>0.98690311388888874</v>
          </cell>
          <cell r="Y7">
            <v>9.5000000000000001E-2</v>
          </cell>
          <cell r="Z7">
            <v>9.4871794871794868E-2</v>
          </cell>
          <cell r="AA7">
            <v>0.04</v>
          </cell>
        </row>
        <row r="8">
          <cell r="B8" t="str">
            <v>02R9168</v>
          </cell>
          <cell r="C8" t="str">
            <v>Glasgow(sea)</v>
          </cell>
          <cell r="D8" t="str">
            <v>DDU</v>
          </cell>
          <cell r="E8">
            <v>180</v>
          </cell>
          <cell r="F8">
            <v>3</v>
          </cell>
          <cell r="G8">
            <v>6</v>
          </cell>
          <cell r="H8">
            <v>1.1170800000000001</v>
          </cell>
          <cell r="I8">
            <v>33.5124</v>
          </cell>
          <cell r="J8">
            <v>15</v>
          </cell>
          <cell r="K8">
            <v>340</v>
          </cell>
          <cell r="L8">
            <v>30</v>
          </cell>
          <cell r="M8">
            <v>1206.4464</v>
          </cell>
          <cell r="N8">
            <v>2345.8679999999999</v>
          </cell>
          <cell r="O8">
            <v>60</v>
          </cell>
          <cell r="P8">
            <v>0</v>
          </cell>
          <cell r="Q8">
            <v>67.5</v>
          </cell>
          <cell r="R8">
            <v>628.35749999999996</v>
          </cell>
          <cell r="S8">
            <v>0</v>
          </cell>
          <cell r="T8">
            <v>3016.116</v>
          </cell>
          <cell r="V8">
            <v>7709.2879000000003</v>
          </cell>
          <cell r="W8">
            <v>400</v>
          </cell>
          <cell r="X8">
            <v>42.82937722222222</v>
          </cell>
          <cell r="Y8">
            <v>5.0120000000000005</v>
          </cell>
          <cell r="Z8">
            <v>5.0115384615384624</v>
          </cell>
          <cell r="AA8">
            <v>2.5</v>
          </cell>
        </row>
        <row r="9">
          <cell r="B9" t="str">
            <v>02R9169</v>
          </cell>
          <cell r="C9" t="str">
            <v>Glasgow(sea)</v>
          </cell>
          <cell r="D9" t="str">
            <v>DDU</v>
          </cell>
          <cell r="E9">
            <v>120</v>
          </cell>
          <cell r="F9">
            <v>3</v>
          </cell>
          <cell r="G9">
            <v>6</v>
          </cell>
          <cell r="H9">
            <v>1.1170800000000001</v>
          </cell>
          <cell r="I9">
            <v>22.3416</v>
          </cell>
          <cell r="J9">
            <v>15</v>
          </cell>
          <cell r="K9">
            <v>310</v>
          </cell>
          <cell r="L9">
            <v>30</v>
          </cell>
          <cell r="M9">
            <v>804.29759999999999</v>
          </cell>
          <cell r="N9">
            <v>1563.912</v>
          </cell>
          <cell r="O9">
            <v>60</v>
          </cell>
          <cell r="P9">
            <v>0</v>
          </cell>
          <cell r="Q9">
            <v>67.5</v>
          </cell>
          <cell r="R9">
            <v>418.90499999999997</v>
          </cell>
          <cell r="S9">
            <v>0</v>
          </cell>
          <cell r="T9">
            <v>2010.7439999999999</v>
          </cell>
          <cell r="V9">
            <v>5280.3585999999996</v>
          </cell>
          <cell r="W9">
            <v>400</v>
          </cell>
          <cell r="X9">
            <v>44.002988333333327</v>
          </cell>
          <cell r="Y9">
            <v>5.0090000000000003</v>
          </cell>
          <cell r="Z9">
            <v>5.0089743589743589</v>
          </cell>
          <cell r="AA9">
            <v>2.5</v>
          </cell>
        </row>
        <row r="10">
          <cell r="B10" t="str">
            <v>02R9183</v>
          </cell>
          <cell r="C10" t="str">
            <v>Glasgow(sea)</v>
          </cell>
          <cell r="D10" t="str">
            <v>DDU</v>
          </cell>
          <cell r="E10">
            <v>108</v>
          </cell>
          <cell r="F10">
            <v>18</v>
          </cell>
          <cell r="G10">
            <v>36</v>
          </cell>
          <cell r="H10">
            <v>1.0452431999999998</v>
          </cell>
          <cell r="I10">
            <v>3.1357295999999995</v>
          </cell>
          <cell r="J10">
            <v>15</v>
          </cell>
          <cell r="K10">
            <v>100</v>
          </cell>
          <cell r="L10">
            <v>30</v>
          </cell>
          <cell r="M10">
            <v>112.88626559999997</v>
          </cell>
          <cell r="N10">
            <v>219.50107199999997</v>
          </cell>
          <cell r="O10">
            <v>60</v>
          </cell>
          <cell r="P10">
            <v>0</v>
          </cell>
          <cell r="Q10">
            <v>67.5</v>
          </cell>
          <cell r="R10">
            <v>58.794929999999987</v>
          </cell>
          <cell r="S10">
            <v>0</v>
          </cell>
          <cell r="T10">
            <v>282.21566399999995</v>
          </cell>
          <cell r="V10">
            <v>945.89793159999988</v>
          </cell>
          <cell r="W10">
            <v>400</v>
          </cell>
          <cell r="X10">
            <v>8.7583141814814809</v>
          </cell>
          <cell r="Y10">
            <v>1.69</v>
          </cell>
          <cell r="Z10">
            <v>1.6897435897435897</v>
          </cell>
          <cell r="AA10">
            <v>0.41699999999999998</v>
          </cell>
        </row>
        <row r="11">
          <cell r="B11" t="str">
            <v>13N2634</v>
          </cell>
          <cell r="C11" t="str">
            <v>Glasgow(sea)</v>
          </cell>
          <cell r="D11" t="str">
            <v>DDU</v>
          </cell>
          <cell r="E11">
            <v>270</v>
          </cell>
          <cell r="F11">
            <v>90</v>
          </cell>
          <cell r="G11">
            <v>90</v>
          </cell>
          <cell r="H11">
            <v>1.0871999999999999</v>
          </cell>
          <cell r="I11">
            <v>3.2615999999999996</v>
          </cell>
          <cell r="J11">
            <v>15</v>
          </cell>
          <cell r="K11">
            <v>100</v>
          </cell>
          <cell r="L11">
            <v>30</v>
          </cell>
          <cell r="M11">
            <v>117.41759999999999</v>
          </cell>
          <cell r="N11">
            <v>228.31199999999998</v>
          </cell>
          <cell r="O11">
            <v>60</v>
          </cell>
          <cell r="P11">
            <v>0</v>
          </cell>
          <cell r="Q11">
            <v>67.5</v>
          </cell>
          <cell r="R11">
            <v>61.154999999999994</v>
          </cell>
          <cell r="S11">
            <v>0</v>
          </cell>
          <cell r="T11">
            <v>293.54399999999998</v>
          </cell>
          <cell r="V11">
            <v>972.92859999999996</v>
          </cell>
          <cell r="W11">
            <v>400</v>
          </cell>
          <cell r="X11">
            <v>3.6034392592592592</v>
          </cell>
          <cell r="Y11">
            <v>0.308</v>
          </cell>
          <cell r="Z11">
            <v>0.30769230769230771</v>
          </cell>
          <cell r="AA11">
            <v>0.16700000000000001</v>
          </cell>
        </row>
        <row r="12">
          <cell r="B12" t="str">
            <v>37l6505</v>
          </cell>
          <cell r="C12" t="str">
            <v>Glasgow(sea)</v>
          </cell>
          <cell r="D12" t="str">
            <v>DDU</v>
          </cell>
          <cell r="E12">
            <v>54</v>
          </cell>
          <cell r="F12">
            <v>18</v>
          </cell>
          <cell r="G12">
            <v>18</v>
          </cell>
          <cell r="H12">
            <v>1.1466000000000001</v>
          </cell>
          <cell r="I12">
            <v>3.4398</v>
          </cell>
          <cell r="J12">
            <v>15</v>
          </cell>
          <cell r="K12">
            <v>100</v>
          </cell>
          <cell r="L12">
            <v>30</v>
          </cell>
          <cell r="M12">
            <v>123.83279999999999</v>
          </cell>
          <cell r="N12">
            <v>240.786</v>
          </cell>
          <cell r="O12">
            <v>60</v>
          </cell>
          <cell r="P12">
            <v>0</v>
          </cell>
          <cell r="Q12">
            <v>67.5</v>
          </cell>
          <cell r="R12">
            <v>64.496250000000003</v>
          </cell>
          <cell r="S12">
            <v>0</v>
          </cell>
          <cell r="T12">
            <v>309.58199999999999</v>
          </cell>
          <cell r="V12">
            <v>1011.19705</v>
          </cell>
          <cell r="W12">
            <v>400</v>
          </cell>
          <cell r="X12">
            <v>18.725871296296297</v>
          </cell>
          <cell r="Y12">
            <v>1.1269999999999998</v>
          </cell>
          <cell r="Z12">
            <v>1.1269230769230769</v>
          </cell>
          <cell r="AA12">
            <v>0.83399999999999996</v>
          </cell>
        </row>
        <row r="13">
          <cell r="B13" t="str">
            <v>37L6568</v>
          </cell>
          <cell r="C13" t="str">
            <v>Glasgow(sea)</v>
          </cell>
          <cell r="D13" t="str">
            <v>DDU</v>
          </cell>
          <cell r="E13">
            <v>2000</v>
          </cell>
          <cell r="F13">
            <v>2000</v>
          </cell>
          <cell r="G13">
            <v>36000</v>
          </cell>
          <cell r="H13">
            <v>1.1629800000000001</v>
          </cell>
          <cell r="I13">
            <v>1</v>
          </cell>
          <cell r="J13">
            <v>15</v>
          </cell>
          <cell r="K13">
            <v>100</v>
          </cell>
          <cell r="L13">
            <v>30</v>
          </cell>
          <cell r="M13">
            <v>36</v>
          </cell>
          <cell r="N13">
            <v>70</v>
          </cell>
          <cell r="O13">
            <v>60</v>
          </cell>
          <cell r="P13">
            <v>0</v>
          </cell>
          <cell r="Q13">
            <v>67.5</v>
          </cell>
          <cell r="R13">
            <v>18.75</v>
          </cell>
          <cell r="S13">
            <v>0</v>
          </cell>
          <cell r="T13">
            <v>90</v>
          </cell>
          <cell r="V13">
            <v>487.25</v>
          </cell>
          <cell r="W13">
            <v>400</v>
          </cell>
          <cell r="X13">
            <v>0.24362500000000001</v>
          </cell>
          <cell r="Y13">
            <v>2.4E-2</v>
          </cell>
          <cell r="Z13">
            <v>2.3076923076923078E-2</v>
          </cell>
          <cell r="AA13">
            <v>4.0000000000000001E-3</v>
          </cell>
        </row>
        <row r="14">
          <cell r="B14" t="str">
            <v>37L6571</v>
          </cell>
          <cell r="C14" t="str">
            <v>Glasgow(sea)</v>
          </cell>
          <cell r="D14" t="str">
            <v>DDU</v>
          </cell>
          <cell r="E14">
            <v>360</v>
          </cell>
          <cell r="F14">
            <v>30</v>
          </cell>
          <cell r="G14">
            <v>360</v>
          </cell>
          <cell r="H14">
            <v>0.95804800000000001</v>
          </cell>
          <cell r="I14">
            <v>1</v>
          </cell>
          <cell r="J14">
            <v>15</v>
          </cell>
          <cell r="K14">
            <v>100</v>
          </cell>
          <cell r="L14">
            <v>30</v>
          </cell>
          <cell r="M14">
            <v>36</v>
          </cell>
          <cell r="N14">
            <v>70</v>
          </cell>
          <cell r="O14">
            <v>60</v>
          </cell>
          <cell r="P14">
            <v>0</v>
          </cell>
          <cell r="Q14">
            <v>67.5</v>
          </cell>
          <cell r="R14">
            <v>18.75</v>
          </cell>
          <cell r="S14">
            <v>0</v>
          </cell>
          <cell r="T14">
            <v>90</v>
          </cell>
          <cell r="V14">
            <v>487.25</v>
          </cell>
          <cell r="W14">
            <v>400</v>
          </cell>
          <cell r="X14">
            <v>1.3534722222222222</v>
          </cell>
          <cell r="Y14">
            <v>0.13400000000000001</v>
          </cell>
          <cell r="Z14">
            <v>0.13333333333333333</v>
          </cell>
          <cell r="AA14">
            <v>4.2000000000000003E-2</v>
          </cell>
        </row>
        <row r="15">
          <cell r="B15" t="str">
            <v>48P7076</v>
          </cell>
          <cell r="C15" t="str">
            <v>Glasgow(sea)</v>
          </cell>
          <cell r="D15" t="str">
            <v>DDU</v>
          </cell>
          <cell r="E15">
            <v>3360</v>
          </cell>
          <cell r="F15">
            <v>1680</v>
          </cell>
          <cell r="G15">
            <v>3360</v>
          </cell>
          <cell r="H15">
            <v>1.0725119999999999</v>
          </cell>
          <cell r="I15">
            <v>1.0725119999999999</v>
          </cell>
          <cell r="J15">
            <v>15</v>
          </cell>
          <cell r="K15">
            <v>100</v>
          </cell>
          <cell r="L15">
            <v>30</v>
          </cell>
          <cell r="M15">
            <v>38.610431999999996</v>
          </cell>
          <cell r="N15">
            <v>75.075839999999999</v>
          </cell>
          <cell r="O15">
            <v>60</v>
          </cell>
          <cell r="P15">
            <v>0</v>
          </cell>
          <cell r="Q15">
            <v>67.5</v>
          </cell>
          <cell r="R15">
            <v>20.109599999999997</v>
          </cell>
          <cell r="S15">
            <v>0</v>
          </cell>
          <cell r="T15">
            <v>96.526079999999993</v>
          </cell>
          <cell r="V15">
            <v>502.82195200000001</v>
          </cell>
          <cell r="W15">
            <v>400</v>
          </cell>
          <cell r="X15">
            <v>0.14964939047619047</v>
          </cell>
          <cell r="Y15">
            <v>2.9000000000000001E-2</v>
          </cell>
          <cell r="Z15">
            <v>2.8205128205128206E-2</v>
          </cell>
          <cell r="AA15">
            <v>5.0000000000000001E-3</v>
          </cell>
        </row>
        <row r="16">
          <cell r="B16" t="str">
            <v>48P7077</v>
          </cell>
          <cell r="C16" t="str">
            <v>Glasgow(sea)</v>
          </cell>
          <cell r="D16" t="str">
            <v>DDU</v>
          </cell>
          <cell r="E16">
            <v>1152</v>
          </cell>
          <cell r="F16">
            <v>192</v>
          </cell>
          <cell r="G16">
            <v>384</v>
          </cell>
          <cell r="H16">
            <v>1.3417343999999998</v>
          </cell>
          <cell r="I16">
            <v>4.0252031999999991</v>
          </cell>
          <cell r="J16">
            <v>15</v>
          </cell>
          <cell r="K16">
            <v>100</v>
          </cell>
          <cell r="L16">
            <v>30</v>
          </cell>
          <cell r="M16">
            <v>144.90731519999997</v>
          </cell>
          <cell r="N16">
            <v>281.76422399999996</v>
          </cell>
          <cell r="O16">
            <v>60</v>
          </cell>
          <cell r="P16">
            <v>0</v>
          </cell>
          <cell r="Q16">
            <v>67.5</v>
          </cell>
          <cell r="R16">
            <v>75.472559999999987</v>
          </cell>
          <cell r="S16">
            <v>0</v>
          </cell>
          <cell r="T16">
            <v>362.26828799999993</v>
          </cell>
          <cell r="V16">
            <v>1136.9123871999998</v>
          </cell>
          <cell r="W16">
            <v>400</v>
          </cell>
          <cell r="X16">
            <v>0.98690311388888874</v>
          </cell>
          <cell r="Y16">
            <v>9.5000000000000001E-2</v>
          </cell>
          <cell r="Z16">
            <v>9.4871794871794868E-2</v>
          </cell>
          <cell r="AA16">
            <v>0.04</v>
          </cell>
        </row>
        <row r="17">
          <cell r="B17" t="str">
            <v>48P7078</v>
          </cell>
          <cell r="C17" t="str">
            <v>Glasgow(sea)</v>
          </cell>
          <cell r="D17" t="str">
            <v>DDU</v>
          </cell>
          <cell r="E17">
            <v>1080</v>
          </cell>
          <cell r="F17">
            <v>30</v>
          </cell>
          <cell r="G17">
            <v>360</v>
          </cell>
          <cell r="H17">
            <v>0.95804800000000001</v>
          </cell>
          <cell r="I17">
            <v>2.8741440000000003</v>
          </cell>
          <cell r="J17">
            <v>15</v>
          </cell>
          <cell r="K17">
            <v>100</v>
          </cell>
          <cell r="L17">
            <v>30</v>
          </cell>
          <cell r="M17">
            <v>103.46918400000001</v>
          </cell>
          <cell r="N17">
            <v>201.19008000000002</v>
          </cell>
          <cell r="O17">
            <v>60</v>
          </cell>
          <cell r="P17">
            <v>0</v>
          </cell>
          <cell r="Q17">
            <v>67.5</v>
          </cell>
          <cell r="R17">
            <v>53.890200000000007</v>
          </cell>
          <cell r="S17">
            <v>0</v>
          </cell>
          <cell r="T17">
            <v>258.67296000000005</v>
          </cell>
          <cell r="V17">
            <v>889.72242400000005</v>
          </cell>
          <cell r="W17">
            <v>400</v>
          </cell>
          <cell r="X17">
            <v>0.8238170592592593</v>
          </cell>
          <cell r="Y17">
            <v>0.13400000000000001</v>
          </cell>
          <cell r="Z17">
            <v>0.13333333333333333</v>
          </cell>
          <cell r="AA17">
            <v>4.2000000000000003E-2</v>
          </cell>
        </row>
        <row r="18">
          <cell r="B18" t="str">
            <v>48P7079</v>
          </cell>
          <cell r="C18" t="str">
            <v>Glasgow(sea)</v>
          </cell>
          <cell r="D18" t="str">
            <v>DDU</v>
          </cell>
          <cell r="E18">
            <v>216</v>
          </cell>
          <cell r="F18">
            <v>18</v>
          </cell>
          <cell r="G18">
            <v>216</v>
          </cell>
          <cell r="H18">
            <v>1.0264800000000001</v>
          </cell>
          <cell r="I18">
            <v>1.0264800000000001</v>
          </cell>
          <cell r="J18">
            <v>15</v>
          </cell>
          <cell r="K18">
            <v>100</v>
          </cell>
          <cell r="L18">
            <v>30</v>
          </cell>
          <cell r="M18">
            <v>36.953279999999999</v>
          </cell>
          <cell r="N18">
            <v>71.8536</v>
          </cell>
          <cell r="O18">
            <v>60</v>
          </cell>
          <cell r="P18">
            <v>0</v>
          </cell>
          <cell r="Q18">
            <v>67.5</v>
          </cell>
          <cell r="R18">
            <v>19.246500000000001</v>
          </cell>
          <cell r="S18">
            <v>0</v>
          </cell>
          <cell r="T18">
            <v>92.383200000000002</v>
          </cell>
          <cell r="V18">
            <v>492.93657999999999</v>
          </cell>
          <cell r="W18">
            <v>400</v>
          </cell>
          <cell r="X18">
            <v>2.2821137962962963</v>
          </cell>
          <cell r="Y18">
            <v>0.23799999999999999</v>
          </cell>
          <cell r="Z18">
            <v>0.2371794871794872</v>
          </cell>
          <cell r="AA18">
            <v>7.0000000000000007E-2</v>
          </cell>
        </row>
        <row r="19">
          <cell r="B19" t="str">
            <v>49P2522</v>
          </cell>
          <cell r="C19" t="str">
            <v>Glasgow(sea)</v>
          </cell>
          <cell r="D19" t="str">
            <v>DDU</v>
          </cell>
          <cell r="E19">
            <v>768</v>
          </cell>
          <cell r="F19">
            <v>128</v>
          </cell>
          <cell r="G19">
            <v>256</v>
          </cell>
          <cell r="H19">
            <v>1.0248839999999999</v>
          </cell>
          <cell r="I19">
            <v>3.0746519999999995</v>
          </cell>
          <cell r="J19">
            <v>15</v>
          </cell>
          <cell r="K19">
            <v>100</v>
          </cell>
          <cell r="L19">
            <v>30</v>
          </cell>
          <cell r="M19">
            <v>110.68747199999999</v>
          </cell>
          <cell r="N19">
            <v>215.22563999999997</v>
          </cell>
          <cell r="O19">
            <v>60</v>
          </cell>
          <cell r="P19">
            <v>0</v>
          </cell>
          <cell r="Q19">
            <v>67.5</v>
          </cell>
          <cell r="R19">
            <v>57.649724999999989</v>
          </cell>
          <cell r="S19">
            <v>0</v>
          </cell>
          <cell r="T19">
            <v>276.71867999999995</v>
          </cell>
          <cell r="V19">
            <v>932.78151699999989</v>
          </cell>
          <cell r="W19">
            <v>400</v>
          </cell>
          <cell r="X19">
            <v>1.2145592669270833</v>
          </cell>
          <cell r="Y19">
            <v>0.161</v>
          </cell>
          <cell r="Z19">
            <v>0.16025641025641027</v>
          </cell>
          <cell r="AA19">
            <v>5.9000000000000004E-2</v>
          </cell>
        </row>
        <row r="20">
          <cell r="B20" t="str">
            <v>49P2523</v>
          </cell>
          <cell r="C20" t="str">
            <v>Glasgow(sea)</v>
          </cell>
          <cell r="D20" t="str">
            <v>DDU</v>
          </cell>
          <cell r="E20">
            <v>720</v>
          </cell>
          <cell r="F20">
            <v>60</v>
          </cell>
          <cell r="G20">
            <v>720</v>
          </cell>
          <cell r="H20">
            <v>1.1040000000000001</v>
          </cell>
          <cell r="I20">
            <v>1.1040000000000001</v>
          </cell>
          <cell r="J20">
            <v>15</v>
          </cell>
          <cell r="K20">
            <v>100</v>
          </cell>
          <cell r="L20">
            <v>30</v>
          </cell>
          <cell r="M20">
            <v>39.744</v>
          </cell>
          <cell r="N20">
            <v>77.28</v>
          </cell>
          <cell r="O20">
            <v>60</v>
          </cell>
          <cell r="P20">
            <v>0</v>
          </cell>
          <cell r="Q20">
            <v>67.5</v>
          </cell>
          <cell r="R20">
            <v>20.700000000000003</v>
          </cell>
          <cell r="S20">
            <v>0</v>
          </cell>
          <cell r="T20">
            <v>99.360000000000014</v>
          </cell>
          <cell r="V20">
            <v>509.584</v>
          </cell>
          <cell r="W20">
            <v>400</v>
          </cell>
          <cell r="X20">
            <v>0.70775555555555558</v>
          </cell>
          <cell r="Y20">
            <v>0.11700000000000001</v>
          </cell>
          <cell r="Z20">
            <v>0.11666666666666667</v>
          </cell>
          <cell r="AA20">
            <v>0.125</v>
          </cell>
        </row>
        <row r="21">
          <cell r="B21" t="str">
            <v>49P2576</v>
          </cell>
          <cell r="C21" t="str">
            <v>Glasgow(sea)</v>
          </cell>
          <cell r="D21" t="str">
            <v>DDU</v>
          </cell>
          <cell r="E21">
            <v>480</v>
          </cell>
          <cell r="F21">
            <v>480</v>
          </cell>
          <cell r="G21">
            <v>8640</v>
          </cell>
          <cell r="H21">
            <v>1.0711439999999999</v>
          </cell>
          <cell r="I21">
            <v>1</v>
          </cell>
          <cell r="J21">
            <v>15</v>
          </cell>
          <cell r="K21">
            <v>100</v>
          </cell>
          <cell r="L21">
            <v>30</v>
          </cell>
          <cell r="M21">
            <v>36</v>
          </cell>
          <cell r="N21">
            <v>70</v>
          </cell>
          <cell r="O21">
            <v>60</v>
          </cell>
          <cell r="P21">
            <v>0</v>
          </cell>
          <cell r="Q21">
            <v>67.5</v>
          </cell>
          <cell r="R21">
            <v>18.75</v>
          </cell>
          <cell r="S21">
            <v>0</v>
          </cell>
          <cell r="T21">
            <v>90</v>
          </cell>
          <cell r="V21">
            <v>487.25</v>
          </cell>
          <cell r="W21">
            <v>400</v>
          </cell>
          <cell r="X21">
            <v>1.0151041666666667</v>
          </cell>
          <cell r="Y21">
            <v>1.3000000000000001E-2</v>
          </cell>
          <cell r="Z21">
            <v>1.2820512820512822E-2</v>
          </cell>
          <cell r="AA21">
            <v>1.6E-2</v>
          </cell>
        </row>
        <row r="22">
          <cell r="B22" t="str">
            <v>49P2577</v>
          </cell>
          <cell r="C22" t="str">
            <v>Glasgow(sea)</v>
          </cell>
          <cell r="D22" t="str">
            <v>DDU</v>
          </cell>
          <cell r="E22">
            <v>480</v>
          </cell>
          <cell r="F22">
            <v>480</v>
          </cell>
          <cell r="G22">
            <v>8640</v>
          </cell>
          <cell r="H22">
            <v>1.0711439999999999</v>
          </cell>
          <cell r="I22">
            <v>1</v>
          </cell>
          <cell r="J22">
            <v>15</v>
          </cell>
          <cell r="K22">
            <v>100</v>
          </cell>
          <cell r="L22">
            <v>30</v>
          </cell>
          <cell r="M22">
            <v>36</v>
          </cell>
          <cell r="N22">
            <v>70</v>
          </cell>
          <cell r="O22">
            <v>60</v>
          </cell>
          <cell r="P22">
            <v>0</v>
          </cell>
          <cell r="Q22">
            <v>67.5</v>
          </cell>
          <cell r="R22">
            <v>18.75</v>
          </cell>
          <cell r="S22">
            <v>0</v>
          </cell>
          <cell r="T22">
            <v>90</v>
          </cell>
          <cell r="V22">
            <v>487.25</v>
          </cell>
          <cell r="W22">
            <v>400</v>
          </cell>
          <cell r="X22">
            <v>1.0151041666666667</v>
          </cell>
          <cell r="Y22">
            <v>1.3000000000000001E-2</v>
          </cell>
          <cell r="Z22">
            <v>1.2820512820512822E-2</v>
          </cell>
          <cell r="AA22">
            <v>1.6E-2</v>
          </cell>
        </row>
        <row r="23">
          <cell r="B23" t="str">
            <v>49P2602</v>
          </cell>
          <cell r="C23" t="str">
            <v>Glasgow(sea)</v>
          </cell>
          <cell r="D23" t="str">
            <v>DDU</v>
          </cell>
          <cell r="E23">
            <v>480</v>
          </cell>
          <cell r="F23">
            <v>480</v>
          </cell>
          <cell r="G23">
            <v>8640</v>
          </cell>
          <cell r="H23">
            <v>1.0711439999999999</v>
          </cell>
          <cell r="I23">
            <v>1</v>
          </cell>
          <cell r="J23">
            <v>15</v>
          </cell>
          <cell r="K23">
            <v>100</v>
          </cell>
          <cell r="L23">
            <v>30</v>
          </cell>
          <cell r="M23">
            <v>36</v>
          </cell>
          <cell r="N23">
            <v>70</v>
          </cell>
          <cell r="O23">
            <v>60</v>
          </cell>
          <cell r="P23">
            <v>0</v>
          </cell>
          <cell r="Q23">
            <v>67.5</v>
          </cell>
          <cell r="R23">
            <v>18.75</v>
          </cell>
          <cell r="S23">
            <v>0</v>
          </cell>
          <cell r="T23">
            <v>90</v>
          </cell>
          <cell r="V23">
            <v>487.25</v>
          </cell>
          <cell r="W23">
            <v>400</v>
          </cell>
          <cell r="X23">
            <v>1.0151041666666667</v>
          </cell>
          <cell r="Y23">
            <v>1.3000000000000001E-2</v>
          </cell>
          <cell r="Z23">
            <v>1.2820512820512822E-2</v>
          </cell>
          <cell r="AA23">
            <v>1.6E-2</v>
          </cell>
        </row>
        <row r="24">
          <cell r="B24" t="str">
            <v>49P2651</v>
          </cell>
          <cell r="C24" t="str">
            <v>Glasgow(sea)</v>
          </cell>
          <cell r="D24" t="str">
            <v>DDU</v>
          </cell>
          <cell r="E24">
            <v>9216</v>
          </cell>
          <cell r="F24">
            <v>768</v>
          </cell>
          <cell r="G24">
            <v>9216</v>
          </cell>
          <cell r="H24">
            <v>0.84203819999999985</v>
          </cell>
          <cell r="I24">
            <v>1</v>
          </cell>
          <cell r="J24">
            <v>15</v>
          </cell>
          <cell r="K24">
            <v>100</v>
          </cell>
          <cell r="L24">
            <v>30</v>
          </cell>
          <cell r="M24">
            <v>36</v>
          </cell>
          <cell r="N24">
            <v>70</v>
          </cell>
          <cell r="O24">
            <v>60</v>
          </cell>
          <cell r="P24">
            <v>0</v>
          </cell>
          <cell r="Q24">
            <v>67.5</v>
          </cell>
          <cell r="R24">
            <v>18.75</v>
          </cell>
          <cell r="S24">
            <v>0</v>
          </cell>
          <cell r="T24">
            <v>90</v>
          </cell>
          <cell r="V24">
            <v>487.25</v>
          </cell>
          <cell r="W24">
            <v>400</v>
          </cell>
          <cell r="X24">
            <v>5.2870008680555552E-2</v>
          </cell>
          <cell r="Y24">
            <v>1.4999999999999999E-2</v>
          </cell>
          <cell r="Z24">
            <v>1.4102564102564103E-2</v>
          </cell>
          <cell r="AA24">
            <v>2E-3</v>
          </cell>
        </row>
        <row r="25">
          <cell r="B25" t="str">
            <v>49P2661</v>
          </cell>
          <cell r="C25" t="str">
            <v>Glasgow(sea)</v>
          </cell>
          <cell r="D25" t="str">
            <v>DDU</v>
          </cell>
          <cell r="E25">
            <v>2592</v>
          </cell>
          <cell r="F25">
            <v>144</v>
          </cell>
          <cell r="G25">
            <v>2592</v>
          </cell>
          <cell r="H25">
            <v>1.07406</v>
          </cell>
          <cell r="I25">
            <v>1.07406</v>
          </cell>
          <cell r="J25">
            <v>15</v>
          </cell>
          <cell r="K25">
            <v>100</v>
          </cell>
          <cell r="L25">
            <v>30</v>
          </cell>
          <cell r="M25">
            <v>38.666159999999998</v>
          </cell>
          <cell r="N25">
            <v>75.184200000000004</v>
          </cell>
          <cell r="O25">
            <v>60</v>
          </cell>
          <cell r="P25">
            <v>0</v>
          </cell>
          <cell r="Q25">
            <v>67.5</v>
          </cell>
          <cell r="R25">
            <v>20.138625000000001</v>
          </cell>
          <cell r="S25">
            <v>0</v>
          </cell>
          <cell r="T25">
            <v>96.665400000000005</v>
          </cell>
          <cell r="V25">
            <v>503.15438500000005</v>
          </cell>
          <cell r="W25">
            <v>400</v>
          </cell>
          <cell r="X25">
            <v>0.1941182040895062</v>
          </cell>
          <cell r="Y25">
            <v>2.5000000000000001E-2</v>
          </cell>
          <cell r="Z25">
            <v>2.4358974358974359E-2</v>
          </cell>
          <cell r="AA25">
            <v>6.0000000000000001E-3</v>
          </cell>
        </row>
        <row r="26">
          <cell r="B26" t="str">
            <v>49P2664</v>
          </cell>
          <cell r="C26" t="str">
            <v>Glasgow(sea)</v>
          </cell>
          <cell r="D26" t="str">
            <v>DDU</v>
          </cell>
          <cell r="E26">
            <v>2700</v>
          </cell>
          <cell r="F26">
            <v>900</v>
          </cell>
          <cell r="G26">
            <v>24300</v>
          </cell>
          <cell r="H26">
            <v>1.0452431999999998</v>
          </cell>
          <cell r="I26">
            <v>1</v>
          </cell>
          <cell r="J26">
            <v>15</v>
          </cell>
          <cell r="K26">
            <v>100</v>
          </cell>
          <cell r="L26">
            <v>30</v>
          </cell>
          <cell r="M26">
            <v>36</v>
          </cell>
          <cell r="N26">
            <v>70</v>
          </cell>
          <cell r="O26">
            <v>60</v>
          </cell>
          <cell r="P26">
            <v>0</v>
          </cell>
          <cell r="Q26">
            <v>67.5</v>
          </cell>
          <cell r="R26">
            <v>18.75</v>
          </cell>
          <cell r="S26">
            <v>0</v>
          </cell>
          <cell r="T26">
            <v>90</v>
          </cell>
          <cell r="V26">
            <v>487.25</v>
          </cell>
          <cell r="W26">
            <v>400</v>
          </cell>
          <cell r="X26">
            <v>0.18046296296296296</v>
          </cell>
          <cell r="Y26">
            <v>3.0000000000000001E-3</v>
          </cell>
          <cell r="Z26">
            <v>2.5641025641025641E-3</v>
          </cell>
          <cell r="AA26">
            <v>9.0000000000000011E-3</v>
          </cell>
        </row>
        <row r="27">
          <cell r="B27" t="str">
            <v>73P6145</v>
          </cell>
          <cell r="C27" t="str">
            <v>Glasgow(sea)</v>
          </cell>
          <cell r="D27" t="str">
            <v>DDU</v>
          </cell>
          <cell r="E27">
            <v>80</v>
          </cell>
          <cell r="F27">
            <v>80</v>
          </cell>
          <cell r="G27">
            <v>80</v>
          </cell>
          <cell r="H27">
            <v>0.80312960000000011</v>
          </cell>
          <cell r="I27">
            <v>1</v>
          </cell>
          <cell r="J27">
            <v>15</v>
          </cell>
          <cell r="K27">
            <v>100</v>
          </cell>
          <cell r="L27">
            <v>30</v>
          </cell>
          <cell r="M27">
            <v>36</v>
          </cell>
          <cell r="N27">
            <v>70</v>
          </cell>
          <cell r="O27">
            <v>60</v>
          </cell>
          <cell r="P27">
            <v>0</v>
          </cell>
          <cell r="Q27">
            <v>67.5</v>
          </cell>
          <cell r="R27">
            <v>18.75</v>
          </cell>
          <cell r="S27">
            <v>0</v>
          </cell>
          <cell r="T27">
            <v>90</v>
          </cell>
          <cell r="V27">
            <v>487.25</v>
          </cell>
          <cell r="W27">
            <v>400</v>
          </cell>
          <cell r="X27">
            <v>6.0906250000000002</v>
          </cell>
          <cell r="Y27">
            <v>0.316</v>
          </cell>
          <cell r="Z27">
            <v>0.31538461538461537</v>
          </cell>
          <cell r="AA27">
            <v>0.188</v>
          </cell>
        </row>
        <row r="28">
          <cell r="B28" t="str">
            <v>73P6640</v>
          </cell>
          <cell r="C28" t="str">
            <v>Glasgow(sea)</v>
          </cell>
          <cell r="D28" t="str">
            <v>DDU</v>
          </cell>
          <cell r="E28">
            <v>768</v>
          </cell>
          <cell r="F28">
            <v>768</v>
          </cell>
          <cell r="G28">
            <v>9216</v>
          </cell>
          <cell r="H28">
            <v>0.84203819999999985</v>
          </cell>
          <cell r="I28">
            <v>1</v>
          </cell>
          <cell r="J28">
            <v>15</v>
          </cell>
          <cell r="K28">
            <v>100</v>
          </cell>
          <cell r="L28">
            <v>30</v>
          </cell>
          <cell r="M28">
            <v>36</v>
          </cell>
          <cell r="N28">
            <v>70</v>
          </cell>
          <cell r="O28">
            <v>60</v>
          </cell>
          <cell r="P28">
            <v>0</v>
          </cell>
          <cell r="Q28">
            <v>67.5</v>
          </cell>
          <cell r="R28">
            <v>18.75</v>
          </cell>
          <cell r="S28">
            <v>0</v>
          </cell>
          <cell r="T28">
            <v>90</v>
          </cell>
          <cell r="V28">
            <v>487.25</v>
          </cell>
          <cell r="W28">
            <v>400</v>
          </cell>
          <cell r="X28">
            <v>0.63444010416666663</v>
          </cell>
          <cell r="Y28">
            <v>1.4999999999999999E-2</v>
          </cell>
          <cell r="Z28">
            <v>1.4102564102564103E-2</v>
          </cell>
          <cell r="AA28">
            <v>9.9999999999999985E-3</v>
          </cell>
        </row>
        <row r="29">
          <cell r="B29" t="str">
            <v>73P6641</v>
          </cell>
          <cell r="C29" t="str">
            <v>Glasgow(sea)</v>
          </cell>
          <cell r="D29" t="str">
            <v>DDU</v>
          </cell>
          <cell r="E29">
            <v>30</v>
          </cell>
          <cell r="F29">
            <v>30</v>
          </cell>
          <cell r="G29">
            <v>360</v>
          </cell>
          <cell r="H29">
            <v>0.95804800000000001</v>
          </cell>
          <cell r="I29">
            <v>1</v>
          </cell>
          <cell r="J29">
            <v>15</v>
          </cell>
          <cell r="K29">
            <v>100</v>
          </cell>
          <cell r="L29">
            <v>30</v>
          </cell>
          <cell r="M29">
            <v>36</v>
          </cell>
          <cell r="N29">
            <v>70</v>
          </cell>
          <cell r="O29">
            <v>60</v>
          </cell>
          <cell r="P29">
            <v>0</v>
          </cell>
          <cell r="Q29">
            <v>67.5</v>
          </cell>
          <cell r="R29">
            <v>18.75</v>
          </cell>
          <cell r="S29">
            <v>0</v>
          </cell>
          <cell r="T29">
            <v>90</v>
          </cell>
          <cell r="V29">
            <v>487.25</v>
          </cell>
          <cell r="W29">
            <v>400</v>
          </cell>
          <cell r="X29">
            <v>16.241666666666667</v>
          </cell>
          <cell r="Y29">
            <v>0.13400000000000001</v>
          </cell>
          <cell r="Z29">
            <v>0.13333333333333333</v>
          </cell>
          <cell r="AA29">
            <v>0.25</v>
          </cell>
        </row>
        <row r="30">
          <cell r="B30" t="str">
            <v>73P6646</v>
          </cell>
          <cell r="C30" t="str">
            <v>Glasgow(sea)</v>
          </cell>
          <cell r="D30" t="str">
            <v>DDU</v>
          </cell>
          <cell r="E30">
            <v>360</v>
          </cell>
          <cell r="F30">
            <v>30</v>
          </cell>
          <cell r="G30">
            <v>360</v>
          </cell>
          <cell r="H30">
            <v>0.95804800000000001</v>
          </cell>
          <cell r="I30">
            <v>1</v>
          </cell>
          <cell r="J30">
            <v>15</v>
          </cell>
          <cell r="K30">
            <v>100</v>
          </cell>
          <cell r="L30">
            <v>30</v>
          </cell>
          <cell r="M30">
            <v>36</v>
          </cell>
          <cell r="N30">
            <v>70</v>
          </cell>
          <cell r="O30">
            <v>60</v>
          </cell>
          <cell r="P30">
            <v>0</v>
          </cell>
          <cell r="Q30">
            <v>67.5</v>
          </cell>
          <cell r="R30">
            <v>18.75</v>
          </cell>
          <cell r="S30">
            <v>0</v>
          </cell>
          <cell r="T30">
            <v>90</v>
          </cell>
          <cell r="V30">
            <v>487.25</v>
          </cell>
          <cell r="W30">
            <v>400</v>
          </cell>
          <cell r="X30">
            <v>1.3534722222222222</v>
          </cell>
          <cell r="Y30">
            <v>0.13400000000000001</v>
          </cell>
          <cell r="Z30">
            <v>0.13333333333333333</v>
          </cell>
          <cell r="AA30">
            <v>4.2000000000000003E-2</v>
          </cell>
        </row>
        <row r="31">
          <cell r="B31" t="str">
            <v>73P6647</v>
          </cell>
          <cell r="C31" t="str">
            <v>Glasgow(sea)</v>
          </cell>
          <cell r="D31" t="str">
            <v>DDU</v>
          </cell>
          <cell r="E31">
            <v>216</v>
          </cell>
          <cell r="F31">
            <v>18</v>
          </cell>
          <cell r="G31">
            <v>216</v>
          </cell>
          <cell r="H31">
            <v>1.0264800000000001</v>
          </cell>
          <cell r="I31">
            <v>1.0264800000000001</v>
          </cell>
          <cell r="J31">
            <v>15</v>
          </cell>
          <cell r="K31">
            <v>100</v>
          </cell>
          <cell r="L31">
            <v>30</v>
          </cell>
          <cell r="M31">
            <v>36.953279999999999</v>
          </cell>
          <cell r="N31">
            <v>71.8536</v>
          </cell>
          <cell r="O31">
            <v>60</v>
          </cell>
          <cell r="P31">
            <v>0</v>
          </cell>
          <cell r="Q31">
            <v>67.5</v>
          </cell>
          <cell r="R31">
            <v>19.246500000000001</v>
          </cell>
          <cell r="S31">
            <v>0</v>
          </cell>
          <cell r="T31">
            <v>92.383200000000002</v>
          </cell>
          <cell r="V31">
            <v>492.93657999999999</v>
          </cell>
          <cell r="W31">
            <v>400</v>
          </cell>
          <cell r="X31">
            <v>2.2821137962962963</v>
          </cell>
          <cell r="Y31">
            <v>0.23799999999999999</v>
          </cell>
          <cell r="Z31">
            <v>0.2371794871794872</v>
          </cell>
          <cell r="AA31">
            <v>7.0000000000000007E-2</v>
          </cell>
        </row>
        <row r="32">
          <cell r="B32" t="str">
            <v>73P6656</v>
          </cell>
          <cell r="C32" t="str">
            <v>Glasgow(sea)</v>
          </cell>
          <cell r="D32" t="str">
            <v>DDU</v>
          </cell>
          <cell r="E32">
            <v>648</v>
          </cell>
          <cell r="F32">
            <v>36</v>
          </cell>
          <cell r="G32">
            <v>648</v>
          </cell>
          <cell r="H32">
            <v>1.14219</v>
          </cell>
          <cell r="I32">
            <v>1.14219</v>
          </cell>
          <cell r="J32">
            <v>15</v>
          </cell>
          <cell r="K32">
            <v>100</v>
          </cell>
          <cell r="L32">
            <v>30</v>
          </cell>
          <cell r="M32">
            <v>41.118839999999999</v>
          </cell>
          <cell r="N32">
            <v>79.953299999999999</v>
          </cell>
          <cell r="O32">
            <v>60</v>
          </cell>
          <cell r="P32">
            <v>0</v>
          </cell>
          <cell r="Q32">
            <v>67.5</v>
          </cell>
          <cell r="R32">
            <v>21.416062500000002</v>
          </cell>
          <cell r="S32">
            <v>0</v>
          </cell>
          <cell r="T32">
            <v>102.7971</v>
          </cell>
          <cell r="V32">
            <v>517.78530249999994</v>
          </cell>
          <cell r="W32">
            <v>400</v>
          </cell>
          <cell r="X32">
            <v>0.7990513927469135</v>
          </cell>
          <cell r="Y32">
            <v>0.14699999999999999</v>
          </cell>
          <cell r="Z32">
            <v>0.14615384615384613</v>
          </cell>
          <cell r="AA32">
            <v>2.4E-2</v>
          </cell>
        </row>
        <row r="33">
          <cell r="B33" t="str">
            <v>90P4709-item2</v>
          </cell>
          <cell r="C33" t="str">
            <v>Glasgow(sea)</v>
          </cell>
          <cell r="D33" t="str">
            <v>DDU</v>
          </cell>
          <cell r="E33">
            <v>2700</v>
          </cell>
          <cell r="F33">
            <v>900</v>
          </cell>
          <cell r="G33">
            <v>24300</v>
          </cell>
          <cell r="H33">
            <v>0.86399999999999999</v>
          </cell>
          <cell r="I33">
            <v>1</v>
          </cell>
          <cell r="J33">
            <v>15</v>
          </cell>
          <cell r="K33">
            <v>100</v>
          </cell>
          <cell r="L33">
            <v>30</v>
          </cell>
          <cell r="M33">
            <v>36</v>
          </cell>
          <cell r="N33">
            <v>70</v>
          </cell>
          <cell r="O33">
            <v>60</v>
          </cell>
          <cell r="P33">
            <v>0</v>
          </cell>
          <cell r="Q33">
            <v>67.5</v>
          </cell>
          <cell r="R33">
            <v>18.75</v>
          </cell>
          <cell r="S33">
            <v>0</v>
          </cell>
          <cell r="T33">
            <v>90</v>
          </cell>
          <cell r="V33">
            <v>487.25</v>
          </cell>
          <cell r="W33">
            <v>400</v>
          </cell>
          <cell r="X33">
            <v>0.18046296296296296</v>
          </cell>
          <cell r="Y33">
            <v>3.0000000000000001E-3</v>
          </cell>
          <cell r="Z33">
            <v>2.5641025641025641E-3</v>
          </cell>
          <cell r="AA33">
            <v>9.0000000000000011E-3</v>
          </cell>
        </row>
        <row r="34">
          <cell r="B34" t="str">
            <v>90P4709-item3</v>
          </cell>
          <cell r="C34" t="str">
            <v>Glasgow(sea)</v>
          </cell>
          <cell r="D34" t="str">
            <v>DDU</v>
          </cell>
          <cell r="E34">
            <v>2700</v>
          </cell>
          <cell r="F34">
            <v>900</v>
          </cell>
          <cell r="G34">
            <v>24300</v>
          </cell>
          <cell r="H34">
            <v>0.86399999999999999</v>
          </cell>
          <cell r="I34">
            <v>1</v>
          </cell>
          <cell r="J34">
            <v>15</v>
          </cell>
          <cell r="K34">
            <v>100</v>
          </cell>
          <cell r="L34">
            <v>30</v>
          </cell>
          <cell r="M34">
            <v>36</v>
          </cell>
          <cell r="N34">
            <v>70</v>
          </cell>
          <cell r="O34">
            <v>60</v>
          </cell>
          <cell r="P34">
            <v>0</v>
          </cell>
          <cell r="Q34">
            <v>67.5</v>
          </cell>
          <cell r="R34">
            <v>18.75</v>
          </cell>
          <cell r="S34">
            <v>0</v>
          </cell>
          <cell r="T34">
            <v>90</v>
          </cell>
          <cell r="V34">
            <v>487.25</v>
          </cell>
          <cell r="W34">
            <v>400</v>
          </cell>
          <cell r="X34">
            <v>0.18046296296296296</v>
          </cell>
          <cell r="Y34">
            <v>3.0000000000000001E-3</v>
          </cell>
          <cell r="Z34">
            <v>2.5641025641025641E-3</v>
          </cell>
          <cell r="AA34">
            <v>9.0000000000000011E-3</v>
          </cell>
        </row>
        <row r="35">
          <cell r="B35" t="str">
            <v>90P4710</v>
          </cell>
          <cell r="C35" t="str">
            <v>Glasgow(sea)</v>
          </cell>
          <cell r="D35" t="str">
            <v>DDU</v>
          </cell>
          <cell r="E35">
            <v>180</v>
          </cell>
          <cell r="F35">
            <v>180</v>
          </cell>
          <cell r="G35">
            <v>180</v>
          </cell>
          <cell r="H35">
            <v>0.91992599999999991</v>
          </cell>
          <cell r="I35">
            <v>1</v>
          </cell>
          <cell r="J35">
            <v>15</v>
          </cell>
          <cell r="K35">
            <v>100</v>
          </cell>
          <cell r="L35">
            <v>30</v>
          </cell>
          <cell r="M35">
            <v>36</v>
          </cell>
          <cell r="N35">
            <v>70</v>
          </cell>
          <cell r="O35">
            <v>60</v>
          </cell>
          <cell r="P35">
            <v>0</v>
          </cell>
          <cell r="Q35">
            <v>67.5</v>
          </cell>
          <cell r="R35">
            <v>18.75</v>
          </cell>
          <cell r="S35">
            <v>0</v>
          </cell>
          <cell r="T35">
            <v>90</v>
          </cell>
          <cell r="V35">
            <v>487.25</v>
          </cell>
          <cell r="W35">
            <v>400</v>
          </cell>
          <cell r="X35">
            <v>2.7069444444444444</v>
          </cell>
          <cell r="Y35">
            <v>0.16300000000000001</v>
          </cell>
          <cell r="Z35">
            <v>0.16282051282051282</v>
          </cell>
          <cell r="AA35">
            <v>8.4000000000000005E-2</v>
          </cell>
        </row>
        <row r="36">
          <cell r="B36" t="str">
            <v>90P4721</v>
          </cell>
          <cell r="C36" t="str">
            <v>Glasgow(sea)</v>
          </cell>
          <cell r="D36" t="str">
            <v>DDU</v>
          </cell>
          <cell r="E36">
            <v>120</v>
          </cell>
          <cell r="F36">
            <v>3</v>
          </cell>
          <cell r="G36">
            <v>6</v>
          </cell>
          <cell r="H36">
            <v>1.0053720000000002</v>
          </cell>
          <cell r="I36">
            <v>20.107440000000004</v>
          </cell>
          <cell r="J36">
            <v>15</v>
          </cell>
          <cell r="K36">
            <v>310</v>
          </cell>
          <cell r="L36">
            <v>30</v>
          </cell>
          <cell r="M36">
            <v>723.86784000000011</v>
          </cell>
          <cell r="N36">
            <v>1407.5208000000002</v>
          </cell>
          <cell r="O36">
            <v>60</v>
          </cell>
          <cell r="P36">
            <v>0</v>
          </cell>
          <cell r="Q36">
            <v>67.5</v>
          </cell>
          <cell r="R36">
            <v>377.01450000000006</v>
          </cell>
          <cell r="S36">
            <v>0</v>
          </cell>
          <cell r="T36">
            <v>1809.6696000000004</v>
          </cell>
          <cell r="V36">
            <v>4800.5727400000005</v>
          </cell>
          <cell r="W36">
            <v>400</v>
          </cell>
          <cell r="X36">
            <v>40.004772833333341</v>
          </cell>
          <cell r="Y36">
            <v>6.681</v>
          </cell>
          <cell r="Z36">
            <v>6.680769230769231</v>
          </cell>
          <cell r="AA36">
            <v>2.5</v>
          </cell>
        </row>
        <row r="37">
          <cell r="B37" t="str">
            <v>90P4765</v>
          </cell>
          <cell r="C37" t="str">
            <v>Glasgow(sea)</v>
          </cell>
          <cell r="D37" t="str">
            <v>DDU</v>
          </cell>
          <cell r="E37">
            <v>1728</v>
          </cell>
          <cell r="F37">
            <v>72</v>
          </cell>
          <cell r="G37">
            <v>576</v>
          </cell>
          <cell r="H37">
            <v>0.9264</v>
          </cell>
          <cell r="I37">
            <v>2.7791999999999999</v>
          </cell>
          <cell r="J37">
            <v>15</v>
          </cell>
          <cell r="K37">
            <v>100</v>
          </cell>
          <cell r="L37">
            <v>30</v>
          </cell>
          <cell r="M37">
            <v>100.05119999999999</v>
          </cell>
          <cell r="N37">
            <v>194.54399999999998</v>
          </cell>
          <cell r="O37">
            <v>60</v>
          </cell>
          <cell r="P37">
            <v>0</v>
          </cell>
          <cell r="Q37">
            <v>67.5</v>
          </cell>
          <cell r="R37">
            <v>52.11</v>
          </cell>
          <cell r="S37">
            <v>0</v>
          </cell>
          <cell r="T37">
            <v>250.12799999999999</v>
          </cell>
          <cell r="V37">
            <v>869.33320000000003</v>
          </cell>
          <cell r="W37">
            <v>400</v>
          </cell>
          <cell r="X37">
            <v>0.50308634259259266</v>
          </cell>
          <cell r="Y37">
            <v>0.106</v>
          </cell>
          <cell r="Z37">
            <v>0.10512820512820513</v>
          </cell>
          <cell r="AA37">
            <v>2.7E-2</v>
          </cell>
        </row>
        <row r="38">
          <cell r="B38" t="str">
            <v>90P4786</v>
          </cell>
          <cell r="C38" t="str">
            <v>Glasgow(sea)</v>
          </cell>
          <cell r="D38" t="str">
            <v>DDU</v>
          </cell>
          <cell r="E38">
            <v>60</v>
          </cell>
          <cell r="F38">
            <v>3</v>
          </cell>
          <cell r="G38">
            <v>6</v>
          </cell>
          <cell r="H38">
            <v>1.1170800000000001</v>
          </cell>
          <cell r="I38">
            <v>11.1708</v>
          </cell>
          <cell r="J38">
            <v>15</v>
          </cell>
          <cell r="K38">
            <v>230</v>
          </cell>
          <cell r="L38">
            <v>30</v>
          </cell>
          <cell r="M38">
            <v>402.14879999999999</v>
          </cell>
          <cell r="N38">
            <v>781.95600000000002</v>
          </cell>
          <cell r="O38">
            <v>60</v>
          </cell>
          <cell r="P38">
            <v>0</v>
          </cell>
          <cell r="Q38">
            <v>67.5</v>
          </cell>
          <cell r="R38">
            <v>209.45249999999999</v>
          </cell>
          <cell r="S38">
            <v>0</v>
          </cell>
          <cell r="T38">
            <v>1005.372</v>
          </cell>
          <cell r="V38">
            <v>2801.4292999999998</v>
          </cell>
          <cell r="W38">
            <v>400</v>
          </cell>
          <cell r="X38">
            <v>46.690488333333327</v>
          </cell>
          <cell r="Y38">
            <v>5.0090000000000003</v>
          </cell>
          <cell r="Z38">
            <v>5.0089743589743589</v>
          </cell>
          <cell r="AA38">
            <v>2.5</v>
          </cell>
        </row>
        <row r="39">
          <cell r="B39" t="str">
            <v>90P4788</v>
          </cell>
          <cell r="C39" t="str">
            <v>Glasgow(sea)</v>
          </cell>
          <cell r="D39" t="str">
            <v>DDU</v>
          </cell>
          <cell r="E39">
            <v>252</v>
          </cell>
          <cell r="F39">
            <v>84</v>
          </cell>
          <cell r="G39">
            <v>84</v>
          </cell>
          <cell r="H39">
            <v>1.1531520000000002</v>
          </cell>
          <cell r="I39">
            <v>3.4594560000000003</v>
          </cell>
          <cell r="J39">
            <v>15</v>
          </cell>
          <cell r="K39">
            <v>100</v>
          </cell>
          <cell r="L39">
            <v>30</v>
          </cell>
          <cell r="M39">
            <v>124.54041600000001</v>
          </cell>
          <cell r="N39">
            <v>242.16192000000001</v>
          </cell>
          <cell r="O39">
            <v>60</v>
          </cell>
          <cell r="P39">
            <v>0</v>
          </cell>
          <cell r="Q39">
            <v>67.5</v>
          </cell>
          <cell r="R39">
            <v>64.864800000000002</v>
          </cell>
          <cell r="S39">
            <v>0</v>
          </cell>
          <cell r="T39">
            <v>311.35104000000001</v>
          </cell>
          <cell r="V39">
            <v>1015.4181760000001</v>
          </cell>
          <cell r="W39">
            <v>400</v>
          </cell>
          <cell r="X39">
            <v>4.0294372063492068</v>
          </cell>
          <cell r="Y39">
            <v>0.29199999999999998</v>
          </cell>
          <cell r="Z39">
            <v>0.29102564102564105</v>
          </cell>
          <cell r="AA39">
            <v>0.17899999999999999</v>
          </cell>
        </row>
        <row r="40">
          <cell r="B40" t="str">
            <v>90P4790(73P6642)</v>
          </cell>
          <cell r="C40" t="str">
            <v>Glasgow(sea)</v>
          </cell>
          <cell r="D40" t="str">
            <v>DDU</v>
          </cell>
          <cell r="E40">
            <v>252</v>
          </cell>
          <cell r="F40">
            <v>84</v>
          </cell>
          <cell r="G40">
            <v>84</v>
          </cell>
          <cell r="H40">
            <v>1.1531520000000002</v>
          </cell>
          <cell r="I40">
            <v>3.4594560000000003</v>
          </cell>
          <cell r="J40">
            <v>15</v>
          </cell>
          <cell r="K40">
            <v>100</v>
          </cell>
          <cell r="L40">
            <v>30</v>
          </cell>
          <cell r="M40">
            <v>124.54041600000001</v>
          </cell>
          <cell r="N40">
            <v>242.16192000000001</v>
          </cell>
          <cell r="O40">
            <v>60</v>
          </cell>
          <cell r="P40">
            <v>0</v>
          </cell>
          <cell r="Q40">
            <v>67.5</v>
          </cell>
          <cell r="R40">
            <v>64.864800000000002</v>
          </cell>
          <cell r="S40">
            <v>0</v>
          </cell>
          <cell r="T40">
            <v>311.35104000000001</v>
          </cell>
          <cell r="V40">
            <v>1015.4181760000001</v>
          </cell>
          <cell r="W40">
            <v>400</v>
          </cell>
          <cell r="X40">
            <v>4.0294372063492068</v>
          </cell>
          <cell r="Y40">
            <v>0.29199999999999998</v>
          </cell>
          <cell r="Z40">
            <v>0.29102564102564105</v>
          </cell>
          <cell r="AA40">
            <v>0.17899999999999999</v>
          </cell>
        </row>
        <row r="41">
          <cell r="B41" t="str">
            <v>90P4795</v>
          </cell>
          <cell r="C41" t="str">
            <v>Glasgow(sea)</v>
          </cell>
          <cell r="D41" t="str">
            <v>DDU</v>
          </cell>
          <cell r="E41">
            <v>540</v>
          </cell>
          <cell r="F41">
            <v>180</v>
          </cell>
          <cell r="G41">
            <v>180</v>
          </cell>
          <cell r="H41">
            <v>0.91992599999999991</v>
          </cell>
          <cell r="I41">
            <v>2.7597779999999998</v>
          </cell>
          <cell r="J41">
            <v>15</v>
          </cell>
          <cell r="K41">
            <v>100</v>
          </cell>
          <cell r="L41">
            <v>30</v>
          </cell>
          <cell r="M41">
            <v>99.352007999999998</v>
          </cell>
          <cell r="N41">
            <v>193.18446</v>
          </cell>
          <cell r="O41">
            <v>60</v>
          </cell>
          <cell r="P41">
            <v>0</v>
          </cell>
          <cell r="Q41">
            <v>67.5</v>
          </cell>
          <cell r="R41">
            <v>51.7458375</v>
          </cell>
          <cell r="S41">
            <v>0</v>
          </cell>
          <cell r="T41">
            <v>248.38001999999997</v>
          </cell>
          <cell r="V41">
            <v>865.16232549999995</v>
          </cell>
          <cell r="W41">
            <v>400</v>
          </cell>
          <cell r="X41">
            <v>1.6021524546296295</v>
          </cell>
          <cell r="Y41">
            <v>0.16300000000000001</v>
          </cell>
          <cell r="Z41">
            <v>0.16282051282051282</v>
          </cell>
          <cell r="AA41">
            <v>8.4000000000000005E-2</v>
          </cell>
        </row>
        <row r="42">
          <cell r="B42" t="str">
            <v>49P2573</v>
          </cell>
          <cell r="C42" t="str">
            <v>Glasgow(sea)</v>
          </cell>
          <cell r="D42" t="str">
            <v>DDU</v>
          </cell>
          <cell r="E42">
            <v>1440</v>
          </cell>
          <cell r="F42">
            <v>480</v>
          </cell>
          <cell r="G42">
            <v>17280</v>
          </cell>
          <cell r="H42">
            <v>1.0803520000000002</v>
          </cell>
          <cell r="I42">
            <v>1</v>
          </cell>
          <cell r="J42">
            <v>15</v>
          </cell>
          <cell r="K42">
            <v>100</v>
          </cell>
          <cell r="L42">
            <v>30</v>
          </cell>
          <cell r="M42">
            <v>36</v>
          </cell>
          <cell r="N42">
            <v>70</v>
          </cell>
          <cell r="O42">
            <v>60</v>
          </cell>
          <cell r="P42">
            <v>0</v>
          </cell>
          <cell r="Q42">
            <v>67.5</v>
          </cell>
          <cell r="R42">
            <v>18.75</v>
          </cell>
          <cell r="S42">
            <v>0</v>
          </cell>
          <cell r="T42">
            <v>90</v>
          </cell>
          <cell r="V42">
            <v>487.25</v>
          </cell>
          <cell r="W42">
            <v>400</v>
          </cell>
          <cell r="X42">
            <v>0.33836805555555555</v>
          </cell>
          <cell r="Y42">
            <v>4.2000000000000003E-2</v>
          </cell>
          <cell r="Z42">
            <v>4.1025641025641026E-2</v>
          </cell>
          <cell r="AA42">
            <v>1.6E-2</v>
          </cell>
        </row>
        <row r="44">
          <cell r="B44" t="str">
            <v>02R9003</v>
          </cell>
          <cell r="C44" t="str">
            <v>GDL,Mex(sea)</v>
          </cell>
          <cell r="D44" t="str">
            <v>DDU</v>
          </cell>
          <cell r="E44">
            <v>864</v>
          </cell>
          <cell r="F44">
            <v>24</v>
          </cell>
          <cell r="G44">
            <v>864</v>
          </cell>
          <cell r="H44">
            <v>1.1040000000000001</v>
          </cell>
          <cell r="I44">
            <v>1.1040000000000001</v>
          </cell>
          <cell r="J44">
            <v>15</v>
          </cell>
          <cell r="K44">
            <v>100</v>
          </cell>
          <cell r="L44">
            <v>30</v>
          </cell>
          <cell r="M44">
            <v>39.744</v>
          </cell>
          <cell r="N44">
            <v>81.696000000000012</v>
          </cell>
          <cell r="O44">
            <v>170</v>
          </cell>
          <cell r="P44">
            <v>0</v>
          </cell>
          <cell r="Q44">
            <v>20</v>
          </cell>
          <cell r="R44">
            <v>33.120000000000005</v>
          </cell>
          <cell r="S44">
            <v>0</v>
          </cell>
          <cell r="T44">
            <v>165.60000000000002</v>
          </cell>
          <cell r="V44">
            <v>655.16000000000008</v>
          </cell>
          <cell r="W44">
            <v>555</v>
          </cell>
          <cell r="X44">
            <v>0.75828703703703715</v>
          </cell>
          <cell r="Y44">
            <v>0.108</v>
          </cell>
          <cell r="Z44">
            <v>0.10769230769230768</v>
          </cell>
          <cell r="AA44">
            <v>2.2000000000000002E-2</v>
          </cell>
        </row>
        <row r="45">
          <cell r="B45" t="str">
            <v>02R9007</v>
          </cell>
          <cell r="C45" t="str">
            <v>GDL,Mex(sea)</v>
          </cell>
          <cell r="D45" t="str">
            <v>DDU</v>
          </cell>
          <cell r="E45">
            <v>180</v>
          </cell>
          <cell r="F45">
            <v>30</v>
          </cell>
          <cell r="G45">
            <v>30</v>
          </cell>
          <cell r="H45">
            <v>1.04139</v>
          </cell>
          <cell r="I45">
            <v>6.2483400000000007</v>
          </cell>
          <cell r="J45">
            <v>15</v>
          </cell>
          <cell r="K45">
            <v>140</v>
          </cell>
          <cell r="L45">
            <v>30</v>
          </cell>
          <cell r="M45">
            <v>224.94024000000002</v>
          </cell>
          <cell r="N45">
            <v>462.37716000000006</v>
          </cell>
          <cell r="O45">
            <v>170</v>
          </cell>
          <cell r="P45">
            <v>0</v>
          </cell>
          <cell r="Q45">
            <v>20</v>
          </cell>
          <cell r="R45">
            <v>187.45020000000002</v>
          </cell>
          <cell r="S45">
            <v>0</v>
          </cell>
          <cell r="T45">
            <v>937.25100000000009</v>
          </cell>
          <cell r="V45">
            <v>2187.0186000000003</v>
          </cell>
          <cell r="W45">
            <v>555</v>
          </cell>
          <cell r="X45">
            <v>12.150103333333336</v>
          </cell>
          <cell r="Y45">
            <v>0.58599999999999997</v>
          </cell>
          <cell r="Z45">
            <v>0.58589743589743593</v>
          </cell>
          <cell r="AA45">
            <v>0.61899999999999999</v>
          </cell>
        </row>
        <row r="46">
          <cell r="B46" t="str">
            <v>02R9058</v>
          </cell>
          <cell r="C46" t="str">
            <v>GDL,Mex(sea)</v>
          </cell>
          <cell r="D46" t="str">
            <v>DDU</v>
          </cell>
          <cell r="E46">
            <v>360</v>
          </cell>
          <cell r="F46">
            <v>30</v>
          </cell>
          <cell r="G46">
            <v>360</v>
          </cell>
          <cell r="H46">
            <v>0.95804800000000001</v>
          </cell>
          <cell r="I46">
            <v>1</v>
          </cell>
          <cell r="J46">
            <v>15</v>
          </cell>
          <cell r="K46">
            <v>100</v>
          </cell>
          <cell r="L46">
            <v>30</v>
          </cell>
          <cell r="M46">
            <v>36</v>
          </cell>
          <cell r="N46">
            <v>74</v>
          </cell>
          <cell r="O46">
            <v>170</v>
          </cell>
          <cell r="P46">
            <v>0</v>
          </cell>
          <cell r="Q46">
            <v>20</v>
          </cell>
          <cell r="R46">
            <v>30</v>
          </cell>
          <cell r="S46">
            <v>0</v>
          </cell>
          <cell r="T46">
            <v>150</v>
          </cell>
          <cell r="V46">
            <v>625</v>
          </cell>
          <cell r="W46">
            <v>555</v>
          </cell>
          <cell r="X46">
            <v>1.7361111111111112</v>
          </cell>
          <cell r="Y46">
            <v>0.13400000000000001</v>
          </cell>
          <cell r="Z46">
            <v>0.13333333333333333</v>
          </cell>
          <cell r="AA46">
            <v>5.1999999999999998E-2</v>
          </cell>
        </row>
        <row r="47">
          <cell r="B47" t="str">
            <v>02R9063</v>
          </cell>
          <cell r="C47" t="str">
            <v>GDL,Mex(sea)</v>
          </cell>
          <cell r="D47" t="str">
            <v>DDU</v>
          </cell>
          <cell r="E47">
            <v>2592</v>
          </cell>
          <cell r="F47">
            <v>216</v>
          </cell>
          <cell r="G47">
            <v>2592</v>
          </cell>
          <cell r="H47">
            <v>1.0992</v>
          </cell>
          <cell r="I47">
            <v>1.0992</v>
          </cell>
          <cell r="J47">
            <v>15</v>
          </cell>
          <cell r="K47">
            <v>100</v>
          </cell>
          <cell r="L47">
            <v>30</v>
          </cell>
          <cell r="M47">
            <v>39.571199999999997</v>
          </cell>
          <cell r="N47">
            <v>81.340800000000002</v>
          </cell>
          <cell r="O47">
            <v>170</v>
          </cell>
          <cell r="P47">
            <v>0</v>
          </cell>
          <cell r="Q47">
            <v>20</v>
          </cell>
          <cell r="R47">
            <v>32.975999999999999</v>
          </cell>
          <cell r="S47">
            <v>0</v>
          </cell>
          <cell r="T47">
            <v>164.88</v>
          </cell>
          <cell r="V47">
            <v>653.76800000000003</v>
          </cell>
          <cell r="W47">
            <v>555</v>
          </cell>
          <cell r="X47">
            <v>0.25222530864197534</v>
          </cell>
          <cell r="Y47">
            <v>2.2000000000000002E-2</v>
          </cell>
          <cell r="Z47">
            <v>2.1794871794871797E-2</v>
          </cell>
          <cell r="AA47">
            <v>8.0000000000000002E-3</v>
          </cell>
        </row>
        <row r="48">
          <cell r="B48" t="str">
            <v>02R9065</v>
          </cell>
          <cell r="C48" t="str">
            <v>GDL,Mex(sea)</v>
          </cell>
          <cell r="D48" t="str">
            <v>DDU</v>
          </cell>
          <cell r="E48">
            <v>1152</v>
          </cell>
          <cell r="F48">
            <v>192</v>
          </cell>
          <cell r="G48">
            <v>384</v>
          </cell>
          <cell r="H48">
            <v>1.3417343999999998</v>
          </cell>
          <cell r="I48">
            <v>4.0252031999999991</v>
          </cell>
          <cell r="J48">
            <v>15</v>
          </cell>
          <cell r="K48">
            <v>100</v>
          </cell>
          <cell r="L48">
            <v>30</v>
          </cell>
          <cell r="M48">
            <v>144.90731519999997</v>
          </cell>
          <cell r="N48">
            <v>297.86503679999993</v>
          </cell>
          <cell r="O48">
            <v>170</v>
          </cell>
          <cell r="P48">
            <v>0</v>
          </cell>
          <cell r="Q48">
            <v>20</v>
          </cell>
          <cell r="R48">
            <v>120.75609599999997</v>
          </cell>
          <cell r="S48">
            <v>0</v>
          </cell>
          <cell r="T48">
            <v>603.7804799999999</v>
          </cell>
          <cell r="V48">
            <v>1502.3089279999999</v>
          </cell>
          <cell r="W48">
            <v>555</v>
          </cell>
          <cell r="X48">
            <v>1.304087611111111</v>
          </cell>
          <cell r="Y48">
            <v>9.5000000000000001E-2</v>
          </cell>
          <cell r="Z48">
            <v>9.4871794871794868E-2</v>
          </cell>
          <cell r="AA48">
            <v>4.9000000000000002E-2</v>
          </cell>
        </row>
        <row r="49">
          <cell r="B49" t="str">
            <v>02R9168</v>
          </cell>
          <cell r="C49" t="str">
            <v>GDL,Mex(sea)</v>
          </cell>
          <cell r="D49" t="str">
            <v>DDU</v>
          </cell>
          <cell r="E49">
            <v>180</v>
          </cell>
          <cell r="F49">
            <v>3</v>
          </cell>
          <cell r="G49">
            <v>6</v>
          </cell>
          <cell r="H49">
            <v>1.1170800000000001</v>
          </cell>
          <cell r="I49">
            <v>33.5124</v>
          </cell>
          <cell r="J49">
            <v>15</v>
          </cell>
          <cell r="K49">
            <v>340</v>
          </cell>
          <cell r="L49">
            <v>30</v>
          </cell>
          <cell r="M49">
            <v>1206.4464</v>
          </cell>
          <cell r="N49">
            <v>2479.9175999999998</v>
          </cell>
          <cell r="O49">
            <v>170</v>
          </cell>
          <cell r="P49">
            <v>0</v>
          </cell>
          <cell r="Q49">
            <v>20</v>
          </cell>
          <cell r="R49">
            <v>1005.372</v>
          </cell>
          <cell r="S49">
            <v>0</v>
          </cell>
          <cell r="T49">
            <v>5026.8599999999997</v>
          </cell>
          <cell r="V49">
            <v>10293.596</v>
          </cell>
          <cell r="W49">
            <v>555</v>
          </cell>
          <cell r="X49">
            <v>57.18664444444444</v>
          </cell>
          <cell r="Y49">
            <v>5.0120000000000005</v>
          </cell>
          <cell r="Z49">
            <v>5.0115384615384624</v>
          </cell>
          <cell r="AA49">
            <v>3.0950000000000002</v>
          </cell>
        </row>
        <row r="50">
          <cell r="B50" t="str">
            <v>02R9169</v>
          </cell>
          <cell r="C50" t="str">
            <v>GDL,Mex(sea)</v>
          </cell>
          <cell r="D50" t="str">
            <v>DDU</v>
          </cell>
          <cell r="E50">
            <v>120</v>
          </cell>
          <cell r="F50">
            <v>3</v>
          </cell>
          <cell r="G50">
            <v>6</v>
          </cell>
          <cell r="H50">
            <v>1.1170800000000001</v>
          </cell>
          <cell r="I50">
            <v>22.3416</v>
          </cell>
          <cell r="J50">
            <v>15</v>
          </cell>
          <cell r="K50">
            <v>310</v>
          </cell>
          <cell r="L50">
            <v>30</v>
          </cell>
          <cell r="M50">
            <v>804.29759999999999</v>
          </cell>
          <cell r="N50">
            <v>1653.2783999999999</v>
          </cell>
          <cell r="O50">
            <v>170</v>
          </cell>
          <cell r="P50">
            <v>0</v>
          </cell>
          <cell r="Q50">
            <v>20</v>
          </cell>
          <cell r="R50">
            <v>670.24800000000005</v>
          </cell>
          <cell r="S50">
            <v>0</v>
          </cell>
          <cell r="T50">
            <v>3351.24</v>
          </cell>
          <cell r="V50">
            <v>7024.0640000000003</v>
          </cell>
          <cell r="W50">
            <v>555</v>
          </cell>
          <cell r="X50">
            <v>58.533866666666668</v>
          </cell>
          <cell r="Y50">
            <v>5.0090000000000003</v>
          </cell>
          <cell r="Z50">
            <v>5.0089743589743589</v>
          </cell>
          <cell r="AA50">
            <v>3.0950000000000002</v>
          </cell>
        </row>
        <row r="51">
          <cell r="B51" t="str">
            <v>02R9183</v>
          </cell>
          <cell r="C51" t="str">
            <v>GDL,Mex(sea)</v>
          </cell>
          <cell r="D51" t="str">
            <v>DDU</v>
          </cell>
          <cell r="E51">
            <v>108</v>
          </cell>
          <cell r="F51">
            <v>18</v>
          </cell>
          <cell r="G51">
            <v>36</v>
          </cell>
          <cell r="H51">
            <v>1.0452431999999998</v>
          </cell>
          <cell r="I51">
            <v>3.1357295999999995</v>
          </cell>
          <cell r="J51">
            <v>15</v>
          </cell>
          <cell r="K51">
            <v>100</v>
          </cell>
          <cell r="L51">
            <v>30</v>
          </cell>
          <cell r="M51">
            <v>112.88626559999997</v>
          </cell>
          <cell r="N51">
            <v>232.04399039999996</v>
          </cell>
          <cell r="O51">
            <v>170</v>
          </cell>
          <cell r="P51">
            <v>0</v>
          </cell>
          <cell r="Q51">
            <v>20</v>
          </cell>
          <cell r="R51">
            <v>94.071887999999987</v>
          </cell>
          <cell r="S51">
            <v>0</v>
          </cell>
          <cell r="T51">
            <v>470.35943999999989</v>
          </cell>
          <cell r="V51">
            <v>1244.3615839999998</v>
          </cell>
          <cell r="W51">
            <v>555</v>
          </cell>
          <cell r="X51">
            <v>11.521866518518516</v>
          </cell>
          <cell r="Y51">
            <v>1.69</v>
          </cell>
          <cell r="Z51">
            <v>1.6897435897435897</v>
          </cell>
          <cell r="AA51">
            <v>0.51600000000000001</v>
          </cell>
        </row>
        <row r="52">
          <cell r="B52" t="str">
            <v>13N2634</v>
          </cell>
          <cell r="C52" t="str">
            <v>GDL,Mex(sea)</v>
          </cell>
          <cell r="D52" t="str">
            <v>DDU</v>
          </cell>
          <cell r="E52">
            <v>270</v>
          </cell>
          <cell r="F52">
            <v>90</v>
          </cell>
          <cell r="G52">
            <v>90</v>
          </cell>
          <cell r="H52">
            <v>1.0871999999999999</v>
          </cell>
          <cell r="I52">
            <v>3.2615999999999996</v>
          </cell>
          <cell r="J52">
            <v>15</v>
          </cell>
          <cell r="K52">
            <v>100</v>
          </cell>
          <cell r="L52">
            <v>30</v>
          </cell>
          <cell r="M52">
            <v>117.41759999999999</v>
          </cell>
          <cell r="N52">
            <v>241.35839999999996</v>
          </cell>
          <cell r="O52">
            <v>170</v>
          </cell>
          <cell r="P52">
            <v>0</v>
          </cell>
          <cell r="Q52">
            <v>20</v>
          </cell>
          <cell r="R52">
            <v>97.847999999999985</v>
          </cell>
          <cell r="S52">
            <v>0</v>
          </cell>
          <cell r="T52">
            <v>489.23999999999995</v>
          </cell>
          <cell r="V52">
            <v>1280.8639999999998</v>
          </cell>
          <cell r="W52">
            <v>555</v>
          </cell>
          <cell r="X52">
            <v>4.7439407407407401</v>
          </cell>
          <cell r="Y52">
            <v>0.308</v>
          </cell>
          <cell r="Z52">
            <v>0.30769230769230771</v>
          </cell>
          <cell r="AA52">
            <v>0.20699999999999999</v>
          </cell>
        </row>
        <row r="53">
          <cell r="B53" t="str">
            <v>37l6505</v>
          </cell>
          <cell r="C53" t="str">
            <v>GDL,Mex(sea)</v>
          </cell>
          <cell r="D53" t="str">
            <v>DDU</v>
          </cell>
          <cell r="E53">
            <v>54</v>
          </cell>
          <cell r="F53">
            <v>18</v>
          </cell>
          <cell r="G53">
            <v>18</v>
          </cell>
          <cell r="H53">
            <v>1.1466000000000001</v>
          </cell>
          <cell r="I53">
            <v>3.4398</v>
          </cell>
          <cell r="J53">
            <v>15</v>
          </cell>
          <cell r="K53">
            <v>100</v>
          </cell>
          <cell r="L53">
            <v>30</v>
          </cell>
          <cell r="M53">
            <v>123.83279999999999</v>
          </cell>
          <cell r="N53">
            <v>254.54519999999999</v>
          </cell>
          <cell r="O53">
            <v>170</v>
          </cell>
          <cell r="P53">
            <v>0</v>
          </cell>
          <cell r="Q53">
            <v>20</v>
          </cell>
          <cell r="R53">
            <v>103.194</v>
          </cell>
          <cell r="S53">
            <v>0</v>
          </cell>
          <cell r="T53">
            <v>515.97</v>
          </cell>
          <cell r="V53">
            <v>1332.5419999999999</v>
          </cell>
          <cell r="W53">
            <v>555</v>
          </cell>
          <cell r="X53">
            <v>24.676703703703701</v>
          </cell>
          <cell r="Y53">
            <v>1.1269999999999998</v>
          </cell>
          <cell r="Z53">
            <v>1.1269230769230769</v>
          </cell>
          <cell r="AA53">
            <v>1.0319999999999998</v>
          </cell>
        </row>
        <row r="54">
          <cell r="B54" t="str">
            <v>37L6568</v>
          </cell>
          <cell r="C54" t="str">
            <v>GDL,Mex(sea)</v>
          </cell>
          <cell r="D54" t="str">
            <v>DDU</v>
          </cell>
          <cell r="E54">
            <v>2000</v>
          </cell>
          <cell r="F54">
            <v>2000</v>
          </cell>
          <cell r="G54">
            <v>36000</v>
          </cell>
          <cell r="H54">
            <v>1.1629800000000001</v>
          </cell>
          <cell r="I54">
            <v>1</v>
          </cell>
          <cell r="J54">
            <v>15</v>
          </cell>
          <cell r="K54">
            <v>100</v>
          </cell>
          <cell r="L54">
            <v>30</v>
          </cell>
          <cell r="M54">
            <v>36</v>
          </cell>
          <cell r="N54">
            <v>74</v>
          </cell>
          <cell r="O54">
            <v>170</v>
          </cell>
          <cell r="P54">
            <v>0</v>
          </cell>
          <cell r="Q54">
            <v>20</v>
          </cell>
          <cell r="R54">
            <v>30</v>
          </cell>
          <cell r="S54">
            <v>0</v>
          </cell>
          <cell r="T54">
            <v>150</v>
          </cell>
          <cell r="V54">
            <v>625</v>
          </cell>
          <cell r="W54">
            <v>555</v>
          </cell>
          <cell r="X54">
            <v>0.3125</v>
          </cell>
          <cell r="Y54">
            <v>2.4E-2</v>
          </cell>
          <cell r="Z54">
            <v>2.3076923076923078E-2</v>
          </cell>
          <cell r="AA54">
            <v>4.4999999999999997E-3</v>
          </cell>
        </row>
        <row r="55">
          <cell r="B55" t="str">
            <v>37L6571</v>
          </cell>
          <cell r="C55" t="str">
            <v>GDL,Mex(sea)</v>
          </cell>
          <cell r="D55" t="str">
            <v>DDU</v>
          </cell>
          <cell r="E55">
            <v>360</v>
          </cell>
          <cell r="F55">
            <v>30</v>
          </cell>
          <cell r="G55">
            <v>360</v>
          </cell>
          <cell r="H55">
            <v>0.95804800000000001</v>
          </cell>
          <cell r="I55">
            <v>1</v>
          </cell>
          <cell r="J55">
            <v>15</v>
          </cell>
          <cell r="K55">
            <v>100</v>
          </cell>
          <cell r="L55">
            <v>30</v>
          </cell>
          <cell r="M55">
            <v>36</v>
          </cell>
          <cell r="N55">
            <v>74</v>
          </cell>
          <cell r="O55">
            <v>170</v>
          </cell>
          <cell r="P55">
            <v>0</v>
          </cell>
          <cell r="Q55">
            <v>20</v>
          </cell>
          <cell r="R55">
            <v>30</v>
          </cell>
          <cell r="S55">
            <v>0</v>
          </cell>
          <cell r="T55">
            <v>150</v>
          </cell>
          <cell r="V55">
            <v>625</v>
          </cell>
          <cell r="W55">
            <v>555</v>
          </cell>
          <cell r="X55">
            <v>1.7361111111111112</v>
          </cell>
          <cell r="Y55">
            <v>0.13400000000000001</v>
          </cell>
          <cell r="Z55">
            <v>0.13333333333333333</v>
          </cell>
          <cell r="AA55">
            <v>5.1999999999999998E-2</v>
          </cell>
        </row>
        <row r="56">
          <cell r="B56" t="str">
            <v>48P7076</v>
          </cell>
          <cell r="C56" t="str">
            <v>GDL,Mex(sea)</v>
          </cell>
          <cell r="D56" t="str">
            <v>DDU</v>
          </cell>
          <cell r="E56">
            <v>3360</v>
          </cell>
          <cell r="F56">
            <v>1680</v>
          </cell>
          <cell r="G56">
            <v>3360</v>
          </cell>
          <cell r="H56">
            <v>1.0725119999999999</v>
          </cell>
          <cell r="I56">
            <v>1.0725119999999999</v>
          </cell>
          <cell r="J56">
            <v>15</v>
          </cell>
          <cell r="K56">
            <v>100</v>
          </cell>
          <cell r="L56">
            <v>30</v>
          </cell>
          <cell r="M56">
            <v>38.610431999999996</v>
          </cell>
          <cell r="N56">
            <v>79.365887999999998</v>
          </cell>
          <cell r="O56">
            <v>170</v>
          </cell>
          <cell r="P56">
            <v>0</v>
          </cell>
          <cell r="Q56">
            <v>20</v>
          </cell>
          <cell r="R56">
            <v>32.175359999999998</v>
          </cell>
          <cell r="S56">
            <v>0</v>
          </cell>
          <cell r="T56">
            <v>160.87679999999997</v>
          </cell>
          <cell r="V56">
            <v>646.02847999999994</v>
          </cell>
          <cell r="W56">
            <v>555</v>
          </cell>
          <cell r="X56">
            <v>0.19227038095238094</v>
          </cell>
          <cell r="Y56">
            <v>2.9000000000000001E-2</v>
          </cell>
          <cell r="Z56">
            <v>2.8205128205128206E-2</v>
          </cell>
          <cell r="AA56">
            <v>6.0000000000000001E-3</v>
          </cell>
        </row>
        <row r="57">
          <cell r="B57" t="str">
            <v>48P7077</v>
          </cell>
          <cell r="C57" t="str">
            <v>GDL,Mex(sea)</v>
          </cell>
          <cell r="D57" t="str">
            <v>DDU</v>
          </cell>
          <cell r="E57">
            <v>1152</v>
          </cell>
          <cell r="F57">
            <v>192</v>
          </cell>
          <cell r="G57">
            <v>384</v>
          </cell>
          <cell r="H57">
            <v>1.3417343999999998</v>
          </cell>
          <cell r="I57">
            <v>4.0252031999999991</v>
          </cell>
          <cell r="J57">
            <v>15</v>
          </cell>
          <cell r="K57">
            <v>100</v>
          </cell>
          <cell r="L57">
            <v>30</v>
          </cell>
          <cell r="M57">
            <v>144.90731519999997</v>
          </cell>
          <cell r="N57">
            <v>297.86503679999993</v>
          </cell>
          <cell r="O57">
            <v>170</v>
          </cell>
          <cell r="P57">
            <v>0</v>
          </cell>
          <cell r="Q57">
            <v>20</v>
          </cell>
          <cell r="R57">
            <v>120.75609599999997</v>
          </cell>
          <cell r="S57">
            <v>0</v>
          </cell>
          <cell r="T57">
            <v>603.7804799999999</v>
          </cell>
          <cell r="V57">
            <v>1502.3089279999999</v>
          </cell>
          <cell r="W57">
            <v>555</v>
          </cell>
          <cell r="X57">
            <v>1.304087611111111</v>
          </cell>
          <cell r="Y57">
            <v>9.5000000000000001E-2</v>
          </cell>
          <cell r="Z57">
            <v>9.4871794871794868E-2</v>
          </cell>
          <cell r="AA57">
            <v>4.9000000000000002E-2</v>
          </cell>
        </row>
        <row r="58">
          <cell r="B58" t="str">
            <v>48P7078</v>
          </cell>
          <cell r="C58" t="str">
            <v>GDL,Mex(sea)</v>
          </cell>
          <cell r="D58" t="str">
            <v>DDU</v>
          </cell>
          <cell r="E58">
            <v>1080</v>
          </cell>
          <cell r="F58">
            <v>30</v>
          </cell>
          <cell r="G58">
            <v>360</v>
          </cell>
          <cell r="H58">
            <v>0.95804800000000001</v>
          </cell>
          <cell r="I58">
            <v>2.8741440000000003</v>
          </cell>
          <cell r="J58">
            <v>15</v>
          </cell>
          <cell r="K58">
            <v>100</v>
          </cell>
          <cell r="L58">
            <v>30</v>
          </cell>
          <cell r="M58">
            <v>103.46918400000001</v>
          </cell>
          <cell r="N58">
            <v>212.68665600000003</v>
          </cell>
          <cell r="O58">
            <v>170</v>
          </cell>
          <cell r="P58">
            <v>0</v>
          </cell>
          <cell r="Q58">
            <v>20</v>
          </cell>
          <cell r="R58">
            <v>86.224320000000006</v>
          </cell>
          <cell r="S58">
            <v>0</v>
          </cell>
          <cell r="T58">
            <v>431.12160000000006</v>
          </cell>
          <cell r="V58">
            <v>1168.5017600000001</v>
          </cell>
          <cell r="W58">
            <v>555</v>
          </cell>
          <cell r="X58">
            <v>1.0819460740740741</v>
          </cell>
          <cell r="Y58">
            <v>0.13400000000000001</v>
          </cell>
          <cell r="Z58">
            <v>0.13333333333333333</v>
          </cell>
          <cell r="AA58">
            <v>5.1999999999999998E-2</v>
          </cell>
        </row>
        <row r="59">
          <cell r="B59" t="str">
            <v>48P7079</v>
          </cell>
          <cell r="C59" t="str">
            <v>GDL,Mex(sea)</v>
          </cell>
          <cell r="D59" t="str">
            <v>DDU</v>
          </cell>
          <cell r="E59">
            <v>216</v>
          </cell>
          <cell r="F59">
            <v>18</v>
          </cell>
          <cell r="G59">
            <v>216</v>
          </cell>
          <cell r="H59">
            <v>1.0264800000000001</v>
          </cell>
          <cell r="I59">
            <v>1.0264800000000001</v>
          </cell>
          <cell r="J59">
            <v>15</v>
          </cell>
          <cell r="K59">
            <v>100</v>
          </cell>
          <cell r="L59">
            <v>30</v>
          </cell>
          <cell r="M59">
            <v>36.953279999999999</v>
          </cell>
          <cell r="N59">
            <v>75.959519999999998</v>
          </cell>
          <cell r="O59">
            <v>170</v>
          </cell>
          <cell r="P59">
            <v>0</v>
          </cell>
          <cell r="Q59">
            <v>20</v>
          </cell>
          <cell r="R59">
            <v>30.794400000000003</v>
          </cell>
          <cell r="S59">
            <v>0</v>
          </cell>
          <cell r="T59">
            <v>153.97200000000001</v>
          </cell>
          <cell r="V59">
            <v>632.67920000000004</v>
          </cell>
          <cell r="W59">
            <v>555</v>
          </cell>
          <cell r="X59">
            <v>2.9290703703703707</v>
          </cell>
          <cell r="Y59">
            <v>0.23799999999999999</v>
          </cell>
          <cell r="Z59">
            <v>0.2371794871794872</v>
          </cell>
          <cell r="AA59">
            <v>8.6000000000000007E-2</v>
          </cell>
        </row>
        <row r="60">
          <cell r="B60" t="str">
            <v>49P2522</v>
          </cell>
          <cell r="C60" t="str">
            <v>GDL,Mex(sea)</v>
          </cell>
          <cell r="D60" t="str">
            <v>DDU</v>
          </cell>
          <cell r="E60">
            <v>768</v>
          </cell>
          <cell r="F60">
            <v>128</v>
          </cell>
          <cell r="G60">
            <v>256</v>
          </cell>
          <cell r="H60">
            <v>1.0248839999999999</v>
          </cell>
          <cell r="I60">
            <v>3.0746519999999995</v>
          </cell>
          <cell r="J60">
            <v>15</v>
          </cell>
          <cell r="K60">
            <v>100</v>
          </cell>
          <cell r="L60">
            <v>30</v>
          </cell>
          <cell r="M60">
            <v>110.68747199999999</v>
          </cell>
          <cell r="N60">
            <v>227.52424799999997</v>
          </cell>
          <cell r="O60">
            <v>170</v>
          </cell>
          <cell r="P60">
            <v>0</v>
          </cell>
          <cell r="Q60">
            <v>20</v>
          </cell>
          <cell r="R60">
            <v>92.239559999999983</v>
          </cell>
          <cell r="S60">
            <v>0</v>
          </cell>
          <cell r="T60">
            <v>461.19779999999992</v>
          </cell>
          <cell r="V60">
            <v>1226.6490799999999</v>
          </cell>
          <cell r="W60">
            <v>555</v>
          </cell>
          <cell r="X60">
            <v>1.5971993229166666</v>
          </cell>
          <cell r="Y60">
            <v>0.161</v>
          </cell>
          <cell r="Z60">
            <v>0.16025641025641027</v>
          </cell>
          <cell r="AA60">
            <v>7.2999999999999995E-2</v>
          </cell>
        </row>
        <row r="61">
          <cell r="B61" t="str">
            <v>49P2523</v>
          </cell>
          <cell r="C61" t="str">
            <v>GDL,Mex(sea)</v>
          </cell>
          <cell r="D61" t="str">
            <v>DDU</v>
          </cell>
          <cell r="E61">
            <v>720</v>
          </cell>
          <cell r="F61">
            <v>60</v>
          </cell>
          <cell r="G61">
            <v>720</v>
          </cell>
          <cell r="H61">
            <v>1.1040000000000001</v>
          </cell>
          <cell r="I61">
            <v>1.1040000000000001</v>
          </cell>
          <cell r="J61">
            <v>15</v>
          </cell>
          <cell r="K61">
            <v>100</v>
          </cell>
          <cell r="L61">
            <v>30</v>
          </cell>
          <cell r="M61">
            <v>39.744</v>
          </cell>
          <cell r="N61">
            <v>81.696000000000012</v>
          </cell>
          <cell r="O61">
            <v>170</v>
          </cell>
          <cell r="P61">
            <v>0</v>
          </cell>
          <cell r="Q61">
            <v>20</v>
          </cell>
          <cell r="R61">
            <v>33.120000000000005</v>
          </cell>
          <cell r="S61">
            <v>0</v>
          </cell>
          <cell r="T61">
            <v>165.60000000000002</v>
          </cell>
          <cell r="V61">
            <v>655.16000000000008</v>
          </cell>
          <cell r="W61">
            <v>555</v>
          </cell>
          <cell r="X61">
            <v>0.90994444444444456</v>
          </cell>
          <cell r="Y61">
            <v>0.11700000000000001</v>
          </cell>
          <cell r="Z61">
            <v>0.11666666666666667</v>
          </cell>
          <cell r="AA61">
            <v>2.6000000000000002E-2</v>
          </cell>
        </row>
        <row r="62">
          <cell r="B62" t="str">
            <v>49P2576</v>
          </cell>
          <cell r="C62" t="str">
            <v>GDL,Mex(sea)</v>
          </cell>
          <cell r="D62" t="str">
            <v>DDU</v>
          </cell>
          <cell r="E62">
            <v>480</v>
          </cell>
          <cell r="F62">
            <v>480</v>
          </cell>
          <cell r="G62">
            <v>8640</v>
          </cell>
          <cell r="H62">
            <v>1.0711439999999999</v>
          </cell>
          <cell r="I62">
            <v>1</v>
          </cell>
          <cell r="J62">
            <v>15</v>
          </cell>
          <cell r="K62">
            <v>100</v>
          </cell>
          <cell r="L62">
            <v>30</v>
          </cell>
          <cell r="M62">
            <v>36</v>
          </cell>
          <cell r="N62">
            <v>74</v>
          </cell>
          <cell r="O62">
            <v>170</v>
          </cell>
          <cell r="P62">
            <v>0</v>
          </cell>
          <cell r="Q62">
            <v>20</v>
          </cell>
          <cell r="R62">
            <v>30</v>
          </cell>
          <cell r="S62">
            <v>0</v>
          </cell>
          <cell r="T62">
            <v>150</v>
          </cell>
          <cell r="V62">
            <v>625</v>
          </cell>
          <cell r="W62">
            <v>555</v>
          </cell>
          <cell r="X62">
            <v>1.3020833333333333</v>
          </cell>
          <cell r="Y62">
            <v>1.3000000000000001E-2</v>
          </cell>
          <cell r="Z62">
            <v>1.2820512820512822E-2</v>
          </cell>
          <cell r="AA62">
            <v>1.8749999999999999E-2</v>
          </cell>
        </row>
        <row r="63">
          <cell r="B63" t="str">
            <v>49P2577</v>
          </cell>
          <cell r="C63" t="str">
            <v>GDL,Mex(sea)</v>
          </cell>
          <cell r="D63" t="str">
            <v>DDU</v>
          </cell>
          <cell r="E63">
            <v>480</v>
          </cell>
          <cell r="F63">
            <v>480</v>
          </cell>
          <cell r="G63">
            <v>8640</v>
          </cell>
          <cell r="H63">
            <v>1.0711439999999999</v>
          </cell>
          <cell r="I63">
            <v>1</v>
          </cell>
          <cell r="J63">
            <v>15</v>
          </cell>
          <cell r="K63">
            <v>100</v>
          </cell>
          <cell r="L63">
            <v>30</v>
          </cell>
          <cell r="M63">
            <v>36</v>
          </cell>
          <cell r="N63">
            <v>74</v>
          </cell>
          <cell r="O63">
            <v>170</v>
          </cell>
          <cell r="P63">
            <v>0</v>
          </cell>
          <cell r="Q63">
            <v>20</v>
          </cell>
          <cell r="R63">
            <v>30</v>
          </cell>
          <cell r="S63">
            <v>0</v>
          </cell>
          <cell r="T63">
            <v>150</v>
          </cell>
          <cell r="V63">
            <v>625</v>
          </cell>
          <cell r="W63">
            <v>555</v>
          </cell>
          <cell r="X63">
            <v>1.3020833333333333</v>
          </cell>
          <cell r="Y63">
            <v>1.3000000000000001E-2</v>
          </cell>
          <cell r="Z63">
            <v>1.2820512820512822E-2</v>
          </cell>
          <cell r="AA63">
            <v>1.8749999999999999E-2</v>
          </cell>
        </row>
        <row r="64">
          <cell r="B64" t="str">
            <v>49P2602</v>
          </cell>
          <cell r="C64" t="str">
            <v>GDL,Mex(sea)</v>
          </cell>
          <cell r="D64" t="str">
            <v>DDU</v>
          </cell>
          <cell r="E64">
            <v>480</v>
          </cell>
          <cell r="F64">
            <v>480</v>
          </cell>
          <cell r="G64">
            <v>8640</v>
          </cell>
          <cell r="H64">
            <v>1.0711439999999999</v>
          </cell>
          <cell r="I64">
            <v>1</v>
          </cell>
          <cell r="J64">
            <v>15</v>
          </cell>
          <cell r="K64">
            <v>100</v>
          </cell>
          <cell r="L64">
            <v>30</v>
          </cell>
          <cell r="M64">
            <v>36</v>
          </cell>
          <cell r="N64">
            <v>74</v>
          </cell>
          <cell r="O64">
            <v>170</v>
          </cell>
          <cell r="P64">
            <v>0</v>
          </cell>
          <cell r="Q64">
            <v>20</v>
          </cell>
          <cell r="R64">
            <v>30</v>
          </cell>
          <cell r="S64">
            <v>0</v>
          </cell>
          <cell r="T64">
            <v>150</v>
          </cell>
          <cell r="V64">
            <v>625</v>
          </cell>
          <cell r="W64">
            <v>555</v>
          </cell>
          <cell r="X64">
            <v>1.3020833333333333</v>
          </cell>
          <cell r="Y64">
            <v>1.3000000000000001E-2</v>
          </cell>
          <cell r="Z64">
            <v>1.2820512820512822E-2</v>
          </cell>
          <cell r="AA64">
            <v>1.8749999999999999E-2</v>
          </cell>
        </row>
        <row r="65">
          <cell r="B65" t="str">
            <v>49P2651</v>
          </cell>
          <cell r="C65" t="str">
            <v>GDL,Mex(sea)</v>
          </cell>
          <cell r="D65" t="str">
            <v>DDU</v>
          </cell>
          <cell r="E65">
            <v>9216</v>
          </cell>
          <cell r="F65">
            <v>768</v>
          </cell>
          <cell r="G65">
            <v>9216</v>
          </cell>
          <cell r="H65">
            <v>0.84203819999999985</v>
          </cell>
          <cell r="I65">
            <v>1</v>
          </cell>
          <cell r="J65">
            <v>15</v>
          </cell>
          <cell r="K65">
            <v>100</v>
          </cell>
          <cell r="L65">
            <v>30</v>
          </cell>
          <cell r="M65">
            <v>36</v>
          </cell>
          <cell r="N65">
            <v>74</v>
          </cell>
          <cell r="O65">
            <v>170</v>
          </cell>
          <cell r="P65">
            <v>0</v>
          </cell>
          <cell r="Q65">
            <v>20</v>
          </cell>
          <cell r="R65">
            <v>30</v>
          </cell>
          <cell r="S65">
            <v>0</v>
          </cell>
          <cell r="T65">
            <v>150</v>
          </cell>
          <cell r="V65">
            <v>625</v>
          </cell>
          <cell r="W65">
            <v>555</v>
          </cell>
          <cell r="X65">
            <v>6.7816840277777776E-2</v>
          </cell>
          <cell r="Y65">
            <v>1.4999999999999999E-2</v>
          </cell>
          <cell r="Z65">
            <v>1.4102564102564103E-2</v>
          </cell>
          <cell r="AA65">
            <v>3.0000000000000001E-3</v>
          </cell>
        </row>
        <row r="66">
          <cell r="B66" t="str">
            <v>49P2661</v>
          </cell>
          <cell r="C66" t="str">
            <v>GDL,Mex(sea)</v>
          </cell>
          <cell r="D66" t="str">
            <v>DDU</v>
          </cell>
          <cell r="E66">
            <v>2592</v>
          </cell>
          <cell r="F66">
            <v>144</v>
          </cell>
          <cell r="G66">
            <v>2592</v>
          </cell>
          <cell r="H66">
            <v>1.07406</v>
          </cell>
          <cell r="I66">
            <v>1.07406</v>
          </cell>
          <cell r="J66">
            <v>15</v>
          </cell>
          <cell r="K66">
            <v>100</v>
          </cell>
          <cell r="L66">
            <v>30</v>
          </cell>
          <cell r="M66">
            <v>38.666159999999998</v>
          </cell>
          <cell r="N66">
            <v>79.480440000000002</v>
          </cell>
          <cell r="O66">
            <v>170</v>
          </cell>
          <cell r="P66">
            <v>0</v>
          </cell>
          <cell r="Q66">
            <v>20</v>
          </cell>
          <cell r="R66">
            <v>32.221800000000002</v>
          </cell>
          <cell r="S66">
            <v>0</v>
          </cell>
          <cell r="T66">
            <v>161.10900000000001</v>
          </cell>
          <cell r="V66">
            <v>646.47739999999999</v>
          </cell>
          <cell r="W66">
            <v>555</v>
          </cell>
          <cell r="X66">
            <v>0.24941257716049381</v>
          </cell>
          <cell r="Y66">
            <v>2.5000000000000001E-2</v>
          </cell>
          <cell r="Z66">
            <v>2.4358974358974359E-2</v>
          </cell>
          <cell r="AA66">
            <v>8.0000000000000002E-3</v>
          </cell>
        </row>
        <row r="67">
          <cell r="B67" t="str">
            <v>49P2664</v>
          </cell>
          <cell r="C67" t="str">
            <v>GDL,Mex(sea)</v>
          </cell>
          <cell r="D67" t="str">
            <v>DDU</v>
          </cell>
          <cell r="E67">
            <v>2700</v>
          </cell>
          <cell r="F67">
            <v>900</v>
          </cell>
          <cell r="G67">
            <v>24300</v>
          </cell>
          <cell r="H67">
            <v>1.0452431999999998</v>
          </cell>
          <cell r="I67">
            <v>1</v>
          </cell>
          <cell r="J67">
            <v>15</v>
          </cell>
          <cell r="K67">
            <v>100</v>
          </cell>
          <cell r="L67">
            <v>30</v>
          </cell>
          <cell r="M67">
            <v>36</v>
          </cell>
          <cell r="N67">
            <v>74</v>
          </cell>
          <cell r="O67">
            <v>170</v>
          </cell>
          <cell r="P67">
            <v>0</v>
          </cell>
          <cell r="Q67">
            <v>20</v>
          </cell>
          <cell r="R67">
            <v>30</v>
          </cell>
          <cell r="S67">
            <v>0</v>
          </cell>
          <cell r="T67">
            <v>150</v>
          </cell>
          <cell r="V67">
            <v>625</v>
          </cell>
          <cell r="W67">
            <v>555</v>
          </cell>
          <cell r="X67">
            <v>0.23148148148148148</v>
          </cell>
          <cell r="Y67">
            <v>3.0000000000000001E-3</v>
          </cell>
          <cell r="Z67">
            <v>2.5641025641025641E-3</v>
          </cell>
          <cell r="AA67">
            <v>0.01</v>
          </cell>
        </row>
        <row r="68">
          <cell r="B68" t="str">
            <v>73P6145</v>
          </cell>
          <cell r="C68" t="str">
            <v>GDL,Mex(sea)</v>
          </cell>
          <cell r="D68" t="str">
            <v>DDU</v>
          </cell>
          <cell r="E68">
            <v>80</v>
          </cell>
          <cell r="F68">
            <v>80</v>
          </cell>
          <cell r="G68">
            <v>80</v>
          </cell>
          <cell r="H68">
            <v>0.80312960000000011</v>
          </cell>
          <cell r="I68">
            <v>1</v>
          </cell>
          <cell r="J68">
            <v>15</v>
          </cell>
          <cell r="K68">
            <v>100</v>
          </cell>
          <cell r="L68">
            <v>30</v>
          </cell>
          <cell r="M68">
            <v>36</v>
          </cell>
          <cell r="N68">
            <v>74</v>
          </cell>
          <cell r="O68">
            <v>170</v>
          </cell>
          <cell r="P68">
            <v>0</v>
          </cell>
          <cell r="Q68">
            <v>20</v>
          </cell>
          <cell r="R68">
            <v>30</v>
          </cell>
          <cell r="S68">
            <v>0</v>
          </cell>
          <cell r="T68">
            <v>150</v>
          </cell>
          <cell r="V68">
            <v>625</v>
          </cell>
          <cell r="W68">
            <v>555</v>
          </cell>
          <cell r="X68">
            <v>7.8125</v>
          </cell>
          <cell r="Y68">
            <v>0.316</v>
          </cell>
          <cell r="Z68">
            <v>0.31538461538461537</v>
          </cell>
          <cell r="AA68">
            <v>0.23300000000000001</v>
          </cell>
        </row>
        <row r="69">
          <cell r="B69" t="str">
            <v>73P6640</v>
          </cell>
          <cell r="C69" t="str">
            <v>GDL,Mex(sea)</v>
          </cell>
          <cell r="D69" t="str">
            <v>DDU</v>
          </cell>
          <cell r="E69">
            <v>768</v>
          </cell>
          <cell r="F69">
            <v>768</v>
          </cell>
          <cell r="G69">
            <v>9216</v>
          </cell>
          <cell r="H69">
            <v>0.84203819999999985</v>
          </cell>
          <cell r="I69">
            <v>1</v>
          </cell>
          <cell r="J69">
            <v>15</v>
          </cell>
          <cell r="K69">
            <v>100</v>
          </cell>
          <cell r="L69">
            <v>30</v>
          </cell>
          <cell r="M69">
            <v>36</v>
          </cell>
          <cell r="N69">
            <v>74</v>
          </cell>
          <cell r="O69">
            <v>170</v>
          </cell>
          <cell r="P69">
            <v>0</v>
          </cell>
          <cell r="Q69">
            <v>20</v>
          </cell>
          <cell r="R69">
            <v>30</v>
          </cell>
          <cell r="S69">
            <v>0</v>
          </cell>
          <cell r="T69">
            <v>150</v>
          </cell>
          <cell r="V69">
            <v>625</v>
          </cell>
          <cell r="W69">
            <v>555</v>
          </cell>
          <cell r="X69">
            <v>0.81380208333333337</v>
          </cell>
          <cell r="Y69">
            <v>1.4999999999999999E-2</v>
          </cell>
          <cell r="Z69">
            <v>1.4102564102564103E-2</v>
          </cell>
          <cell r="AA69">
            <v>1.171875E-2</v>
          </cell>
        </row>
        <row r="70">
          <cell r="B70" t="str">
            <v>73P6641</v>
          </cell>
          <cell r="C70" t="str">
            <v>GDL,Mex(sea)</v>
          </cell>
          <cell r="D70" t="str">
            <v>DDU</v>
          </cell>
          <cell r="E70">
            <v>30</v>
          </cell>
          <cell r="F70">
            <v>30</v>
          </cell>
          <cell r="G70">
            <v>360</v>
          </cell>
          <cell r="H70">
            <v>0.95804800000000001</v>
          </cell>
          <cell r="I70">
            <v>1</v>
          </cell>
          <cell r="J70">
            <v>15</v>
          </cell>
          <cell r="K70">
            <v>100</v>
          </cell>
          <cell r="L70">
            <v>30</v>
          </cell>
          <cell r="M70">
            <v>36</v>
          </cell>
          <cell r="N70">
            <v>74</v>
          </cell>
          <cell r="O70">
            <v>170</v>
          </cell>
          <cell r="P70">
            <v>0</v>
          </cell>
          <cell r="Q70">
            <v>20</v>
          </cell>
          <cell r="R70">
            <v>30</v>
          </cell>
          <cell r="S70">
            <v>0</v>
          </cell>
          <cell r="T70">
            <v>150</v>
          </cell>
          <cell r="V70">
            <v>625</v>
          </cell>
          <cell r="W70">
            <v>555</v>
          </cell>
          <cell r="X70">
            <v>20.833333333333332</v>
          </cell>
          <cell r="Y70">
            <v>0.13400000000000001</v>
          </cell>
          <cell r="Z70">
            <v>0.13333333333333333</v>
          </cell>
          <cell r="AA70">
            <v>0.3</v>
          </cell>
        </row>
        <row r="71">
          <cell r="B71" t="str">
            <v>73P6646</v>
          </cell>
          <cell r="C71" t="str">
            <v>GDL,Mex(sea)</v>
          </cell>
          <cell r="D71" t="str">
            <v>DDU</v>
          </cell>
          <cell r="E71">
            <v>360</v>
          </cell>
          <cell r="F71">
            <v>30</v>
          </cell>
          <cell r="G71">
            <v>360</v>
          </cell>
          <cell r="H71">
            <v>0.95804800000000001</v>
          </cell>
          <cell r="I71">
            <v>1</v>
          </cell>
          <cell r="J71">
            <v>15</v>
          </cell>
          <cell r="K71">
            <v>100</v>
          </cell>
          <cell r="L71">
            <v>30</v>
          </cell>
          <cell r="M71">
            <v>36</v>
          </cell>
          <cell r="N71">
            <v>74</v>
          </cell>
          <cell r="O71">
            <v>170</v>
          </cell>
          <cell r="P71">
            <v>0</v>
          </cell>
          <cell r="Q71">
            <v>20</v>
          </cell>
          <cell r="R71">
            <v>30</v>
          </cell>
          <cell r="S71">
            <v>0</v>
          </cell>
          <cell r="T71">
            <v>150</v>
          </cell>
          <cell r="V71">
            <v>625</v>
          </cell>
          <cell r="W71">
            <v>555</v>
          </cell>
          <cell r="X71">
            <v>1.7361111111111112</v>
          </cell>
          <cell r="Y71">
            <v>0.13400000000000001</v>
          </cell>
          <cell r="Z71">
            <v>0.13333333333333333</v>
          </cell>
          <cell r="AA71">
            <v>5.1999999999999998E-2</v>
          </cell>
        </row>
        <row r="72">
          <cell r="B72" t="str">
            <v>73P6647</v>
          </cell>
          <cell r="C72" t="str">
            <v>GDL,Mex(sea)</v>
          </cell>
          <cell r="D72" t="str">
            <v>DDU</v>
          </cell>
          <cell r="E72">
            <v>216</v>
          </cell>
          <cell r="F72">
            <v>18</v>
          </cell>
          <cell r="G72">
            <v>216</v>
          </cell>
          <cell r="H72">
            <v>1.0264800000000001</v>
          </cell>
          <cell r="I72">
            <v>1.0264800000000001</v>
          </cell>
          <cell r="J72">
            <v>15</v>
          </cell>
          <cell r="K72">
            <v>100</v>
          </cell>
          <cell r="L72">
            <v>30</v>
          </cell>
          <cell r="M72">
            <v>36.953279999999999</v>
          </cell>
          <cell r="N72">
            <v>75.959519999999998</v>
          </cell>
          <cell r="O72">
            <v>170</v>
          </cell>
          <cell r="P72">
            <v>0</v>
          </cell>
          <cell r="Q72">
            <v>20</v>
          </cell>
          <cell r="R72">
            <v>30.794400000000003</v>
          </cell>
          <cell r="S72">
            <v>0</v>
          </cell>
          <cell r="T72">
            <v>153.97200000000001</v>
          </cell>
          <cell r="V72">
            <v>632.67920000000004</v>
          </cell>
          <cell r="W72">
            <v>555</v>
          </cell>
          <cell r="X72">
            <v>2.9290703703703707</v>
          </cell>
          <cell r="Y72">
            <v>0.23799999999999999</v>
          </cell>
          <cell r="Z72">
            <v>0.2371794871794872</v>
          </cell>
          <cell r="AA72">
            <v>8.6000000000000007E-2</v>
          </cell>
        </row>
        <row r="73">
          <cell r="B73" t="str">
            <v>73P6656</v>
          </cell>
          <cell r="C73" t="str">
            <v>GDL,Mex(sea)</v>
          </cell>
          <cell r="D73" t="str">
            <v>DDU</v>
          </cell>
          <cell r="E73">
            <v>648</v>
          </cell>
          <cell r="F73">
            <v>36</v>
          </cell>
          <cell r="G73">
            <v>648</v>
          </cell>
          <cell r="H73">
            <v>1.14219</v>
          </cell>
          <cell r="I73">
            <v>1.14219</v>
          </cell>
          <cell r="J73">
            <v>15</v>
          </cell>
          <cell r="K73">
            <v>100</v>
          </cell>
          <cell r="L73">
            <v>30</v>
          </cell>
          <cell r="M73">
            <v>41.118839999999999</v>
          </cell>
          <cell r="N73">
            <v>84.522059999999996</v>
          </cell>
          <cell r="O73">
            <v>170</v>
          </cell>
          <cell r="P73">
            <v>0</v>
          </cell>
          <cell r="Q73">
            <v>20</v>
          </cell>
          <cell r="R73">
            <v>34.265700000000002</v>
          </cell>
          <cell r="S73">
            <v>0</v>
          </cell>
          <cell r="T73">
            <v>171.32850000000002</v>
          </cell>
          <cell r="V73">
            <v>666.23509999999999</v>
          </cell>
          <cell r="W73">
            <v>555</v>
          </cell>
          <cell r="X73">
            <v>1.028140586419753</v>
          </cell>
          <cell r="Y73">
            <v>0.14699999999999999</v>
          </cell>
          <cell r="Z73">
            <v>0.14615384615384613</v>
          </cell>
          <cell r="AA73">
            <v>2.9000000000000001E-2</v>
          </cell>
        </row>
        <row r="74">
          <cell r="B74" t="str">
            <v>90P4709-item2</v>
          </cell>
          <cell r="C74" t="str">
            <v>GDL,Mex(sea)</v>
          </cell>
          <cell r="D74" t="str">
            <v>DDU</v>
          </cell>
          <cell r="E74">
            <v>2700</v>
          </cell>
          <cell r="F74">
            <v>900</v>
          </cell>
          <cell r="G74">
            <v>24300</v>
          </cell>
          <cell r="H74">
            <v>0.86399999999999999</v>
          </cell>
          <cell r="I74">
            <v>1</v>
          </cell>
          <cell r="J74">
            <v>15</v>
          </cell>
          <cell r="K74">
            <v>100</v>
          </cell>
          <cell r="L74">
            <v>30</v>
          </cell>
          <cell r="M74">
            <v>36</v>
          </cell>
          <cell r="N74">
            <v>74</v>
          </cell>
          <cell r="O74">
            <v>170</v>
          </cell>
          <cell r="P74">
            <v>0</v>
          </cell>
          <cell r="Q74">
            <v>20</v>
          </cell>
          <cell r="R74">
            <v>30</v>
          </cell>
          <cell r="S74">
            <v>0</v>
          </cell>
          <cell r="T74">
            <v>150</v>
          </cell>
          <cell r="V74">
            <v>625</v>
          </cell>
          <cell r="W74">
            <v>555</v>
          </cell>
          <cell r="X74">
            <v>0.23148148148148148</v>
          </cell>
          <cell r="Y74">
            <v>3.0000000000000001E-3</v>
          </cell>
          <cell r="Z74">
            <v>2.5641025641025641E-3</v>
          </cell>
          <cell r="AA74">
            <v>0.01</v>
          </cell>
        </row>
        <row r="75">
          <cell r="B75" t="str">
            <v>90P4709-item3</v>
          </cell>
          <cell r="C75" t="str">
            <v>GDL,Mex(sea)</v>
          </cell>
          <cell r="D75" t="str">
            <v>DDU</v>
          </cell>
          <cell r="E75">
            <v>2700</v>
          </cell>
          <cell r="F75">
            <v>900</v>
          </cell>
          <cell r="G75">
            <v>24300</v>
          </cell>
          <cell r="H75">
            <v>0.86399999999999999</v>
          </cell>
          <cell r="I75">
            <v>1</v>
          </cell>
          <cell r="J75">
            <v>15</v>
          </cell>
          <cell r="K75">
            <v>100</v>
          </cell>
          <cell r="L75">
            <v>30</v>
          </cell>
          <cell r="M75">
            <v>36</v>
          </cell>
          <cell r="N75">
            <v>74</v>
          </cell>
          <cell r="O75">
            <v>170</v>
          </cell>
          <cell r="P75">
            <v>0</v>
          </cell>
          <cell r="Q75">
            <v>20</v>
          </cell>
          <cell r="R75">
            <v>30</v>
          </cell>
          <cell r="S75">
            <v>0</v>
          </cell>
          <cell r="T75">
            <v>150</v>
          </cell>
          <cell r="V75">
            <v>625</v>
          </cell>
          <cell r="W75">
            <v>555</v>
          </cell>
          <cell r="X75">
            <v>0.23148148148148148</v>
          </cell>
          <cell r="Y75">
            <v>3.0000000000000001E-3</v>
          </cell>
          <cell r="Z75">
            <v>2.5641025641025641E-3</v>
          </cell>
          <cell r="AA75">
            <v>0.01</v>
          </cell>
        </row>
        <row r="76">
          <cell r="B76" t="str">
            <v>90P4710</v>
          </cell>
          <cell r="C76" t="str">
            <v>GDL,Mex(sea)</v>
          </cell>
          <cell r="D76" t="str">
            <v>DDU</v>
          </cell>
          <cell r="E76">
            <v>180</v>
          </cell>
          <cell r="F76">
            <v>180</v>
          </cell>
          <cell r="G76">
            <v>180</v>
          </cell>
          <cell r="H76">
            <v>0.91992599999999991</v>
          </cell>
          <cell r="I76">
            <v>1</v>
          </cell>
          <cell r="J76">
            <v>15</v>
          </cell>
          <cell r="K76">
            <v>100</v>
          </cell>
          <cell r="L76">
            <v>30</v>
          </cell>
          <cell r="M76">
            <v>36</v>
          </cell>
          <cell r="N76">
            <v>74</v>
          </cell>
          <cell r="O76">
            <v>170</v>
          </cell>
          <cell r="P76">
            <v>0</v>
          </cell>
          <cell r="Q76">
            <v>20</v>
          </cell>
          <cell r="R76">
            <v>30</v>
          </cell>
          <cell r="S76">
            <v>0</v>
          </cell>
          <cell r="T76">
            <v>150</v>
          </cell>
          <cell r="V76">
            <v>625</v>
          </cell>
          <cell r="W76">
            <v>555</v>
          </cell>
          <cell r="X76">
            <v>3.4722222222222223</v>
          </cell>
          <cell r="Y76">
            <v>0.16300000000000001</v>
          </cell>
          <cell r="Z76">
            <v>0.16282051282051282</v>
          </cell>
          <cell r="AA76">
            <v>0.104</v>
          </cell>
        </row>
        <row r="77">
          <cell r="B77" t="str">
            <v>90P4721</v>
          </cell>
          <cell r="C77" t="str">
            <v>GDL,Mex(sea)</v>
          </cell>
          <cell r="D77" t="str">
            <v>DDU</v>
          </cell>
          <cell r="E77">
            <v>120</v>
          </cell>
          <cell r="F77">
            <v>3</v>
          </cell>
          <cell r="G77">
            <v>6</v>
          </cell>
          <cell r="H77">
            <v>1.0053720000000002</v>
          </cell>
          <cell r="I77">
            <v>20.107440000000004</v>
          </cell>
          <cell r="J77">
            <v>15</v>
          </cell>
          <cell r="K77">
            <v>310</v>
          </cell>
          <cell r="L77">
            <v>30</v>
          </cell>
          <cell r="M77">
            <v>723.86784000000011</v>
          </cell>
          <cell r="N77">
            <v>1487.9505600000002</v>
          </cell>
          <cell r="O77">
            <v>170</v>
          </cell>
          <cell r="P77">
            <v>0</v>
          </cell>
          <cell r="Q77">
            <v>20</v>
          </cell>
          <cell r="R77">
            <v>603.22320000000013</v>
          </cell>
          <cell r="S77">
            <v>0</v>
          </cell>
          <cell r="T77">
            <v>3016.1160000000004</v>
          </cell>
          <cell r="V77">
            <v>6376.1576000000005</v>
          </cell>
          <cell r="W77">
            <v>555</v>
          </cell>
          <cell r="X77">
            <v>53.134646666666669</v>
          </cell>
          <cell r="Y77">
            <v>6.681</v>
          </cell>
          <cell r="Z77">
            <v>6.680769230769231</v>
          </cell>
          <cell r="AA77">
            <v>3.0950000000000002</v>
          </cell>
        </row>
        <row r="78">
          <cell r="B78" t="str">
            <v>90P4765</v>
          </cell>
          <cell r="C78" t="str">
            <v>GDL,Mex(sea)</v>
          </cell>
          <cell r="D78" t="str">
            <v>DDU</v>
          </cell>
          <cell r="E78">
            <v>1728</v>
          </cell>
          <cell r="F78">
            <v>72</v>
          </cell>
          <cell r="G78">
            <v>576</v>
          </cell>
          <cell r="H78">
            <v>0.9264</v>
          </cell>
          <cell r="I78">
            <v>2.7791999999999999</v>
          </cell>
          <cell r="J78">
            <v>15</v>
          </cell>
          <cell r="K78">
            <v>100</v>
          </cell>
          <cell r="L78">
            <v>30</v>
          </cell>
          <cell r="M78">
            <v>100.05119999999999</v>
          </cell>
          <cell r="N78">
            <v>205.66079999999999</v>
          </cell>
          <cell r="O78">
            <v>170</v>
          </cell>
          <cell r="P78">
            <v>0</v>
          </cell>
          <cell r="Q78">
            <v>20</v>
          </cell>
          <cell r="R78">
            <v>83.375999999999991</v>
          </cell>
          <cell r="S78">
            <v>0</v>
          </cell>
          <cell r="T78">
            <v>416.88</v>
          </cell>
          <cell r="V78">
            <v>1140.9679999999998</v>
          </cell>
          <cell r="W78">
            <v>555</v>
          </cell>
          <cell r="X78">
            <v>0.66028240740740729</v>
          </cell>
          <cell r="Y78">
            <v>0.106</v>
          </cell>
          <cell r="Z78">
            <v>0.10512820512820513</v>
          </cell>
          <cell r="AA78">
            <v>3.3000000000000002E-2</v>
          </cell>
        </row>
        <row r="79">
          <cell r="B79" t="str">
            <v>90P4786</v>
          </cell>
          <cell r="C79" t="str">
            <v>GDL,Mex(sea)</v>
          </cell>
          <cell r="D79" t="str">
            <v>DDU</v>
          </cell>
          <cell r="E79">
            <v>60</v>
          </cell>
          <cell r="F79">
            <v>3</v>
          </cell>
          <cell r="G79">
            <v>6</v>
          </cell>
          <cell r="H79">
            <v>1.1170800000000001</v>
          </cell>
          <cell r="I79">
            <v>11.1708</v>
          </cell>
          <cell r="J79">
            <v>15</v>
          </cell>
          <cell r="K79">
            <v>230</v>
          </cell>
          <cell r="L79">
            <v>30</v>
          </cell>
          <cell r="M79">
            <v>402.14879999999999</v>
          </cell>
          <cell r="N79">
            <v>826.63919999999996</v>
          </cell>
          <cell r="O79">
            <v>170</v>
          </cell>
          <cell r="P79">
            <v>0</v>
          </cell>
          <cell r="Q79">
            <v>20</v>
          </cell>
          <cell r="R79">
            <v>335.12400000000002</v>
          </cell>
          <cell r="S79">
            <v>0</v>
          </cell>
          <cell r="T79">
            <v>1675.62</v>
          </cell>
          <cell r="V79">
            <v>3704.5320000000002</v>
          </cell>
          <cell r="W79">
            <v>555</v>
          </cell>
          <cell r="X79">
            <v>61.742200000000004</v>
          </cell>
          <cell r="Y79">
            <v>5.0090000000000003</v>
          </cell>
          <cell r="Z79">
            <v>5.0089743589743589</v>
          </cell>
          <cell r="AA79">
            <v>3.0950000000000002</v>
          </cell>
        </row>
        <row r="80">
          <cell r="B80" t="str">
            <v>90P4788</v>
          </cell>
          <cell r="C80" t="str">
            <v>GDL,Mex(sea)</v>
          </cell>
          <cell r="D80" t="str">
            <v>DDU</v>
          </cell>
          <cell r="E80">
            <v>252</v>
          </cell>
          <cell r="F80">
            <v>84</v>
          </cell>
          <cell r="G80">
            <v>84</v>
          </cell>
          <cell r="H80">
            <v>1.1531520000000002</v>
          </cell>
          <cell r="I80">
            <v>3.4594560000000003</v>
          </cell>
          <cell r="J80">
            <v>15</v>
          </cell>
          <cell r="K80">
            <v>100</v>
          </cell>
          <cell r="L80">
            <v>30</v>
          </cell>
          <cell r="M80">
            <v>124.54041600000001</v>
          </cell>
          <cell r="N80">
            <v>255.99974400000002</v>
          </cell>
          <cell r="O80">
            <v>170</v>
          </cell>
          <cell r="P80">
            <v>0</v>
          </cell>
          <cell r="Q80">
            <v>20</v>
          </cell>
          <cell r="R80">
            <v>103.78368</v>
          </cell>
          <cell r="S80">
            <v>0</v>
          </cell>
          <cell r="T80">
            <v>518.91840000000002</v>
          </cell>
          <cell r="V80">
            <v>1338.24224</v>
          </cell>
          <cell r="W80">
            <v>555</v>
          </cell>
          <cell r="X80">
            <v>5.3104850793650797</v>
          </cell>
          <cell r="Y80">
            <v>0.29199999999999998</v>
          </cell>
          <cell r="Z80">
            <v>0.29102564102564105</v>
          </cell>
          <cell r="AA80">
            <v>0.222</v>
          </cell>
        </row>
        <row r="81">
          <cell r="B81" t="str">
            <v>90P4790(73P6642)</v>
          </cell>
          <cell r="C81" t="str">
            <v>GDL,Mex(sea)</v>
          </cell>
          <cell r="D81" t="str">
            <v>DDU</v>
          </cell>
          <cell r="E81">
            <v>252</v>
          </cell>
          <cell r="F81">
            <v>84</v>
          </cell>
          <cell r="G81">
            <v>84</v>
          </cell>
          <cell r="H81">
            <v>1.1531520000000002</v>
          </cell>
          <cell r="I81">
            <v>3.4594560000000003</v>
          </cell>
          <cell r="J81">
            <v>15</v>
          </cell>
          <cell r="K81">
            <v>100</v>
          </cell>
          <cell r="L81">
            <v>30</v>
          </cell>
          <cell r="M81">
            <v>124.54041600000001</v>
          </cell>
          <cell r="N81">
            <v>255.99974400000002</v>
          </cell>
          <cell r="O81">
            <v>170</v>
          </cell>
          <cell r="P81">
            <v>0</v>
          </cell>
          <cell r="Q81">
            <v>20</v>
          </cell>
          <cell r="R81">
            <v>103.78368</v>
          </cell>
          <cell r="S81">
            <v>0</v>
          </cell>
          <cell r="T81">
            <v>518.91840000000002</v>
          </cell>
          <cell r="V81">
            <v>1338.24224</v>
          </cell>
          <cell r="W81">
            <v>555</v>
          </cell>
          <cell r="X81">
            <v>5.3104850793650797</v>
          </cell>
          <cell r="Y81">
            <v>0.29199999999999998</v>
          </cell>
          <cell r="Z81">
            <v>0.29102564102564105</v>
          </cell>
          <cell r="AA81">
            <v>0.222</v>
          </cell>
        </row>
        <row r="82">
          <cell r="B82" t="str">
            <v>90P4795</v>
          </cell>
          <cell r="C82" t="str">
            <v>GDL,Mex(sea)</v>
          </cell>
          <cell r="D82" t="str">
            <v>DDU</v>
          </cell>
          <cell r="E82">
            <v>540</v>
          </cell>
          <cell r="F82">
            <v>180</v>
          </cell>
          <cell r="G82">
            <v>180</v>
          </cell>
          <cell r="H82">
            <v>0.91992599999999991</v>
          </cell>
          <cell r="I82">
            <v>2.7597779999999998</v>
          </cell>
          <cell r="J82">
            <v>15</v>
          </cell>
          <cell r="K82">
            <v>100</v>
          </cell>
          <cell r="L82">
            <v>30</v>
          </cell>
          <cell r="M82">
            <v>99.352007999999998</v>
          </cell>
          <cell r="N82">
            <v>204.22357199999999</v>
          </cell>
          <cell r="O82">
            <v>170</v>
          </cell>
          <cell r="P82">
            <v>0</v>
          </cell>
          <cell r="Q82">
            <v>20</v>
          </cell>
          <cell r="R82">
            <v>82.793340000000001</v>
          </cell>
          <cell r="S82">
            <v>0</v>
          </cell>
          <cell r="T82">
            <v>413.9667</v>
          </cell>
          <cell r="V82">
            <v>1135.3356199999998</v>
          </cell>
          <cell r="W82">
            <v>555</v>
          </cell>
          <cell r="X82">
            <v>2.1024733703703702</v>
          </cell>
          <cell r="Y82">
            <v>0.16300000000000001</v>
          </cell>
          <cell r="Z82">
            <v>0.16282051282051282</v>
          </cell>
          <cell r="AA82">
            <v>0.104</v>
          </cell>
        </row>
        <row r="83">
          <cell r="B83" t="str">
            <v>49P2573</v>
          </cell>
          <cell r="C83" t="str">
            <v>GDL,Mex(sea)</v>
          </cell>
          <cell r="D83" t="str">
            <v>DDU</v>
          </cell>
          <cell r="E83">
            <v>1440</v>
          </cell>
          <cell r="F83">
            <v>480</v>
          </cell>
          <cell r="G83">
            <v>17280</v>
          </cell>
          <cell r="H83">
            <v>1.0803520000000002</v>
          </cell>
          <cell r="I83">
            <v>1</v>
          </cell>
          <cell r="J83">
            <v>15</v>
          </cell>
          <cell r="K83">
            <v>100</v>
          </cell>
          <cell r="L83">
            <v>30</v>
          </cell>
          <cell r="M83">
            <v>36</v>
          </cell>
          <cell r="N83">
            <v>74</v>
          </cell>
          <cell r="O83">
            <v>170</v>
          </cell>
          <cell r="P83">
            <v>0</v>
          </cell>
          <cell r="Q83">
            <v>20</v>
          </cell>
          <cell r="R83">
            <v>30</v>
          </cell>
          <cell r="S83">
            <v>0</v>
          </cell>
          <cell r="T83">
            <v>150</v>
          </cell>
          <cell r="V83">
            <v>625</v>
          </cell>
          <cell r="W83">
            <v>555</v>
          </cell>
          <cell r="X83">
            <v>0.43402777777777779</v>
          </cell>
          <cell r="Y83">
            <v>4.2000000000000003E-2</v>
          </cell>
          <cell r="Z83">
            <v>4.1025641025641026E-2</v>
          </cell>
          <cell r="AA83">
            <v>1.8749999999999999E-2</v>
          </cell>
        </row>
        <row r="85">
          <cell r="B85" t="str">
            <v>02R9003</v>
          </cell>
          <cell r="E85">
            <v>864</v>
          </cell>
          <cell r="F85">
            <v>24</v>
          </cell>
          <cell r="G85">
            <v>864</v>
          </cell>
          <cell r="H85">
            <v>1.1040000000000001</v>
          </cell>
          <cell r="I85">
            <v>15</v>
          </cell>
          <cell r="J85">
            <v>260</v>
          </cell>
          <cell r="K85">
            <v>15</v>
          </cell>
          <cell r="L85">
            <v>16</v>
          </cell>
          <cell r="M85">
            <v>4.8484848484848486</v>
          </cell>
          <cell r="N85">
            <v>310.84848484848487</v>
          </cell>
          <cell r="O85">
            <v>320</v>
          </cell>
          <cell r="X85">
            <v>0.37037037037037035</v>
          </cell>
          <cell r="Y85">
            <v>0.108</v>
          </cell>
          <cell r="Z85">
            <v>0.10769230769230768</v>
          </cell>
          <cell r="AA85">
            <v>1.0717845117845119E-2</v>
          </cell>
        </row>
        <row r="86">
          <cell r="B86" t="str">
            <v>02R9007</v>
          </cell>
          <cell r="C86" t="str">
            <v>IIPC(FuTian)</v>
          </cell>
          <cell r="D86" t="str">
            <v>DDU by LCL Truck</v>
          </cell>
          <cell r="E86">
            <v>180</v>
          </cell>
          <cell r="F86">
            <v>18</v>
          </cell>
          <cell r="G86">
            <v>30</v>
          </cell>
          <cell r="H86">
            <v>1.04139</v>
          </cell>
          <cell r="I86">
            <v>15</v>
          </cell>
          <cell r="J86">
            <v>260</v>
          </cell>
          <cell r="K86">
            <v>15</v>
          </cell>
          <cell r="L86">
            <v>16</v>
          </cell>
          <cell r="M86">
            <v>4.8484848484848486</v>
          </cell>
          <cell r="N86">
            <v>310.84848484848487</v>
          </cell>
          <cell r="O86">
            <v>320</v>
          </cell>
          <cell r="X86">
            <v>1.7777777777777777</v>
          </cell>
          <cell r="Y86">
            <v>0.58599999999999997</v>
          </cell>
          <cell r="Z86">
            <v>0.58589743589743593</v>
          </cell>
          <cell r="AA86">
            <v>0.29116843636363637</v>
          </cell>
        </row>
        <row r="87">
          <cell r="B87" t="str">
            <v>02R9058</v>
          </cell>
          <cell r="C87" t="str">
            <v>IIPC(FuTian)</v>
          </cell>
          <cell r="D87" t="str">
            <v>DDU by LCL Truck</v>
          </cell>
          <cell r="E87">
            <v>360</v>
          </cell>
          <cell r="F87">
            <v>30</v>
          </cell>
          <cell r="G87">
            <v>360</v>
          </cell>
          <cell r="H87">
            <v>0.95804800000000001</v>
          </cell>
          <cell r="I87">
            <v>15</v>
          </cell>
          <cell r="J87">
            <v>260</v>
          </cell>
          <cell r="K87">
            <v>15</v>
          </cell>
          <cell r="L87">
            <v>16</v>
          </cell>
          <cell r="M87">
            <v>4.8484848484848486</v>
          </cell>
          <cell r="N87">
            <v>310.84848484848487</v>
          </cell>
          <cell r="O87">
            <v>320</v>
          </cell>
          <cell r="X87">
            <v>0.88888888888888884</v>
          </cell>
          <cell r="Y87">
            <v>0.13400000000000001</v>
          </cell>
          <cell r="Z87">
            <v>0.13333333333333333</v>
          </cell>
          <cell r="AA87">
            <v>2.2322195824915826E-2</v>
          </cell>
        </row>
        <row r="88">
          <cell r="B88" t="str">
            <v>02R9063</v>
          </cell>
          <cell r="C88" t="str">
            <v>IIPC(FuTian)</v>
          </cell>
          <cell r="D88" t="str">
            <v>DDU by LCL Truck</v>
          </cell>
          <cell r="E88">
            <v>2592</v>
          </cell>
          <cell r="F88">
            <v>216</v>
          </cell>
          <cell r="G88">
            <v>2592</v>
          </cell>
          <cell r="H88">
            <v>1.0992</v>
          </cell>
          <cell r="I88">
            <v>15</v>
          </cell>
          <cell r="J88">
            <v>260</v>
          </cell>
          <cell r="K88">
            <v>15</v>
          </cell>
          <cell r="L88">
            <v>16</v>
          </cell>
          <cell r="M88">
            <v>4.8484848484848486</v>
          </cell>
          <cell r="N88">
            <v>310.84848484848487</v>
          </cell>
          <cell r="O88">
            <v>320</v>
          </cell>
          <cell r="X88">
            <v>0.12345679012345678</v>
          </cell>
          <cell r="Y88">
            <v>2.2000000000000002E-2</v>
          </cell>
          <cell r="Z88">
            <v>2.1794871794871797E-2</v>
          </cell>
          <cell r="AA88">
            <v>3.5570819304152636E-3</v>
          </cell>
        </row>
        <row r="89">
          <cell r="B89" t="str">
            <v>02R9065</v>
          </cell>
          <cell r="E89">
            <v>1152</v>
          </cell>
          <cell r="F89">
            <v>192</v>
          </cell>
          <cell r="G89">
            <v>384</v>
          </cell>
          <cell r="H89">
            <v>1.3417343999999998</v>
          </cell>
          <cell r="I89">
            <v>15</v>
          </cell>
          <cell r="J89">
            <v>260</v>
          </cell>
          <cell r="K89">
            <v>15</v>
          </cell>
          <cell r="L89">
            <v>16</v>
          </cell>
          <cell r="M89">
            <v>4.8484848484848486</v>
          </cell>
          <cell r="N89">
            <v>310.84848484848487</v>
          </cell>
          <cell r="O89">
            <v>320</v>
          </cell>
          <cell r="X89">
            <v>0.27777777777777779</v>
          </cell>
          <cell r="Y89">
            <v>9.5000000000000001E-2</v>
          </cell>
          <cell r="Z89">
            <v>9.4871794871794868E-2</v>
          </cell>
          <cell r="AA89">
            <v>2.9308087272727268E-2</v>
          </cell>
        </row>
        <row r="90">
          <cell r="B90" t="str">
            <v>02R9168</v>
          </cell>
          <cell r="C90" t="str">
            <v>IIPC(FuTian)</v>
          </cell>
          <cell r="D90" t="str">
            <v>DDU by LCL Truck</v>
          </cell>
          <cell r="E90">
            <v>180</v>
          </cell>
          <cell r="F90">
            <v>3</v>
          </cell>
          <cell r="G90">
            <v>6</v>
          </cell>
          <cell r="H90">
            <v>1.1170800000000001</v>
          </cell>
          <cell r="I90">
            <v>15</v>
          </cell>
          <cell r="J90">
            <v>260</v>
          </cell>
          <cell r="K90">
            <v>15</v>
          </cell>
          <cell r="L90">
            <v>16</v>
          </cell>
          <cell r="M90">
            <v>4.8484848484848486</v>
          </cell>
          <cell r="N90">
            <v>310.84848484848487</v>
          </cell>
          <cell r="O90">
            <v>320</v>
          </cell>
          <cell r="X90">
            <v>1.7777777777777777</v>
          </cell>
          <cell r="Y90">
            <v>5.0120000000000005</v>
          </cell>
          <cell r="Z90">
            <v>5.0115384615384624</v>
          </cell>
          <cell r="AA90">
            <v>1.5616552727272728</v>
          </cell>
        </row>
        <row r="91">
          <cell r="B91" t="str">
            <v>02R9169</v>
          </cell>
          <cell r="C91" t="str">
            <v>IIPC(FuTian)</v>
          </cell>
          <cell r="D91" t="str">
            <v>DDU by LCL Truck</v>
          </cell>
          <cell r="E91">
            <v>120</v>
          </cell>
          <cell r="F91">
            <v>3</v>
          </cell>
          <cell r="G91">
            <v>6</v>
          </cell>
          <cell r="H91">
            <v>1.1170800000000001</v>
          </cell>
          <cell r="I91">
            <v>15</v>
          </cell>
          <cell r="J91">
            <v>260</v>
          </cell>
          <cell r="K91">
            <v>15</v>
          </cell>
          <cell r="L91">
            <v>16</v>
          </cell>
          <cell r="M91">
            <v>4.8484848484848486</v>
          </cell>
          <cell r="N91">
            <v>310.84848484848487</v>
          </cell>
          <cell r="O91">
            <v>320</v>
          </cell>
          <cell r="X91">
            <v>2.6666666666666665</v>
          </cell>
          <cell r="Y91">
            <v>5.0090000000000003</v>
          </cell>
          <cell r="Z91">
            <v>5.0089743589743589</v>
          </cell>
          <cell r="AA91">
            <v>1.5616552727272728</v>
          </cell>
        </row>
        <row r="92">
          <cell r="B92" t="str">
            <v>02R9183</v>
          </cell>
          <cell r="C92" t="str">
            <v>IIPC(FuTian)</v>
          </cell>
          <cell r="D92" t="str">
            <v>DDU by LCL Truck</v>
          </cell>
          <cell r="E92">
            <v>108</v>
          </cell>
          <cell r="F92">
            <v>18</v>
          </cell>
          <cell r="G92">
            <v>36</v>
          </cell>
          <cell r="H92">
            <v>1.0452431999999998</v>
          </cell>
          <cell r="I92">
            <v>15</v>
          </cell>
          <cell r="J92">
            <v>260</v>
          </cell>
          <cell r="K92">
            <v>15</v>
          </cell>
          <cell r="L92">
            <v>16</v>
          </cell>
          <cell r="M92">
            <v>4.8484848484848486</v>
          </cell>
          <cell r="N92">
            <v>310.84848484848487</v>
          </cell>
          <cell r="O92">
            <v>320</v>
          </cell>
          <cell r="X92">
            <v>2.9629629629629628</v>
          </cell>
          <cell r="Y92">
            <v>1.69</v>
          </cell>
          <cell r="Z92">
            <v>1.6897435897435897</v>
          </cell>
          <cell r="AA92">
            <v>0.24353814626262624</v>
          </cell>
        </row>
        <row r="93">
          <cell r="B93" t="str">
            <v>13N2634</v>
          </cell>
          <cell r="C93" t="str">
            <v>IIPC(FuTian)</v>
          </cell>
          <cell r="D93" t="str">
            <v>DDU by LCL Truck</v>
          </cell>
          <cell r="E93">
            <v>270</v>
          </cell>
          <cell r="F93">
            <v>90</v>
          </cell>
          <cell r="G93">
            <v>90</v>
          </cell>
          <cell r="H93">
            <v>1.0871999999999999</v>
          </cell>
          <cell r="I93">
            <v>15</v>
          </cell>
          <cell r="J93">
            <v>260</v>
          </cell>
          <cell r="K93">
            <v>15</v>
          </cell>
          <cell r="L93">
            <v>16</v>
          </cell>
          <cell r="M93">
            <v>4.8484848484848486</v>
          </cell>
          <cell r="N93">
            <v>310.84848484848487</v>
          </cell>
          <cell r="O93">
            <v>320</v>
          </cell>
          <cell r="X93">
            <v>1.1851851851851851</v>
          </cell>
          <cell r="Y93">
            <v>0.308</v>
          </cell>
          <cell r="Z93">
            <v>0.30769230769230771</v>
          </cell>
          <cell r="AA93">
            <v>0.10132557575757575</v>
          </cell>
        </row>
        <row r="94">
          <cell r="B94" t="str">
            <v>37L6505</v>
          </cell>
          <cell r="C94" t="str">
            <v>IIPC(FuTian)</v>
          </cell>
          <cell r="D94" t="str">
            <v>DDU by LCL Truck</v>
          </cell>
          <cell r="E94">
            <v>54</v>
          </cell>
          <cell r="F94">
            <v>18</v>
          </cell>
          <cell r="G94">
            <v>18</v>
          </cell>
          <cell r="H94">
            <v>1.1466000000000001</v>
          </cell>
          <cell r="I94">
            <v>15</v>
          </cell>
          <cell r="J94">
            <v>260</v>
          </cell>
          <cell r="K94">
            <v>15</v>
          </cell>
          <cell r="L94">
            <v>16</v>
          </cell>
          <cell r="M94">
            <v>4.8484848484848486</v>
          </cell>
          <cell r="N94">
            <v>310.84848484848487</v>
          </cell>
          <cell r="O94">
            <v>320</v>
          </cell>
          <cell r="X94">
            <v>5.9259259259259256</v>
          </cell>
          <cell r="Y94">
            <v>1.1269999999999998</v>
          </cell>
          <cell r="Z94">
            <v>1.1269230769230769</v>
          </cell>
          <cell r="AA94">
            <v>0.53430787878787878</v>
          </cell>
        </row>
        <row r="95">
          <cell r="B95" t="str">
            <v>37L6568</v>
          </cell>
          <cell r="C95" t="str">
            <v>IIPC(FuTian)</v>
          </cell>
          <cell r="D95" t="str">
            <v>DDU by LCL Truck</v>
          </cell>
          <cell r="E95">
            <v>2000</v>
          </cell>
          <cell r="F95">
            <v>2000</v>
          </cell>
          <cell r="G95">
            <v>36000</v>
          </cell>
          <cell r="H95">
            <v>1.1629800000000001</v>
          </cell>
          <cell r="I95">
            <v>15</v>
          </cell>
          <cell r="J95">
            <v>260</v>
          </cell>
          <cell r="K95">
            <v>15</v>
          </cell>
          <cell r="L95">
            <v>16</v>
          </cell>
          <cell r="M95">
            <v>4.8484848484848486</v>
          </cell>
          <cell r="N95">
            <v>310.84848484848487</v>
          </cell>
          <cell r="O95">
            <v>320</v>
          </cell>
          <cell r="X95">
            <v>0.16</v>
          </cell>
          <cell r="Y95">
            <v>2.4E-2</v>
          </cell>
          <cell r="Z95">
            <v>2.3076923076923078E-2</v>
          </cell>
          <cell r="AA95">
            <v>2.7097042424242433E-4</v>
          </cell>
        </row>
        <row r="96">
          <cell r="B96" t="str">
            <v>37L6571</v>
          </cell>
          <cell r="C96" t="str">
            <v>IIPC(FuTian)</v>
          </cell>
          <cell r="D96" t="str">
            <v>DDU by LCL Truck</v>
          </cell>
          <cell r="E96">
            <v>360</v>
          </cell>
          <cell r="F96">
            <v>30</v>
          </cell>
          <cell r="G96">
            <v>360</v>
          </cell>
          <cell r="H96">
            <v>0.95804800000000001</v>
          </cell>
          <cell r="I96">
            <v>15</v>
          </cell>
          <cell r="J96">
            <v>260</v>
          </cell>
          <cell r="K96">
            <v>15</v>
          </cell>
          <cell r="L96">
            <v>16</v>
          </cell>
          <cell r="M96">
            <v>4.8484848484848486</v>
          </cell>
          <cell r="N96">
            <v>310.84848484848487</v>
          </cell>
          <cell r="O96">
            <v>320</v>
          </cell>
          <cell r="X96">
            <v>0.88888888888888884</v>
          </cell>
          <cell r="Y96">
            <v>0.13400000000000001</v>
          </cell>
          <cell r="Z96">
            <v>0.13333333333333333</v>
          </cell>
          <cell r="AA96">
            <v>2.2322195824915826E-2</v>
          </cell>
        </row>
        <row r="97">
          <cell r="B97" t="str">
            <v>48P7076</v>
          </cell>
          <cell r="C97" t="str">
            <v>IIPC(FuTian)</v>
          </cell>
          <cell r="D97" t="str">
            <v>DDU by LCL Truck</v>
          </cell>
          <cell r="E97">
            <v>3360</v>
          </cell>
          <cell r="F97">
            <v>1680</v>
          </cell>
          <cell r="G97">
            <v>3360</v>
          </cell>
          <cell r="H97">
            <v>1.0725119999999999</v>
          </cell>
          <cell r="I97">
            <v>15</v>
          </cell>
          <cell r="J97">
            <v>260</v>
          </cell>
          <cell r="K97">
            <v>15</v>
          </cell>
          <cell r="L97">
            <v>16</v>
          </cell>
          <cell r="M97">
            <v>4.8484848484848486</v>
          </cell>
          <cell r="N97">
            <v>310.84848484848487</v>
          </cell>
          <cell r="O97">
            <v>320</v>
          </cell>
          <cell r="X97">
            <v>9.5238095238095233E-2</v>
          </cell>
          <cell r="Y97">
            <v>2.9000000000000001E-2</v>
          </cell>
          <cell r="Z97">
            <v>2.8205128205128206E-2</v>
          </cell>
          <cell r="AA97">
            <v>2.6774109090909083E-3</v>
          </cell>
        </row>
        <row r="98">
          <cell r="B98" t="str">
            <v>48P7077</v>
          </cell>
          <cell r="C98" t="str">
            <v>IIPC(FuTian)</v>
          </cell>
          <cell r="D98" t="str">
            <v>DDU by LCL Truck</v>
          </cell>
          <cell r="E98">
            <v>1152</v>
          </cell>
          <cell r="F98">
            <v>192</v>
          </cell>
          <cell r="G98">
            <v>384</v>
          </cell>
          <cell r="H98">
            <v>1.3417343999999998</v>
          </cell>
          <cell r="I98">
            <v>15</v>
          </cell>
          <cell r="J98">
            <v>260</v>
          </cell>
          <cell r="K98">
            <v>15</v>
          </cell>
          <cell r="L98">
            <v>16</v>
          </cell>
          <cell r="M98">
            <v>4.8484848484848486</v>
          </cell>
          <cell r="N98">
            <v>310.84848484848487</v>
          </cell>
          <cell r="O98">
            <v>320</v>
          </cell>
          <cell r="X98">
            <v>0.27777777777777779</v>
          </cell>
          <cell r="Y98">
            <v>9.5000000000000001E-2</v>
          </cell>
          <cell r="Z98">
            <v>9.4871794871794868E-2</v>
          </cell>
          <cell r="AA98">
            <v>2.9308087272727268E-2</v>
          </cell>
        </row>
        <row r="99">
          <cell r="B99" t="str">
            <v>48P7078</v>
          </cell>
          <cell r="C99" t="str">
            <v>IIPC(FuTian)</v>
          </cell>
          <cell r="D99" t="str">
            <v>DDU by LCL Truck</v>
          </cell>
          <cell r="E99">
            <v>1080</v>
          </cell>
          <cell r="F99">
            <v>30</v>
          </cell>
          <cell r="G99">
            <v>360</v>
          </cell>
          <cell r="H99">
            <v>0.95804800000000001</v>
          </cell>
          <cell r="I99">
            <v>15</v>
          </cell>
          <cell r="J99">
            <v>260</v>
          </cell>
          <cell r="K99">
            <v>15</v>
          </cell>
          <cell r="L99">
            <v>16</v>
          </cell>
          <cell r="M99">
            <v>4.8484848484848486</v>
          </cell>
          <cell r="N99">
            <v>310.84848484848487</v>
          </cell>
          <cell r="O99">
            <v>320</v>
          </cell>
          <cell r="X99">
            <v>0.29629629629629628</v>
          </cell>
          <cell r="Y99">
            <v>0.13400000000000001</v>
          </cell>
          <cell r="Z99">
            <v>0.13333333333333333</v>
          </cell>
          <cell r="AA99">
            <v>2.2322195824915826E-2</v>
          </cell>
        </row>
        <row r="100">
          <cell r="B100" t="str">
            <v>48P7079</v>
          </cell>
          <cell r="C100" t="str">
            <v>IIPC(FuTian)</v>
          </cell>
          <cell r="D100" t="str">
            <v>DDU by LCL Truck</v>
          </cell>
          <cell r="E100">
            <v>216</v>
          </cell>
          <cell r="F100">
            <v>18</v>
          </cell>
          <cell r="G100">
            <v>216</v>
          </cell>
          <cell r="H100">
            <v>1.0264800000000001</v>
          </cell>
          <cell r="I100">
            <v>15</v>
          </cell>
          <cell r="J100">
            <v>260</v>
          </cell>
          <cell r="K100">
            <v>15</v>
          </cell>
          <cell r="L100">
            <v>16</v>
          </cell>
          <cell r="M100">
            <v>4.8484848484848486</v>
          </cell>
          <cell r="N100">
            <v>310.84848484848487</v>
          </cell>
          <cell r="O100">
            <v>320</v>
          </cell>
          <cell r="X100">
            <v>1.4814814814814814</v>
          </cell>
          <cell r="Y100">
            <v>0.23799999999999999</v>
          </cell>
          <cell r="Z100">
            <v>0.2371794871794872</v>
          </cell>
          <cell r="AA100">
            <v>3.9861063973063979E-2</v>
          </cell>
        </row>
        <row r="101">
          <cell r="B101" t="str">
            <v>49P2522</v>
          </cell>
          <cell r="C101" t="str">
            <v>IIPC(FuTian)</v>
          </cell>
          <cell r="D101" t="str">
            <v>DDU by LCL Truck</v>
          </cell>
          <cell r="E101">
            <v>768</v>
          </cell>
          <cell r="F101">
            <v>128</v>
          </cell>
          <cell r="G101">
            <v>256</v>
          </cell>
          <cell r="H101">
            <v>1.0248839999999999</v>
          </cell>
          <cell r="I101">
            <v>15</v>
          </cell>
          <cell r="J101">
            <v>260</v>
          </cell>
          <cell r="K101">
            <v>15</v>
          </cell>
          <cell r="L101">
            <v>16</v>
          </cell>
          <cell r="M101">
            <v>4.8484848484848486</v>
          </cell>
          <cell r="N101">
            <v>310.84848484848487</v>
          </cell>
          <cell r="O101">
            <v>320</v>
          </cell>
          <cell r="X101">
            <v>0.41666666666666669</v>
          </cell>
          <cell r="Y101">
            <v>0.161</v>
          </cell>
          <cell r="Z101">
            <v>0.16025641025641027</v>
          </cell>
          <cell r="AA101">
            <v>3.3580479545454546E-2</v>
          </cell>
        </row>
        <row r="102">
          <cell r="B102" t="str">
            <v>49P2523</v>
          </cell>
          <cell r="E102">
            <v>720</v>
          </cell>
          <cell r="F102">
            <v>60</v>
          </cell>
          <cell r="G102">
            <v>720</v>
          </cell>
          <cell r="H102">
            <v>1.1040000000000001</v>
          </cell>
          <cell r="I102">
            <v>15</v>
          </cell>
          <cell r="J102">
            <v>260</v>
          </cell>
          <cell r="K102">
            <v>15</v>
          </cell>
          <cell r="L102">
            <v>16</v>
          </cell>
          <cell r="M102">
            <v>4.8484848484848486</v>
          </cell>
          <cell r="N102">
            <v>310.84848484848487</v>
          </cell>
          <cell r="O102">
            <v>320</v>
          </cell>
          <cell r="X102">
            <v>0.44444444444444442</v>
          </cell>
          <cell r="Y102">
            <v>0.11700000000000001</v>
          </cell>
          <cell r="Z102">
            <v>0.11666666666666667</v>
          </cell>
          <cell r="AA102">
            <v>1.2861414141414142E-2</v>
          </cell>
        </row>
        <row r="103">
          <cell r="B103" t="str">
            <v>49P2573</v>
          </cell>
          <cell r="C103" t="str">
            <v>IIPC(FuTian)</v>
          </cell>
          <cell r="D103" t="str">
            <v>DDU by LCL Truck</v>
          </cell>
          <cell r="E103">
            <v>1440</v>
          </cell>
          <cell r="F103">
            <v>480</v>
          </cell>
          <cell r="G103">
            <v>17280</v>
          </cell>
          <cell r="H103">
            <v>1.0803520000000002</v>
          </cell>
          <cell r="I103">
            <v>15</v>
          </cell>
          <cell r="J103">
            <v>260</v>
          </cell>
          <cell r="K103">
            <v>15</v>
          </cell>
          <cell r="L103">
            <v>16</v>
          </cell>
          <cell r="M103">
            <v>4.8484848484848486</v>
          </cell>
          <cell r="N103">
            <v>310.84848484848487</v>
          </cell>
          <cell r="O103">
            <v>320</v>
          </cell>
          <cell r="X103">
            <v>0.22222222222222221</v>
          </cell>
          <cell r="Y103">
            <v>4.2000000000000003E-2</v>
          </cell>
          <cell r="Z103">
            <v>4.1025641025641026E-2</v>
          </cell>
          <cell r="AA103">
            <v>5.2441328843995524E-4</v>
          </cell>
        </row>
        <row r="104">
          <cell r="B104" t="str">
            <v>49P2576</v>
          </cell>
          <cell r="C104" t="str">
            <v>IIPC(FuTian)</v>
          </cell>
          <cell r="D104" t="str">
            <v>DDU by LCL Truck</v>
          </cell>
          <cell r="E104">
            <v>480</v>
          </cell>
          <cell r="F104">
            <v>480</v>
          </cell>
          <cell r="G104">
            <v>8640</v>
          </cell>
          <cell r="H104">
            <v>1.0711439999999999</v>
          </cell>
          <cell r="I104">
            <v>15</v>
          </cell>
          <cell r="J104">
            <v>260</v>
          </cell>
          <cell r="K104">
            <v>15</v>
          </cell>
          <cell r="L104">
            <v>16</v>
          </cell>
          <cell r="M104">
            <v>4.8484848484848486</v>
          </cell>
          <cell r="N104">
            <v>310.84848484848487</v>
          </cell>
          <cell r="O104">
            <v>320</v>
          </cell>
          <cell r="X104">
            <v>0.66666666666666663</v>
          </cell>
          <cell r="Y104">
            <v>1.3000000000000001E-2</v>
          </cell>
          <cell r="Z104">
            <v>1.2820512820512822E-2</v>
          </cell>
          <cell r="AA104">
            <v>1.0398872727272728E-3</v>
          </cell>
        </row>
        <row r="105">
          <cell r="B105" t="str">
            <v>49P2577</v>
          </cell>
          <cell r="C105" t="str">
            <v>IIPC(FuTian)</v>
          </cell>
          <cell r="D105" t="str">
            <v>DDU by LCL Truck</v>
          </cell>
          <cell r="E105">
            <v>480</v>
          </cell>
          <cell r="F105">
            <v>480</v>
          </cell>
          <cell r="G105">
            <v>8640</v>
          </cell>
          <cell r="H105">
            <v>1.0711439999999999</v>
          </cell>
          <cell r="I105">
            <v>15</v>
          </cell>
          <cell r="J105">
            <v>260</v>
          </cell>
          <cell r="K105">
            <v>15</v>
          </cell>
          <cell r="L105">
            <v>16</v>
          </cell>
          <cell r="M105">
            <v>4.8484848484848486</v>
          </cell>
          <cell r="N105">
            <v>310.84848484848487</v>
          </cell>
          <cell r="O105">
            <v>320</v>
          </cell>
          <cell r="X105">
            <v>0.66666666666666663</v>
          </cell>
          <cell r="Y105">
            <v>1.3000000000000001E-2</v>
          </cell>
          <cell r="Z105">
            <v>1.2820512820512822E-2</v>
          </cell>
          <cell r="AA105">
            <v>1.0398872727272728E-3</v>
          </cell>
        </row>
        <row r="106">
          <cell r="B106" t="str">
            <v>49P2602</v>
          </cell>
          <cell r="C106" t="str">
            <v>IIPC(FuTian)</v>
          </cell>
          <cell r="D106" t="str">
            <v>DDU by LCL Truck</v>
          </cell>
          <cell r="E106">
            <v>480</v>
          </cell>
          <cell r="F106">
            <v>480</v>
          </cell>
          <cell r="G106">
            <v>8640</v>
          </cell>
          <cell r="H106">
            <v>1.0711439999999999</v>
          </cell>
          <cell r="I106">
            <v>15</v>
          </cell>
          <cell r="J106">
            <v>260</v>
          </cell>
          <cell r="K106">
            <v>15</v>
          </cell>
          <cell r="L106">
            <v>16</v>
          </cell>
          <cell r="M106">
            <v>4.8484848484848486</v>
          </cell>
          <cell r="N106">
            <v>310.84848484848487</v>
          </cell>
          <cell r="O106">
            <v>320</v>
          </cell>
          <cell r="X106">
            <v>0.66666666666666663</v>
          </cell>
          <cell r="Y106">
            <v>1.3000000000000001E-2</v>
          </cell>
          <cell r="Z106">
            <v>1.2820512820512822E-2</v>
          </cell>
          <cell r="AA106">
            <v>1.0398872727272728E-3</v>
          </cell>
        </row>
        <row r="107">
          <cell r="B107" t="str">
            <v>49P2651</v>
          </cell>
          <cell r="C107" t="str">
            <v>IIPC(FuTian)</v>
          </cell>
          <cell r="D107" t="str">
            <v>DDU by LCL Truck</v>
          </cell>
          <cell r="E107">
            <v>9216</v>
          </cell>
          <cell r="F107">
            <v>768</v>
          </cell>
          <cell r="G107">
            <v>9216</v>
          </cell>
          <cell r="H107">
            <v>0.84203819999999985</v>
          </cell>
          <cell r="I107">
            <v>15</v>
          </cell>
          <cell r="J107">
            <v>260</v>
          </cell>
          <cell r="K107">
            <v>15</v>
          </cell>
          <cell r="L107">
            <v>16</v>
          </cell>
          <cell r="M107">
            <v>4.8484848484848486</v>
          </cell>
          <cell r="N107">
            <v>310.84848484848487</v>
          </cell>
          <cell r="O107">
            <v>320</v>
          </cell>
          <cell r="X107">
            <v>3.4722222222222224E-2</v>
          </cell>
          <cell r="Y107">
            <v>1.4999999999999999E-2</v>
          </cell>
          <cell r="Z107">
            <v>1.4102564102564103E-2</v>
          </cell>
          <cell r="AA107">
            <v>7.6637525568181808E-4</v>
          </cell>
        </row>
        <row r="108">
          <cell r="B108" t="str">
            <v>49P2661</v>
          </cell>
          <cell r="C108" t="str">
            <v>IIPC(FuTian)</v>
          </cell>
          <cell r="D108" t="str">
            <v>DDU by LCL Truck</v>
          </cell>
          <cell r="E108">
            <v>2592</v>
          </cell>
          <cell r="F108">
            <v>144</v>
          </cell>
          <cell r="G108">
            <v>2592</v>
          </cell>
          <cell r="H108">
            <v>1.07406</v>
          </cell>
          <cell r="I108">
            <v>15</v>
          </cell>
          <cell r="J108">
            <v>260</v>
          </cell>
          <cell r="K108">
            <v>15</v>
          </cell>
          <cell r="L108">
            <v>16</v>
          </cell>
          <cell r="M108">
            <v>4.8484848484848486</v>
          </cell>
          <cell r="N108">
            <v>310.84848484848487</v>
          </cell>
          <cell r="O108">
            <v>320</v>
          </cell>
          <cell r="X108">
            <v>0.12345679012345678</v>
          </cell>
          <cell r="Y108">
            <v>2.5000000000000001E-2</v>
          </cell>
          <cell r="Z108">
            <v>2.4358974358974359E-2</v>
          </cell>
          <cell r="AA108">
            <v>3.4757272727272731E-3</v>
          </cell>
        </row>
        <row r="109">
          <cell r="B109" t="str">
            <v>49P2664</v>
          </cell>
          <cell r="C109" t="str">
            <v>IIPC(FuTian)</v>
          </cell>
          <cell r="D109" t="str">
            <v>DDU by LCL Truck</v>
          </cell>
          <cell r="E109">
            <v>2700</v>
          </cell>
          <cell r="F109">
            <v>900</v>
          </cell>
          <cell r="G109">
            <v>24300</v>
          </cell>
          <cell r="H109">
            <v>1.0452431999999998</v>
          </cell>
          <cell r="I109">
            <v>15</v>
          </cell>
          <cell r="J109">
            <v>260</v>
          </cell>
          <cell r="K109">
            <v>15</v>
          </cell>
          <cell r="L109">
            <v>16</v>
          </cell>
          <cell r="M109">
            <v>4.8484848484848486</v>
          </cell>
          <cell r="N109">
            <v>310.84848484848487</v>
          </cell>
          <cell r="O109">
            <v>320</v>
          </cell>
          <cell r="X109">
            <v>0.11851851851851852</v>
          </cell>
          <cell r="Y109">
            <v>3.0000000000000001E-3</v>
          </cell>
          <cell r="Z109">
            <v>2.5641025641025641E-3</v>
          </cell>
          <cell r="AA109">
            <v>3.6079725372240923E-4</v>
          </cell>
        </row>
        <row r="110">
          <cell r="B110" t="str">
            <v>73P6145</v>
          </cell>
          <cell r="C110" t="str">
            <v>IIPC(FuTian)</v>
          </cell>
          <cell r="D110" t="str">
            <v>DDU by LCL Truck</v>
          </cell>
          <cell r="E110">
            <v>80</v>
          </cell>
          <cell r="F110">
            <v>80</v>
          </cell>
          <cell r="G110">
            <v>80</v>
          </cell>
          <cell r="H110">
            <v>0.80312960000000011</v>
          </cell>
          <cell r="I110">
            <v>15</v>
          </cell>
          <cell r="J110">
            <v>260</v>
          </cell>
          <cell r="K110">
            <v>15</v>
          </cell>
          <cell r="L110">
            <v>16</v>
          </cell>
          <cell r="M110">
            <v>4.8484848484848486</v>
          </cell>
          <cell r="N110">
            <v>310.84848484848487</v>
          </cell>
          <cell r="O110">
            <v>320</v>
          </cell>
          <cell r="X110">
            <v>4</v>
          </cell>
          <cell r="Y110">
            <v>0.316</v>
          </cell>
          <cell r="Z110">
            <v>0.31538461538461537</v>
          </cell>
          <cell r="AA110">
            <v>8.4206921696969708E-2</v>
          </cell>
        </row>
        <row r="111">
          <cell r="B111" t="str">
            <v>73P6640</v>
          </cell>
          <cell r="C111" t="str">
            <v>IIPC(FuTian)</v>
          </cell>
          <cell r="D111" t="str">
            <v>DDU by LCL Truck</v>
          </cell>
          <cell r="E111">
            <v>768</v>
          </cell>
          <cell r="F111">
            <v>768</v>
          </cell>
          <cell r="G111">
            <v>9216</v>
          </cell>
          <cell r="H111">
            <v>0.84203819999999985</v>
          </cell>
          <cell r="I111">
            <v>15</v>
          </cell>
          <cell r="J111">
            <v>260</v>
          </cell>
          <cell r="K111">
            <v>15</v>
          </cell>
          <cell r="L111">
            <v>16</v>
          </cell>
          <cell r="M111">
            <v>4.8484848484848486</v>
          </cell>
          <cell r="N111">
            <v>310.84848484848487</v>
          </cell>
          <cell r="O111">
            <v>320</v>
          </cell>
          <cell r="X111">
            <v>0.41666666666666669</v>
          </cell>
          <cell r="Y111">
            <v>1.4999999999999999E-2</v>
          </cell>
          <cell r="Z111">
            <v>1.4102564102564103E-2</v>
          </cell>
          <cell r="AA111">
            <v>7.6637525568181808E-4</v>
          </cell>
        </row>
        <row r="112">
          <cell r="B112" t="str">
            <v>73P6641</v>
          </cell>
          <cell r="C112" t="str">
            <v>IIPC(FuTian)</v>
          </cell>
          <cell r="D112" t="str">
            <v>DDU by LCL Truck</v>
          </cell>
          <cell r="E112">
            <v>30</v>
          </cell>
          <cell r="F112">
            <v>30</v>
          </cell>
          <cell r="G112">
            <v>360</v>
          </cell>
          <cell r="H112">
            <v>0.95804800000000001</v>
          </cell>
          <cell r="I112">
            <v>15</v>
          </cell>
          <cell r="J112">
            <v>260</v>
          </cell>
          <cell r="K112">
            <v>15</v>
          </cell>
          <cell r="L112">
            <v>16</v>
          </cell>
          <cell r="M112">
            <v>4.8484848484848486</v>
          </cell>
          <cell r="N112">
            <v>310.84848484848487</v>
          </cell>
          <cell r="O112">
            <v>320</v>
          </cell>
          <cell r="X112">
            <v>10.666666666666666</v>
          </cell>
          <cell r="Y112">
            <v>0.13400000000000001</v>
          </cell>
          <cell r="Z112">
            <v>0.13333333333333333</v>
          </cell>
          <cell r="AA112">
            <v>2.2322195824915826E-2</v>
          </cell>
        </row>
        <row r="113">
          <cell r="B113" t="str">
            <v>73P6646</v>
          </cell>
          <cell r="C113" t="str">
            <v>IIPC(FuTian)</v>
          </cell>
          <cell r="D113" t="str">
            <v>DDU by LCL Truck</v>
          </cell>
          <cell r="E113">
            <v>360</v>
          </cell>
          <cell r="F113">
            <v>30</v>
          </cell>
          <cell r="G113">
            <v>360</v>
          </cell>
          <cell r="H113">
            <v>0.95804800000000001</v>
          </cell>
          <cell r="I113">
            <v>15</v>
          </cell>
          <cell r="J113">
            <v>260</v>
          </cell>
          <cell r="K113">
            <v>15</v>
          </cell>
          <cell r="L113">
            <v>16</v>
          </cell>
          <cell r="M113">
            <v>4.8484848484848486</v>
          </cell>
          <cell r="N113">
            <v>310.84848484848487</v>
          </cell>
          <cell r="O113">
            <v>320</v>
          </cell>
          <cell r="X113">
            <v>0.88888888888888884</v>
          </cell>
          <cell r="Y113">
            <v>0.13400000000000001</v>
          </cell>
          <cell r="Z113">
            <v>0.13333333333333333</v>
          </cell>
          <cell r="AA113">
            <v>2.2322195824915826E-2</v>
          </cell>
        </row>
        <row r="114">
          <cell r="B114" t="str">
            <v>73P6647</v>
          </cell>
          <cell r="C114" t="str">
            <v>IIPC(FuTian)</v>
          </cell>
          <cell r="D114" t="str">
            <v>DDU by LCL Truck</v>
          </cell>
          <cell r="E114">
            <v>216</v>
          </cell>
          <cell r="F114">
            <v>18</v>
          </cell>
          <cell r="G114">
            <v>216</v>
          </cell>
          <cell r="H114">
            <v>1.0264800000000001</v>
          </cell>
          <cell r="I114">
            <v>15</v>
          </cell>
          <cell r="J114">
            <v>260</v>
          </cell>
          <cell r="K114">
            <v>15</v>
          </cell>
          <cell r="L114">
            <v>16</v>
          </cell>
          <cell r="M114">
            <v>4.8484848484848486</v>
          </cell>
          <cell r="N114">
            <v>310.84848484848487</v>
          </cell>
          <cell r="O114">
            <v>320</v>
          </cell>
          <cell r="X114">
            <v>1.4814814814814814</v>
          </cell>
          <cell r="Y114">
            <v>0.23799999999999999</v>
          </cell>
          <cell r="Z114">
            <v>0.2371794871794872</v>
          </cell>
          <cell r="AA114">
            <v>3.9861063973063979E-2</v>
          </cell>
        </row>
        <row r="115">
          <cell r="B115" t="str">
            <v>73P6656</v>
          </cell>
          <cell r="C115" t="str">
            <v>IIPC(FuTian)</v>
          </cell>
          <cell r="D115" t="str">
            <v>DDU by LCL Truck</v>
          </cell>
          <cell r="E115">
            <v>648</v>
          </cell>
          <cell r="F115">
            <v>36</v>
          </cell>
          <cell r="G115">
            <v>648</v>
          </cell>
          <cell r="H115">
            <v>1.14219</v>
          </cell>
          <cell r="I115">
            <v>15</v>
          </cell>
          <cell r="J115">
            <v>260</v>
          </cell>
          <cell r="K115">
            <v>15</v>
          </cell>
          <cell r="L115">
            <v>16</v>
          </cell>
          <cell r="M115">
            <v>4.8484848484848486</v>
          </cell>
          <cell r="N115">
            <v>310.84848484848487</v>
          </cell>
          <cell r="O115">
            <v>320</v>
          </cell>
          <cell r="X115">
            <v>0.49382716049382713</v>
          </cell>
          <cell r="Y115">
            <v>0.14699999999999999</v>
          </cell>
          <cell r="Z115">
            <v>0.14615384615384613</v>
          </cell>
          <cell r="AA115">
            <v>1.4784801346801348E-2</v>
          </cell>
        </row>
        <row r="116">
          <cell r="B116" t="str">
            <v>90P4709-item2</v>
          </cell>
          <cell r="C116" t="str">
            <v>IIPC(FuTian)</v>
          </cell>
          <cell r="D116" t="str">
            <v>DDU by LCL Truck</v>
          </cell>
          <cell r="E116">
            <v>2700</v>
          </cell>
          <cell r="F116">
            <v>900</v>
          </cell>
          <cell r="G116">
            <v>24300</v>
          </cell>
          <cell r="H116">
            <v>0.86399999999999999</v>
          </cell>
          <cell r="I116">
            <v>15</v>
          </cell>
          <cell r="J116">
            <v>260</v>
          </cell>
          <cell r="K116">
            <v>15</v>
          </cell>
          <cell r="L116">
            <v>16</v>
          </cell>
          <cell r="M116">
            <v>4.8484848484848486</v>
          </cell>
          <cell r="N116">
            <v>310.84848484848487</v>
          </cell>
          <cell r="O116">
            <v>320</v>
          </cell>
          <cell r="X116">
            <v>0.11851851851851852</v>
          </cell>
          <cell r="Y116">
            <v>3.0000000000000001E-3</v>
          </cell>
          <cell r="Z116">
            <v>2.5641025641025641E-3</v>
          </cell>
          <cell r="AA116">
            <v>2.9823569023569027E-4</v>
          </cell>
        </row>
        <row r="117">
          <cell r="B117" t="str">
            <v>90P4709-item3</v>
          </cell>
          <cell r="C117" t="str">
            <v>IIPC(FuTian)</v>
          </cell>
          <cell r="D117" t="str">
            <v>DDU by LCL Truck</v>
          </cell>
          <cell r="E117">
            <v>2700</v>
          </cell>
          <cell r="F117">
            <v>900</v>
          </cell>
          <cell r="G117">
            <v>24300</v>
          </cell>
          <cell r="H117">
            <v>0.86399999999999999</v>
          </cell>
          <cell r="I117">
            <v>15</v>
          </cell>
          <cell r="J117">
            <v>260</v>
          </cell>
          <cell r="K117">
            <v>15</v>
          </cell>
          <cell r="L117">
            <v>16</v>
          </cell>
          <cell r="M117">
            <v>4.8484848484848486</v>
          </cell>
          <cell r="N117">
            <v>310.84848484848487</v>
          </cell>
          <cell r="O117">
            <v>320</v>
          </cell>
          <cell r="X117">
            <v>0.11851851851851852</v>
          </cell>
          <cell r="Y117">
            <v>3.0000000000000001E-3</v>
          </cell>
          <cell r="Z117">
            <v>2.5641025641025641E-3</v>
          </cell>
          <cell r="AA117">
            <v>2.9823569023569027E-4</v>
          </cell>
        </row>
        <row r="118">
          <cell r="B118" t="str">
            <v>90P4710</v>
          </cell>
          <cell r="C118" t="str">
            <v>IIPC(FuTian)</v>
          </cell>
          <cell r="D118" t="str">
            <v>DDU by LCL Truck</v>
          </cell>
          <cell r="E118">
            <v>180</v>
          </cell>
          <cell r="F118">
            <v>180</v>
          </cell>
          <cell r="G118">
            <v>180</v>
          </cell>
          <cell r="H118">
            <v>0.91992599999999991</v>
          </cell>
          <cell r="I118">
            <v>15</v>
          </cell>
          <cell r="J118">
            <v>260</v>
          </cell>
          <cell r="K118">
            <v>15</v>
          </cell>
          <cell r="L118">
            <v>16</v>
          </cell>
          <cell r="M118">
            <v>4.8484848484848486</v>
          </cell>
          <cell r="N118">
            <v>310.84848484848487</v>
          </cell>
          <cell r="O118">
            <v>320</v>
          </cell>
          <cell r="X118">
            <v>1.7777777777777777</v>
          </cell>
          <cell r="Y118">
            <v>0.16300000000000001</v>
          </cell>
          <cell r="Z118">
            <v>0.16282051282051282</v>
          </cell>
          <cell r="AA118">
            <v>4.2867932121212121E-2</v>
          </cell>
        </row>
        <row r="119">
          <cell r="B119" t="str">
            <v>90P4721</v>
          </cell>
          <cell r="C119" t="str">
            <v>IIPC(FuTian)</v>
          </cell>
          <cell r="D119" t="str">
            <v>DDU by LCL Truck</v>
          </cell>
          <cell r="E119">
            <v>120</v>
          </cell>
          <cell r="F119">
            <v>3</v>
          </cell>
          <cell r="G119">
            <v>6</v>
          </cell>
          <cell r="H119">
            <v>1.0053720000000002</v>
          </cell>
          <cell r="I119">
            <v>15</v>
          </cell>
          <cell r="J119">
            <v>260</v>
          </cell>
          <cell r="K119">
            <v>15</v>
          </cell>
          <cell r="L119">
            <v>16</v>
          </cell>
          <cell r="M119">
            <v>4.8484848484848486</v>
          </cell>
          <cell r="N119">
            <v>310.84848484848487</v>
          </cell>
          <cell r="O119">
            <v>320</v>
          </cell>
          <cell r="X119">
            <v>2.6666666666666665</v>
          </cell>
          <cell r="Y119">
            <v>6.681</v>
          </cell>
          <cell r="Z119">
            <v>6.680769230769231</v>
          </cell>
          <cell r="AA119">
            <v>1.4054897454545456</v>
          </cell>
        </row>
        <row r="120">
          <cell r="B120" t="str">
            <v>90P4765</v>
          </cell>
          <cell r="C120" t="str">
            <v>IIPC(FuTian)</v>
          </cell>
          <cell r="D120" t="str">
            <v>DDU by LCL Truck</v>
          </cell>
          <cell r="E120">
            <v>1728</v>
          </cell>
          <cell r="F120">
            <v>72</v>
          </cell>
          <cell r="G120">
            <v>576</v>
          </cell>
          <cell r="H120">
            <v>0.9264</v>
          </cell>
          <cell r="I120">
            <v>15</v>
          </cell>
          <cell r="J120">
            <v>260</v>
          </cell>
          <cell r="K120">
            <v>15</v>
          </cell>
          <cell r="L120">
            <v>16</v>
          </cell>
          <cell r="M120">
            <v>4.8484848484848486</v>
          </cell>
          <cell r="N120">
            <v>310.84848484848487</v>
          </cell>
          <cell r="O120">
            <v>320</v>
          </cell>
          <cell r="X120">
            <v>0.18518518518518517</v>
          </cell>
          <cell r="Y120">
            <v>0.106</v>
          </cell>
          <cell r="Z120">
            <v>0.10512820512820513</v>
          </cell>
          <cell r="AA120">
            <v>1.3490505050505051E-2</v>
          </cell>
        </row>
        <row r="121">
          <cell r="B121" t="str">
            <v>90P4786</v>
          </cell>
          <cell r="C121" t="str">
            <v>IIPC(FuTian)</v>
          </cell>
          <cell r="D121" t="str">
            <v>DDU by LCL Truck</v>
          </cell>
          <cell r="E121">
            <v>60</v>
          </cell>
          <cell r="F121">
            <v>3</v>
          </cell>
          <cell r="G121">
            <v>6</v>
          </cell>
          <cell r="H121">
            <v>1.1170800000000001</v>
          </cell>
          <cell r="I121">
            <v>15</v>
          </cell>
          <cell r="J121">
            <v>260</v>
          </cell>
          <cell r="K121">
            <v>15</v>
          </cell>
          <cell r="L121">
            <v>16</v>
          </cell>
          <cell r="M121">
            <v>4.8484848484848486</v>
          </cell>
          <cell r="N121">
            <v>310.84848484848487</v>
          </cell>
          <cell r="O121">
            <v>320</v>
          </cell>
          <cell r="X121">
            <v>5.333333333333333</v>
          </cell>
          <cell r="Y121">
            <v>5.0090000000000003</v>
          </cell>
          <cell r="Z121">
            <v>5.0089743589743589</v>
          </cell>
          <cell r="AA121">
            <v>1.5616552727272728</v>
          </cell>
        </row>
        <row r="122">
          <cell r="B122" t="str">
            <v>90P4788</v>
          </cell>
          <cell r="C122" t="str">
            <v>IIPC(FuTian)</v>
          </cell>
          <cell r="D122" t="str">
            <v>DDU by LCL Truck</v>
          </cell>
          <cell r="E122">
            <v>252</v>
          </cell>
          <cell r="F122">
            <v>84</v>
          </cell>
          <cell r="G122">
            <v>84</v>
          </cell>
          <cell r="H122">
            <v>1.1531520000000002</v>
          </cell>
          <cell r="I122">
            <v>15</v>
          </cell>
          <cell r="J122">
            <v>260</v>
          </cell>
          <cell r="K122">
            <v>15</v>
          </cell>
          <cell r="L122">
            <v>16</v>
          </cell>
          <cell r="M122">
            <v>4.8484848484848486</v>
          </cell>
          <cell r="N122">
            <v>310.84848484848487</v>
          </cell>
          <cell r="O122">
            <v>320</v>
          </cell>
          <cell r="X122">
            <v>1.2698412698412698</v>
          </cell>
          <cell r="Y122">
            <v>0.29199999999999998</v>
          </cell>
          <cell r="Z122">
            <v>0.29102564102564105</v>
          </cell>
          <cell r="AA122">
            <v>0.11514880000000002</v>
          </cell>
        </row>
        <row r="123">
          <cell r="B123" t="str">
            <v>90P4790(73P6642)</v>
          </cell>
          <cell r="C123" t="str">
            <v>IIPC(FuTian)</v>
          </cell>
          <cell r="D123" t="str">
            <v>DDU by LCL Truck</v>
          </cell>
          <cell r="E123">
            <v>252</v>
          </cell>
          <cell r="F123">
            <v>84</v>
          </cell>
          <cell r="G123">
            <v>84</v>
          </cell>
          <cell r="H123">
            <v>1.1531520000000002</v>
          </cell>
          <cell r="I123">
            <v>15</v>
          </cell>
          <cell r="J123">
            <v>260</v>
          </cell>
          <cell r="K123">
            <v>15</v>
          </cell>
          <cell r="L123">
            <v>16</v>
          </cell>
          <cell r="M123">
            <v>4.8484848484848486</v>
          </cell>
          <cell r="N123">
            <v>310.84848484848487</v>
          </cell>
          <cell r="O123">
            <v>320</v>
          </cell>
          <cell r="X123">
            <v>1.2698412698412698</v>
          </cell>
          <cell r="Y123">
            <v>0.29199999999999998</v>
          </cell>
          <cell r="Z123">
            <v>0.29102564102564105</v>
          </cell>
          <cell r="AA123">
            <v>0.11514880000000002</v>
          </cell>
        </row>
        <row r="124">
          <cell r="B124" t="str">
            <v>90P4795</v>
          </cell>
          <cell r="C124" t="str">
            <v>IIPC(FuTian)</v>
          </cell>
          <cell r="D124" t="str">
            <v>DDU by LCL Truck</v>
          </cell>
          <cell r="E124">
            <v>540</v>
          </cell>
          <cell r="F124">
            <v>180</v>
          </cell>
          <cell r="G124">
            <v>180</v>
          </cell>
          <cell r="H124">
            <v>0.91992599999999991</v>
          </cell>
          <cell r="I124">
            <v>15</v>
          </cell>
          <cell r="J124">
            <v>260</v>
          </cell>
          <cell r="K124">
            <v>15</v>
          </cell>
          <cell r="L124">
            <v>16</v>
          </cell>
          <cell r="M124">
            <v>4.8484848484848486</v>
          </cell>
          <cell r="N124">
            <v>310.84848484848487</v>
          </cell>
          <cell r="O124">
            <v>320</v>
          </cell>
          <cell r="X124">
            <v>0.59259259259259256</v>
          </cell>
          <cell r="Y124">
            <v>0.16300000000000001</v>
          </cell>
          <cell r="Z124">
            <v>0.16282051282051282</v>
          </cell>
          <cell r="AA124">
            <v>4.2867932121212121E-2</v>
          </cell>
        </row>
      </sheetData>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
      <sheetName val="DELL_Schedule"/>
      <sheetName val="DELL_STGR"/>
      <sheetName val="Level 1 Commit"/>
      <sheetName val="DELL_MRP"/>
      <sheetName val="Dell_Sch_Comparison"/>
      <sheetName val="台干小靈通"/>
      <sheetName val="製造單位電話號碼"/>
      <sheetName val="fs.odd.apple"/>
      <sheetName val="VGA card 外包協輔隊名單"/>
      <sheetName val="非公司"/>
      <sheetName val="加班人員"/>
      <sheetName val="PM&amp;機種對應關係"/>
      <sheetName val="CSC人員工作職掌"/>
      <sheetName val="人力資源部"/>
      <sheetName val="ASUS機種負責人表(2005.1.10)"/>
      <sheetName val="Samsung pm contact window "/>
      <sheetName val="RD"/>
      <sheetName val="蘇州廠撥到華碩其他廠區的撥法."/>
      <sheetName val="籃球隊報名表"/>
      <sheetName val="公共區"/>
      <sheetName val="總管理處"/>
      <sheetName val="MB一廠"/>
      <sheetName val="MQC"/>
      <sheetName val="資財中心"/>
      <sheetName val="六廠財務&amp;進出口"/>
      <sheetName val="邁大"/>
      <sheetName val="資材中心"/>
      <sheetName val="Lookup Tables"/>
      <sheetName val="08"/>
      <sheetName val="FA_LISTING"/>
      <sheetName val="Data lists"/>
      <sheetName val="FA-LISTING"/>
      <sheetName val="All Parts"/>
      <sheetName val="Master Lists"/>
      <sheetName val="非機種"/>
      <sheetName val="期初B"/>
      <sheetName val="1217_BOM"/>
      <sheetName val="SupplierBaseInput"/>
      <sheetName val="intel target"/>
      <sheetName val="PARTS"/>
      <sheetName val="Level_1_Commit"/>
      <sheetName val="fs_odd_apple"/>
      <sheetName val="VGA_card_外包協輔隊名單"/>
      <sheetName val="ASUS機種負責人表(2005_1_10)"/>
      <sheetName val="Samsung_pm_contact_window_"/>
      <sheetName val="蘇州廠撥到華碩其他廠區的撥法_"/>
      <sheetName val="Manufactur List"/>
      <sheetName val="Total MPP database"/>
      <sheetName val="Mat_list"/>
      <sheetName val="SPM Units"/>
      <sheetName val="Subs"/>
      <sheetName val="Sign Off"/>
      <sheetName val="Hous Rates"/>
      <sheetName val="Anah Rates"/>
      <sheetName val="Minn Rates"/>
      <sheetName val="Mont Rates"/>
      <sheetName val="An pack"/>
      <sheetName val="Paso Rates"/>
      <sheetName val="Engers"/>
      <sheetName val="Lud Rates"/>
      <sheetName val="codes"/>
      <sheetName val="Issues List"/>
      <sheetName val="Email"/>
      <sheetName val="Assumptions"/>
      <sheetName val="Part Data"/>
      <sheetName val="List"/>
      <sheetName val="Cost calc."/>
      <sheetName val="蘆竹5月薪"/>
      <sheetName val="Freight&amp;Packaging(39)"/>
      <sheetName val="PNsCost"/>
      <sheetName val="reference"/>
      <sheetName val="626BOM"/>
      <sheetName val="PLcost"/>
      <sheetName val="pu-Part"/>
      <sheetName val="sm_Pcost"/>
      <sheetName val="1.OVERALL ASSY MAIN"/>
      <sheetName val="2003 Target"/>
      <sheetName val="2003 prod2"/>
      <sheetName val="XL4Test5"/>
      <sheetName val="Macro1"/>
      <sheetName val="Summary "/>
      <sheetName val="DateConv"/>
      <sheetName val="Panelization"/>
      <sheetName val="GlassAreaSumamry"/>
      <sheetName val="DemAll"/>
      <sheetName val="YsizeA"/>
      <sheetName val="Bom(P1)"/>
      <sheetName val="Workings"/>
      <sheetName val="Sheet2"/>
      <sheetName val="自定義"/>
      <sheetName val="2005MPS"/>
      <sheetName val="Capacity By Modle"/>
      <sheetName val="Array2"/>
      <sheetName val="Sheet1"/>
      <sheetName val="Raw data"/>
      <sheetName val="MPU Other"/>
      <sheetName val="Matl1"/>
      <sheetName val="04月"/>
      <sheetName val="01月"/>
      <sheetName val="02月"/>
      <sheetName val="03月"/>
      <sheetName val="05月"/>
      <sheetName val="06月"/>
      <sheetName val="07月"/>
      <sheetName val="08月"/>
      <sheetName val="台北廠圖"/>
      <sheetName val="紫竹廠圖"/>
      <sheetName val="環慶廠圖"/>
      <sheetName val="BSF"/>
      <sheetName val="Dropdown Menu"/>
      <sheetName val="PN Summery"/>
      <sheetName val="K7974 FEB"/>
      <sheetName val="Q4FY05 Neo cost bom Data"/>
      <sheetName val="Risk buy"/>
      <sheetName val="Q_SandlerFBOM_X00_120304"/>
      <sheetName val="Level_1_Commit1"/>
      <sheetName val="fs_odd_apple1"/>
      <sheetName val="VGA_card_外包協輔隊名單1"/>
      <sheetName val="ASUS機種負責人表(2005_1_10)1"/>
      <sheetName val="Samsung_pm_contact_window_1"/>
      <sheetName val="蘇州廠撥到華碩其他廠區的撥法_1"/>
      <sheetName val="Master_Lists"/>
      <sheetName val="intel_target"/>
      <sheetName val="Lookup_Tables"/>
      <sheetName val="Part_Data"/>
      <sheetName val="Cost_calc_"/>
      <sheetName val="Data_lists"/>
      <sheetName val="Manufactur_List"/>
      <sheetName val="Total_MPP_database"/>
      <sheetName val="MPU_Other"/>
      <sheetName val="2003_Target"/>
      <sheetName val="1_OVERALL_ASSY_MAIN"/>
      <sheetName val="Macros"/>
      <sheetName val="KT1 Qual"/>
      <sheetName val="ISRDATA"/>
      <sheetName val="FA Definitions"/>
      <sheetName val="總表"/>
      <sheetName val="Cover"/>
      <sheetName val="2FDAY"/>
      <sheetName val="Freight"/>
      <sheetName val="liste"/>
      <sheetName val="Asus_BOM"/>
      <sheetName val="Rank"/>
      <sheetName val="All"/>
      <sheetName val="Hourly Rate"/>
      <sheetName val="Setup"/>
      <sheetName val="Mix"/>
      <sheetName val="active"/>
      <sheetName val="eBOM"/>
      <sheetName val="Root Causes"/>
      <sheetName val="TEH BASIC SETTING SHEET"/>
      <sheetName val="Input commodity fallout"/>
      <sheetName val="Reporting"/>
      <sheetName val="50T_180T"/>
      <sheetName val=" Cap 白色"/>
      <sheetName val="Cap  麻灰色"/>
      <sheetName val="截止單據"/>
      <sheetName val="9906"/>
      <sheetName val="Asahi  F7  3F  CNC1~去毛刺(白色)"/>
      <sheetName val="Asahi  F7  3F  CNC1~去毛刺(黑色)"/>
      <sheetName val="HGA ENG"/>
      <sheetName val="Allo Rate"/>
      <sheetName val="inspect capa"/>
      <sheetName val="TFCSBU01"/>
      <sheetName val="Rates"/>
      <sheetName val="Sacto"/>
      <sheetName val="General Inputs"/>
      <sheetName val="wsp 12-03"/>
      <sheetName val="Tweedy"/>
      <sheetName val="ESSM Syst"/>
      <sheetName val="Contacts"/>
      <sheetName val="DELL-CQ4'99"/>
      <sheetName val="Antenna Window"/>
      <sheetName val="CTO PO"/>
      <sheetName val="生產計劃"/>
      <sheetName val="所有辅料"/>
      <sheetName val="法規課84上半年經營實績"/>
      <sheetName val="DailyCapaSummary"/>
      <sheetName val="OEE Loss "/>
      <sheetName val="定義"/>
      <sheetName val="Memo"/>
      <sheetName val="eq-move-in-skdl"/>
      <sheetName val="工作目標"/>
      <sheetName val="詳細資料"/>
      <sheetName val="Information"/>
      <sheetName val="Product Data Entry"/>
      <sheetName val="Team List"/>
      <sheetName val="Proto 1"/>
      <sheetName val="Mat Summary"/>
      <sheetName val="All-In-One"/>
      <sheetName val="summary_4.5%MOH"/>
      <sheetName val="Mechanical Assembly"/>
      <sheetName val="Title Page"/>
      <sheetName val="Menu Items"/>
      <sheetName val="Forecast"/>
      <sheetName val="MOD"/>
      <sheetName val="BLUFORD3 FBOM-update081303"/>
      <sheetName val="Demand&amp;Supply"/>
      <sheetName val="Cyce 3 Descriptions"/>
      <sheetName val="MPM"/>
      <sheetName val="Electronics"/>
      <sheetName val="Mechanical"/>
      <sheetName val="Keyboard &amp; Accessories"/>
      <sheetName val="Packaging"/>
      <sheetName val="Final Prep"/>
      <sheetName val="Selections"/>
      <sheetName val="Q7XA FM data"/>
      <sheetName val="Q72A Channel Analysis Q1"/>
      <sheetName val="Q73A Best Channel Analysis Q1"/>
      <sheetName val="Q73A Better Channel Analysis Q1"/>
      <sheetName val="Level_1_Commit2"/>
      <sheetName val="fs_odd_apple2"/>
      <sheetName val="VGA_card_外包協輔隊名單2"/>
      <sheetName val="ASUS機種負責人表(2005_1_10)2"/>
      <sheetName val="Samsung_pm_contact_window_2"/>
      <sheetName val="蘇州廠撥到華碩其他廠區的撥法_2"/>
      <sheetName val="Master_Lists1"/>
      <sheetName val="intel_target1"/>
      <sheetName val="Data_lists1"/>
      <sheetName val="Part_Data1"/>
      <sheetName val="Cost_calc_1"/>
      <sheetName val="Lookup_Tables1"/>
      <sheetName val="Manufactur_List1"/>
      <sheetName val="Total_MPP_database1"/>
      <sheetName val="MPU_Other1"/>
      <sheetName val="2003_Target1"/>
      <sheetName val="1_OVERALL_ASSY_MAIN1"/>
      <sheetName val="KT1_Qual"/>
      <sheetName val="FA_Definitions"/>
      <sheetName val="PN_Summery"/>
      <sheetName val="K7974_FEB"/>
      <sheetName val="Q4FY05_Neo_cost_bom_Data"/>
      <sheetName val="Risk_buy"/>
      <sheetName val="SPM_Units"/>
      <sheetName val="Sign_Off"/>
      <sheetName val="Hous_Rates"/>
      <sheetName val="Anah_Rates"/>
      <sheetName val="Minn_Rates"/>
      <sheetName val="Mont_Rates"/>
      <sheetName val="An_pack"/>
      <sheetName val="Paso_Rates"/>
      <sheetName val="Lud_Rates"/>
      <sheetName val="Raw_data"/>
      <sheetName val="Summary_"/>
      <sheetName val="2003_prod2"/>
      <sheetName val="Hourly_Rate"/>
      <sheetName val="Issues_List"/>
      <sheetName val="Antenna_Window"/>
      <sheetName val="All_Parts"/>
      <sheetName val="Capacity_By_Modle"/>
      <sheetName val="Dropdown_Menu"/>
      <sheetName val="wsp_12-03"/>
      <sheetName val="Product_Data_Entry"/>
      <sheetName val="Team_List"/>
      <sheetName val="Proto_1"/>
      <sheetName val="summary_4_5%MOH"/>
      <sheetName val="Input_commodity_fallout"/>
      <sheetName val="Mat_Summary"/>
      <sheetName val="Root_Causes"/>
      <sheetName val="Mechanical_Assembly"/>
      <sheetName val="Title_Page"/>
      <sheetName val="Menu_Items"/>
      <sheetName val="Neo"/>
      <sheetName val="Sheet1 (2)"/>
      <sheetName val="5C Sum"/>
      <sheetName val="Pallet"/>
      <sheetName val="FRU demand"/>
      <sheetName val="Compal open order "/>
      <sheetName val="R CTO demand"/>
      <sheetName val="Compal stock 4.6"/>
      <sheetName val="zsdr82 Tab."/>
      <sheetName val="Cost Breakdown"/>
      <sheetName val="wsp 01-07"/>
      <sheetName val="090701"/>
      <sheetName val="TY9007本勞"/>
      <sheetName val="SET 關務備案"/>
      <sheetName val="data"/>
      <sheetName val="yield"/>
      <sheetName val="連絡書１"/>
      <sheetName val="Forwarder_Plan"/>
      <sheetName val="72HY"/>
      <sheetName val="75EX"/>
      <sheetName val="75EY"/>
      <sheetName val="72HX"/>
      <sheetName val="CRT-database"/>
      <sheetName val="204BOM"/>
      <sheetName val="0"/>
      <sheetName val="1000"/>
      <sheetName val="Purchase"/>
      <sheetName val="Links"/>
      <sheetName val="Part_Source"/>
      <sheetName val="Price_MFM"/>
      <sheetName val="Part_Type"/>
      <sheetName val="DBM"/>
      <sheetName val="#REF!"/>
      <sheetName val="RawData_all"/>
      <sheetName val="Dashboard (methodologies)"/>
      <sheetName val="HDa16"/>
      <sheetName val="MTL1"/>
      <sheetName val="Level"/>
      <sheetName val="系统参数设置"/>
      <sheetName val="固定资产卡片"/>
      <sheetName val="固定资产清单"/>
      <sheetName val="1"/>
      <sheetName val="2"/>
      <sheetName val="3"/>
      <sheetName val="4"/>
      <sheetName val="5"/>
      <sheetName val="16"/>
      <sheetName val="17"/>
      <sheetName val="6"/>
      <sheetName val="7"/>
      <sheetName val="8"/>
      <sheetName val="14"/>
      <sheetName val="15"/>
      <sheetName val="24"/>
      <sheetName val="18"/>
      <sheetName val="19"/>
      <sheetName val="20"/>
      <sheetName val="9"/>
      <sheetName val="10"/>
      <sheetName val="11"/>
      <sheetName val="22"/>
      <sheetName val="21"/>
      <sheetName val="23"/>
      <sheetName val="12"/>
      <sheetName val="13"/>
      <sheetName val="LF Stock"/>
      <sheetName val="Cronus"/>
      <sheetName val="M865"/>
      <sheetName val="C8510"/>
      <sheetName val="Filippa"/>
      <sheetName val="DB"/>
      <sheetName val="Matrix"/>
      <sheetName val="1705"/>
      <sheetName val="MPS計算"/>
      <sheetName val="MA溫濕度&amp;particle"/>
      <sheetName val="Materials Quarterly"/>
      <sheetName val="TACT"/>
      <sheetName val="在職人員-IDL"/>
      <sheetName val="離職人員"/>
      <sheetName val="在職人員-DL"/>
      <sheetName val="Summary"/>
      <sheetName val="614-BOM"/>
      <sheetName val="银行存款Dy"/>
      <sheetName val="应收利息Dy"/>
      <sheetName val="分录"/>
      <sheetName val="短期投资Dy"/>
      <sheetName val="货币资金Dy"/>
      <sheetName val="8-09-02"/>
      <sheetName val="通訊MIS"/>
      <sheetName val="FO"/>
      <sheetName val="LGA EModule 0611'14"/>
      <sheetName val="mail"/>
      <sheetName val="LGA_EModule_0611'14"/>
      <sheetName val="zsdr82_Tab_"/>
      <sheetName val="wsp_01-07"/>
      <sheetName val="MOTO"/>
      <sheetName val="ML_Model_Metadata"/>
      <sheetName val="choose list"/>
      <sheetName val="ref"/>
      <sheetName val="Cost comparison sheet"/>
      <sheetName val="Unit price breakdown"/>
      <sheetName val="BD1 Cost M"/>
      <sheetName val="Attributes"/>
      <sheetName val="W44"/>
      <sheetName val="Simulation"/>
      <sheetName val="550501-消耗品"/>
      <sheetName val="WO list"/>
      <sheetName val="TR by BU"/>
      <sheetName val="Parameter"/>
      <sheetName val="0843-002660-00"/>
      <sheetName val="0843-002970-00"/>
      <sheetName val="200909_v909"/>
      <sheetName val="200910_v184"/>
      <sheetName val="Validation Tables"/>
      <sheetName val="Inv Turns"/>
      <sheetName val="ROIC"/>
      <sheetName val="Schedule"/>
      <sheetName val="Inventory Turns"/>
      <sheetName val="BudgetFY00"/>
      <sheetName val="Indirect Labour"/>
      <sheetName val="Picture"/>
      <sheetName val="기준정보"/>
      <sheetName val="原工時"/>
      <sheetName val="埻馱"/>
      <sheetName val="类别库"/>
      <sheetName val="M1111375"/>
      <sheetName val="MPM&amp;DEK"/>
      <sheetName val="WIP_STATION_REPAIR_Q"/>
      <sheetName val="区分"/>
      <sheetName val="Level_1_Commit3"/>
      <sheetName val="fs_odd_apple3"/>
      <sheetName val="VGA_card_外包協輔隊名單3"/>
      <sheetName val="ASUS機種負責人表(2005_1_10)3"/>
      <sheetName val="Samsung_pm_contact_window_3"/>
      <sheetName val="蘇州廠撥到華碩其他廠區的撥法_3"/>
      <sheetName val="Master_Lists2"/>
      <sheetName val="Lookup_Tables2"/>
      <sheetName val="intel_target2"/>
      <sheetName val="Part_Data2"/>
      <sheetName val="Cost_calc_2"/>
      <sheetName val="Data_lists2"/>
      <sheetName val="Manufactur_List2"/>
      <sheetName val="Total_MPP_database2"/>
      <sheetName val="MPU_Other2"/>
      <sheetName val="2003_Target2"/>
      <sheetName val="1_OVERALL_ASSY_MAIN2"/>
      <sheetName val="KT1_Qual1"/>
      <sheetName val="FA_Definitions1"/>
      <sheetName val="PN_Summery1"/>
      <sheetName val="K7974_FEB1"/>
      <sheetName val="Q4FY05_Neo_cost_bom_Data1"/>
      <sheetName val="Risk_buy1"/>
      <sheetName val="SPM_Units1"/>
      <sheetName val="Sign_Off1"/>
      <sheetName val="Hous_Rates1"/>
      <sheetName val="Anah_Rates1"/>
      <sheetName val="Minn_Rates1"/>
      <sheetName val="Mont_Rates1"/>
      <sheetName val="An_pack1"/>
      <sheetName val="Paso_Rates1"/>
      <sheetName val="Lud_Rates1"/>
      <sheetName val="Summary_1"/>
      <sheetName val="Raw_data1"/>
      <sheetName val="Issues_List1"/>
      <sheetName val="All_Parts1"/>
      <sheetName val="2003_prod21"/>
      <sheetName val="Hourly_Rate1"/>
      <sheetName val="Antenna_Window1"/>
      <sheetName val="Capacity_By_Modle1"/>
      <sheetName val="Dropdown_Menu1"/>
      <sheetName val="Root_Causes1"/>
      <sheetName val="wsp_12-031"/>
      <sheetName val="Team_List1"/>
      <sheetName val="Proto_11"/>
      <sheetName val="Product_Data_Entry1"/>
      <sheetName val="summary_4_5%MOH1"/>
      <sheetName val="Mat_Summary1"/>
      <sheetName val="Mechanical_Assembly1"/>
      <sheetName val="Title_Page1"/>
      <sheetName val="Menu_Items1"/>
      <sheetName val="Input_commodity_fallout1"/>
      <sheetName val="inspect_capa"/>
      <sheetName val="BLUFORD3_FBOM-update081303"/>
      <sheetName val="Cyce_3_Descriptions"/>
      <sheetName val="Keyboard_&amp;_Accessories"/>
      <sheetName val="Final_Prep"/>
      <sheetName val="Q7XA_FM_data"/>
      <sheetName val="Q72A_Channel_Analysis_Q1"/>
      <sheetName val="Q73A_Best_Channel_Analysis_Q1"/>
      <sheetName val="Q73A_Better_Channel_Analysis_Q1"/>
      <sheetName val="Sheet1_(2)"/>
      <sheetName val="5C_Sum"/>
      <sheetName val="SET_關務備案"/>
      <sheetName val="_Cap_白色"/>
      <sheetName val="Cap__麻灰色"/>
      <sheetName val="Asahi__F7__3F__CNC1~去毛刺(白色)"/>
      <sheetName val="Asahi__F7__3F__CNC1~去毛刺(黑色)"/>
      <sheetName val="HGA_ENG"/>
      <sheetName val="Allo_Rate"/>
      <sheetName val="TEH_BASIC_SETTING_SHEET"/>
      <sheetName val="OEE_Loss_"/>
      <sheetName val="CTO_PO"/>
      <sheetName val="General_Inputs"/>
      <sheetName val="BusCont"/>
      <sheetName val="CFCST - Current"/>
      <sheetName val="CFCST - Previous"/>
      <sheetName val="FPC_Sum - Current"/>
      <sheetName val="FPC_Sum - Previous"/>
      <sheetName val="BaseSKUSummary"/>
      <sheetName val="AdderSummary"/>
      <sheetName val="T1 Tact Time"/>
      <sheetName val="TEMPMAT9308"/>
      <sheetName val="Cell-17&quot;(CF自製)"/>
      <sheetName val="Oct. Fbom"/>
      <sheetName val="ED_Cost"/>
      <sheetName val="MetricsData"/>
      <sheetName val="FRU_demand"/>
      <sheetName val="Compal_open_order_"/>
      <sheetName val="R_CTO_demand"/>
      <sheetName val="Compal_stock_4_6"/>
      <sheetName val="Cost_Breakdown"/>
      <sheetName val="CFCST_-_Current"/>
      <sheetName val="CFCST_-_Previous"/>
      <sheetName val="FPC_Sum_-_Current"/>
      <sheetName val="FPC_Sum_-_Previous"/>
      <sheetName val="ESSM_Syst"/>
      <sheetName val="T1_Tact_Time"/>
      <sheetName val="Oct__Fbom"/>
      <sheetName val="Dir"/>
      <sheetName val="Name List"/>
      <sheetName val="Requesters"/>
      <sheetName val="Molding Data"/>
      <sheetName val="IA1"/>
      <sheetName val="MTBF_check"/>
      <sheetName val="Q1 pricing"/>
      <sheetName val="pcbo 工時"/>
      <sheetName val="MasterDB"/>
      <sheetName val="NATL_LTL"/>
      <sheetName val="Lists"/>
      <sheetName val="Cntmrs-Recruit"/>
      <sheetName val="跳线&amp;包裹"/>
      <sheetName val="Panels"/>
      <sheetName val="Burnin"/>
      <sheetName val="QuoteFormat"/>
      <sheetName val="TE Plan"/>
      <sheetName val="FCT Test"/>
      <sheetName val="Sheet4"/>
      <sheetName val="Feuil1"/>
      <sheetName val="参数表"/>
      <sheetName val="Data_Tim"/>
      <sheetName val="Size"/>
      <sheetName val="Review Criteria"/>
      <sheetName val="原表"/>
      <sheetName val="Fab Output Plan"/>
      <sheetName val="BE"/>
      <sheetName val="CH"/>
      <sheetName val="RU"/>
      <sheetName val="___"/>
      <sheetName val="Legend"/>
      <sheetName val="Metal_list"/>
      <sheetName val="stk0619"/>
      <sheetName val="Call Down Data OLD"/>
      <sheetName val="Flex Mech &amp; ID Console"/>
      <sheetName val="Settings"/>
      <sheetName val="Valores"/>
      <sheetName val="文件目录"/>
      <sheetName val="EC Charge"/>
      <sheetName val="Others"/>
      <sheetName val="Pilot Run"/>
      <sheetName val="Rework"/>
      <sheetName val="Cork"/>
      <sheetName val="PartsList"/>
      <sheetName val="Vol 2"/>
      <sheetName val="Vol 1"/>
      <sheetName val="D.Lab"/>
      <sheetName val="Master List"/>
      <sheetName val="0時程表"/>
      <sheetName val="組織人員設定"/>
      <sheetName val="假日補班設定"/>
      <sheetName val="Q72 Channel Analysis Q4"/>
      <sheetName val="Q73 Channel Analysis Q4"/>
      <sheetName val="Receiving Inspection"/>
      <sheetName val="CUM CONSTRAINED AVAIL"/>
      <sheetName val="備註"/>
      <sheetName val="Dbase"/>
      <sheetName val="職類定義表(勿動)"/>
      <sheetName val="LOT_ACCP"/>
      <sheetName val="Mech"/>
      <sheetName val="MD79"/>
      <sheetName val="MDA´S"/>
      <sheetName val="311910-013"/>
      <sheetName val="Data (c)"/>
      <sheetName val="資料"/>
      <sheetName val="N88 others"/>
      <sheetName val="N90塑件"/>
      <sheetName val="DROPDOWN"/>
      <sheetName val="Working"/>
      <sheetName val="Lead"/>
      <sheetName val="CHITIET VL-NC-TT -1p"/>
      <sheetName val="TDTKP1"/>
      <sheetName val="model"/>
      <sheetName val="t-h HA THE"/>
      <sheetName val="CHITIET_VL-NC-TT_-1p"/>
      <sheetName val="TE_Plan"/>
      <sheetName val="FCT_Test"/>
      <sheetName val="DPX-1660J"/>
      <sheetName val="조절Panel"/>
      <sheetName val="信息定义"/>
      <sheetName val="Keyword"/>
      <sheetName val="Constantes"/>
      <sheetName val="试制准入检查"/>
      <sheetName val="TEMP"/>
      <sheetName val="通讯录"/>
      <sheetName val="Condition"/>
      <sheetName val="Equipment Info assumptions"/>
      <sheetName val="表紙"/>
      <sheetName val="Sheet9"/>
      <sheetName val="OP"/>
      <sheetName val="Exec Summary"/>
      <sheetName val="Demand"/>
      <sheetName val="Unit Price"/>
      <sheetName val="0204ＨＫＴＷＤ"/>
      <sheetName val="A67Line"/>
      <sheetName val="Line Code"/>
      <sheetName val="一人一機"/>
      <sheetName val="BT Module"/>
      <sheetName val="EE BOM(RX Right Main&amp;Daught"/>
      <sheetName val="Unit Quotation"/>
      <sheetName val="Change History"/>
      <sheetName val="ME BOM(RX)"/>
      <sheetName val="ME BOM(TX)"/>
      <sheetName val="guia"/>
      <sheetName val="8712"/>
      <sheetName val="UPPER BLOCK"/>
      <sheetName val="2013 管報"/>
      <sheetName val="Linearity"/>
      <sheetName val="0512MB"/>
      <sheetName val="Q_BF3 FBOM-update111703"/>
      <sheetName val="Bluford3 MB BOM-Intel LAN"/>
      <sheetName val="JANｺｰﾄﾞ"/>
      <sheetName val="Multibay Optical"/>
      <sheetName val="TORNADO_RANGE"/>
      <sheetName val="W0742_庫存明細"/>
      <sheetName val="W0746_庫存明細"/>
      <sheetName val="W25"/>
      <sheetName val="PM01-F09"/>
      <sheetName val="Level_1_Commit4"/>
      <sheetName val="fs_odd_apple4"/>
      <sheetName val="VGA_card_外包協輔隊名單4"/>
      <sheetName val="ASUS機種負責人表(2005_1_10)4"/>
      <sheetName val="Samsung_pm_contact_window_4"/>
      <sheetName val="蘇州廠撥到華碩其他廠區的撥法_4"/>
      <sheetName val="Master_Lists3"/>
      <sheetName val="intel_target3"/>
      <sheetName val="Lookup_Tables3"/>
      <sheetName val="Part_Data3"/>
      <sheetName val="Cost_calc_3"/>
      <sheetName val="Data_lists3"/>
      <sheetName val="Manufactur_List3"/>
      <sheetName val="Total_MPP_database3"/>
      <sheetName val="MPU_Other3"/>
      <sheetName val="2003_Target3"/>
      <sheetName val="1_OVERALL_ASSY_MAIN3"/>
      <sheetName val="2003_prod22"/>
      <sheetName val="Raw_data2"/>
      <sheetName val="SPM_Units2"/>
      <sheetName val="Sign_Off2"/>
      <sheetName val="Hous_Rates2"/>
      <sheetName val="Anah_Rates2"/>
      <sheetName val="Minn_Rates2"/>
      <sheetName val="Mont_Rates2"/>
      <sheetName val="An_pack2"/>
      <sheetName val="Paso_Rates2"/>
      <sheetName val="Lud_Rates2"/>
      <sheetName val="KT1_Qual2"/>
      <sheetName val="FA_Definitions2"/>
      <sheetName val="PN_Summery2"/>
      <sheetName val="K7974_FEB2"/>
      <sheetName val="Q4FY05_Neo_cost_bom_Data2"/>
      <sheetName val="Risk_buy2"/>
      <sheetName val="Summary_2"/>
      <sheetName val="Hourly_Rate2"/>
      <sheetName val="Issues_List2"/>
      <sheetName val="Master_List"/>
      <sheetName val="Vol_2"/>
      <sheetName val="Vol_1"/>
      <sheetName val="D_Lab"/>
      <sheetName val="Gamma Data"/>
      <sheetName val="VESA Tests"/>
      <sheetName val="9A947-5000"/>
      <sheetName val="OCTVLS"/>
      <sheetName val="核算明細黑色-比例版"/>
      <sheetName val="203s"/>
      <sheetName val="All_Parts2"/>
      <sheetName val="Capacity_By_Modle2"/>
      <sheetName val="Dropdown_Menu2"/>
      <sheetName val="Root_Causes2"/>
      <sheetName val="TEH_BASIC_SETTING_SHEET1"/>
      <sheetName val="Input_commodity_fallout2"/>
      <sheetName val="_Cap_白色1"/>
      <sheetName val="Cap__麻灰色1"/>
      <sheetName val="Asahi__F7__3F__CNC1~去毛刺(白色)1"/>
      <sheetName val="Asahi__F7__3F__CNC1~去毛刺(黑色)1"/>
      <sheetName val="HGA_ENG1"/>
      <sheetName val="Allo_Rate1"/>
      <sheetName val="inspect_capa1"/>
      <sheetName val="General_Inputs1"/>
      <sheetName val="wsp_12-032"/>
      <sheetName val="ESSM_Syst1"/>
      <sheetName val="Antenna_Window2"/>
      <sheetName val="CTO_PO1"/>
      <sheetName val="Product_Data_Entry2"/>
      <sheetName val="Team_List2"/>
      <sheetName val="Proto_12"/>
      <sheetName val="Mat_Summary2"/>
      <sheetName val="summary_4_5%MOH2"/>
      <sheetName val="Mechanical_Assembly2"/>
      <sheetName val="Title_Page2"/>
      <sheetName val="Menu_Items2"/>
      <sheetName val="BLUFORD3_FBOM-update0813031"/>
      <sheetName val="Cyce_3_Descriptions1"/>
      <sheetName val="Keyboard_&amp;_Accessories1"/>
      <sheetName val="Final_Prep1"/>
      <sheetName val="OEE_Loss_1"/>
      <sheetName val="Q7XA_FM_data1"/>
      <sheetName val="Q72A_Channel_Analysis_Q11"/>
      <sheetName val="Q73A_Best_Channel_Analysis_Q11"/>
      <sheetName val="Q73A_Better_Channel_Analysis_Q2"/>
      <sheetName val="Sheet1_(2)1"/>
      <sheetName val="5C_Sum1"/>
      <sheetName val="FRU_demand1"/>
      <sheetName val="Compal_open_order_1"/>
      <sheetName val="R_CTO_demand1"/>
      <sheetName val="Compal_stock_4_61"/>
      <sheetName val="zsdr82_Tab_1"/>
      <sheetName val="Cost_Breakdown1"/>
      <sheetName val="wsp_01-071"/>
      <sheetName val="SET_關務備案1"/>
      <sheetName val="Dashboard_(methodologies)"/>
      <sheetName val="LF_Stock"/>
      <sheetName val="CFCST_-_Current1"/>
      <sheetName val="CFCST_-_Previous1"/>
      <sheetName val="FPC_Sum_-_Current1"/>
      <sheetName val="FPC_Sum_-_Previous1"/>
      <sheetName val="Oct__Fbom1"/>
      <sheetName val="T1_Tact_Time1"/>
      <sheetName val="LGA_EModule_0611'141"/>
      <sheetName val="Name_List"/>
      <sheetName val="Molding_Data"/>
      <sheetName val="Q1_pricing"/>
      <sheetName val="pcbo_工時"/>
      <sheetName val="Materials_Quarterly"/>
      <sheetName val="choose_list"/>
      <sheetName val="Cost_comparison_sheet"/>
      <sheetName val="Unit_price_breakdown"/>
      <sheetName val="BD1_Cost_M"/>
      <sheetName val="WO_list"/>
      <sheetName val="TR_by_BU"/>
      <sheetName val="Validation_Tables"/>
      <sheetName val="Inv_Turns"/>
      <sheetName val="Inventory_Turns"/>
      <sheetName val="Indirect_Labour"/>
      <sheetName val="Review_Criteria"/>
      <sheetName val="Fab_Output_Plan"/>
      <sheetName val="EC_Charge"/>
      <sheetName val="Pilot_Run"/>
      <sheetName val="Call_Down_Data_OLD"/>
      <sheetName val="Flex_Mech_&amp;_ID_Console"/>
      <sheetName val="Q72_Channel_Analysis_Q4"/>
      <sheetName val="Q73_Channel_Analysis_Q4"/>
      <sheetName val="Receiving_Inspection"/>
      <sheetName val="CUM_CONSTRAINED_AVAIL"/>
      <sheetName val="Data_(c)"/>
      <sheetName val="N88_others"/>
      <sheetName val="選單"/>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A8AC-BC7D-447F-8DF5-01351A2AAE4E}">
  <sheetPr>
    <tabColor rgb="FFFF0000"/>
  </sheetPr>
  <dimension ref="A1:M12"/>
  <sheetViews>
    <sheetView tabSelected="1" zoomScale="70" zoomScaleNormal="70" workbookViewId="0">
      <selection activeCell="G23" sqref="G23"/>
    </sheetView>
  </sheetViews>
  <sheetFormatPr defaultColWidth="9" defaultRowHeight="15.5"/>
  <cols>
    <col min="1" max="1" width="6.08984375" style="57" bestFit="1" customWidth="1"/>
    <col min="2" max="2" width="8.90625" style="57" hidden="1" customWidth="1"/>
    <col min="3" max="3" width="22.90625" style="57" customWidth="1"/>
    <col min="4" max="4" width="19.7265625" style="57" hidden="1" customWidth="1"/>
    <col min="5" max="5" width="26.7265625" style="57" customWidth="1"/>
    <col min="6" max="6" width="12.453125" style="57" hidden="1" customWidth="1"/>
    <col min="7" max="7" width="81.36328125" style="57" customWidth="1"/>
    <col min="8" max="8" width="17.08984375" style="57" bestFit="1" customWidth="1"/>
    <col min="9" max="9" width="27.08984375" style="57" customWidth="1"/>
    <col min="10" max="10" width="12.90625" style="57" hidden="1" customWidth="1"/>
    <col min="11" max="11" width="9.453125" style="57" hidden="1" customWidth="1"/>
    <col min="12" max="12" width="16.453125" style="100" hidden="1" customWidth="1"/>
    <col min="13" max="13" width="53" style="57" hidden="1" customWidth="1"/>
    <col min="14" max="16384" width="9" style="57"/>
  </cols>
  <sheetData>
    <row r="1" spans="1:13" ht="23.5" customHeight="1">
      <c r="A1" s="165" t="s">
        <v>337</v>
      </c>
      <c r="B1" s="166"/>
      <c r="C1" s="166"/>
      <c r="D1" s="166"/>
      <c r="E1" s="166"/>
      <c r="F1" s="166"/>
      <c r="G1" s="166"/>
      <c r="H1" s="166"/>
      <c r="I1" s="166"/>
      <c r="J1" s="166"/>
      <c r="K1" s="166"/>
      <c r="L1" s="167"/>
      <c r="M1" s="30"/>
    </row>
    <row r="2" spans="1:13" ht="23.5" customHeight="1">
      <c r="A2" s="168"/>
      <c r="B2" s="169"/>
      <c r="C2" s="169"/>
      <c r="D2" s="169"/>
      <c r="E2" s="169"/>
      <c r="F2" s="169"/>
      <c r="G2" s="169"/>
      <c r="H2" s="169"/>
      <c r="I2" s="169"/>
      <c r="J2" s="169"/>
      <c r="K2" s="169"/>
      <c r="L2" s="170"/>
      <c r="M2" s="30"/>
    </row>
    <row r="3" spans="1:13">
      <c r="A3" s="164" t="s">
        <v>9</v>
      </c>
      <c r="B3" s="164"/>
      <c r="C3" s="164"/>
      <c r="D3" s="164"/>
      <c r="E3" s="164"/>
      <c r="F3" s="164"/>
      <c r="G3" s="164"/>
      <c r="H3" s="164"/>
      <c r="I3" s="164"/>
      <c r="J3" s="164"/>
      <c r="K3" s="164"/>
      <c r="L3" s="164"/>
      <c r="M3" s="30"/>
    </row>
    <row r="4" spans="1:13" s="113" customFormat="1" ht="31">
      <c r="A4" s="114" t="s">
        <v>17</v>
      </c>
      <c r="B4" s="114" t="s">
        <v>18</v>
      </c>
      <c r="C4" s="114" t="s">
        <v>19</v>
      </c>
      <c r="D4" s="114" t="s">
        <v>20</v>
      </c>
      <c r="E4" s="114" t="s">
        <v>21</v>
      </c>
      <c r="F4" s="114" t="s">
        <v>22</v>
      </c>
      <c r="G4" s="114" t="s">
        <v>23</v>
      </c>
      <c r="H4" s="114" t="s">
        <v>24</v>
      </c>
      <c r="I4" s="114" t="s">
        <v>25</v>
      </c>
      <c r="J4" s="114" t="s">
        <v>26</v>
      </c>
      <c r="K4" s="114" t="s">
        <v>27</v>
      </c>
      <c r="L4" s="114" t="s">
        <v>62</v>
      </c>
      <c r="M4" s="114" t="s">
        <v>28</v>
      </c>
    </row>
    <row r="5" spans="1:13" s="106" customFormat="1">
      <c r="A5" s="107">
        <f t="shared" ref="A5:A12" si="0">ROW(A5)-5</f>
        <v>0</v>
      </c>
      <c r="B5" s="109" t="s">
        <v>63</v>
      </c>
      <c r="C5" s="108" t="s">
        <v>199</v>
      </c>
      <c r="D5" s="40" t="s">
        <v>12</v>
      </c>
      <c r="E5" s="40" t="s">
        <v>34</v>
      </c>
      <c r="F5" s="40" t="s">
        <v>12</v>
      </c>
      <c r="G5" s="67" t="s">
        <v>182</v>
      </c>
      <c r="H5" s="41" t="s">
        <v>31</v>
      </c>
      <c r="I5" s="108" t="str">
        <f t="shared" ref="I5:I12" si="1">C5</f>
        <v>1A72BSK00-600-G</v>
      </c>
      <c r="J5" s="40" t="s">
        <v>12</v>
      </c>
      <c r="K5" s="40">
        <v>1</v>
      </c>
      <c r="L5" s="107" t="s">
        <v>64</v>
      </c>
      <c r="M5" s="61"/>
    </row>
    <row r="6" spans="1:13" s="106" customFormat="1">
      <c r="A6" s="107">
        <f t="shared" si="0"/>
        <v>1</v>
      </c>
      <c r="B6" s="109" t="s">
        <v>63</v>
      </c>
      <c r="C6" s="108" t="s">
        <v>201</v>
      </c>
      <c r="D6" s="40" t="s">
        <v>12</v>
      </c>
      <c r="E6" s="40" t="s">
        <v>34</v>
      </c>
      <c r="F6" s="40" t="s">
        <v>12</v>
      </c>
      <c r="G6" s="67" t="s">
        <v>173</v>
      </c>
      <c r="H6" s="41" t="s">
        <v>31</v>
      </c>
      <c r="I6" s="108" t="str">
        <f t="shared" si="1"/>
        <v>1A72CHC00-600-G</v>
      </c>
      <c r="J6" s="40" t="s">
        <v>12</v>
      </c>
      <c r="K6" s="40">
        <v>1</v>
      </c>
      <c r="L6" s="107" t="s">
        <v>64</v>
      </c>
      <c r="M6" s="107"/>
    </row>
    <row r="7" spans="1:13" s="101" customFormat="1">
      <c r="A7" s="102">
        <f t="shared" si="0"/>
        <v>2</v>
      </c>
      <c r="B7" s="105" t="s">
        <v>29</v>
      </c>
      <c r="C7" s="103" t="s">
        <v>334</v>
      </c>
      <c r="D7" s="102" t="s">
        <v>35</v>
      </c>
      <c r="E7" s="103" t="s">
        <v>34</v>
      </c>
      <c r="F7" s="102" t="s">
        <v>12</v>
      </c>
      <c r="G7" s="112" t="s">
        <v>80</v>
      </c>
      <c r="H7" s="102" t="s">
        <v>31</v>
      </c>
      <c r="I7" s="103" t="str">
        <f t="shared" si="1"/>
        <v>1A72BSN00-600-G</v>
      </c>
      <c r="J7" s="102" t="s">
        <v>12</v>
      </c>
      <c r="K7" s="102">
        <v>1</v>
      </c>
      <c r="L7" s="102" t="s">
        <v>30</v>
      </c>
      <c r="M7" s="102"/>
    </row>
    <row r="8" spans="1:13" s="106" customFormat="1">
      <c r="A8" s="107">
        <f t="shared" si="0"/>
        <v>3</v>
      </c>
      <c r="B8" s="52" t="s">
        <v>63</v>
      </c>
      <c r="C8" s="108" t="s">
        <v>200</v>
      </c>
      <c r="D8" s="107" t="s">
        <v>12</v>
      </c>
      <c r="E8" s="111" t="s">
        <v>34</v>
      </c>
      <c r="F8" s="107" t="s">
        <v>12</v>
      </c>
      <c r="G8" s="110" t="s">
        <v>109</v>
      </c>
      <c r="H8" s="107" t="s">
        <v>31</v>
      </c>
      <c r="I8" s="108" t="str">
        <f t="shared" si="1"/>
        <v>1A72BSP00-600-G</v>
      </c>
      <c r="J8" s="107" t="s">
        <v>12</v>
      </c>
      <c r="K8" s="41">
        <v>1</v>
      </c>
      <c r="L8" s="107" t="s">
        <v>37</v>
      </c>
      <c r="M8" s="107"/>
    </row>
    <row r="9" spans="1:13" s="101" customFormat="1">
      <c r="A9" s="102">
        <f t="shared" si="0"/>
        <v>4</v>
      </c>
      <c r="B9" s="105" t="s">
        <v>29</v>
      </c>
      <c r="C9" s="103" t="s">
        <v>335</v>
      </c>
      <c r="D9" s="102" t="s">
        <v>35</v>
      </c>
      <c r="E9" s="103" t="s">
        <v>34</v>
      </c>
      <c r="F9" s="102" t="s">
        <v>12</v>
      </c>
      <c r="G9" s="104" t="s">
        <v>187</v>
      </c>
      <c r="H9" s="102" t="s">
        <v>31</v>
      </c>
      <c r="I9" s="103" t="str">
        <f t="shared" si="1"/>
        <v>1A72BSQ00-600-G</v>
      </c>
      <c r="J9" s="102" t="s">
        <v>12</v>
      </c>
      <c r="K9" s="102">
        <v>1</v>
      </c>
      <c r="L9" s="102" t="s">
        <v>30</v>
      </c>
      <c r="M9" s="102"/>
    </row>
    <row r="10" spans="1:13" s="101" customFormat="1">
      <c r="A10" s="102">
        <f t="shared" si="0"/>
        <v>5</v>
      </c>
      <c r="B10" s="105" t="s">
        <v>29</v>
      </c>
      <c r="C10" s="103" t="s">
        <v>336</v>
      </c>
      <c r="D10" s="102" t="s">
        <v>35</v>
      </c>
      <c r="E10" s="103" t="s">
        <v>34</v>
      </c>
      <c r="F10" s="102" t="s">
        <v>12</v>
      </c>
      <c r="G10" s="104" t="s">
        <v>176</v>
      </c>
      <c r="H10" s="102" t="s">
        <v>31</v>
      </c>
      <c r="I10" s="103" t="str">
        <f t="shared" si="1"/>
        <v>1A72CH900-600-G</v>
      </c>
      <c r="J10" s="102" t="s">
        <v>12</v>
      </c>
      <c r="K10" s="102">
        <v>1</v>
      </c>
      <c r="L10" s="102" t="s">
        <v>30</v>
      </c>
      <c r="M10" s="102"/>
    </row>
    <row r="11" spans="1:13" s="106" customFormat="1">
      <c r="A11" s="107">
        <f t="shared" si="0"/>
        <v>6</v>
      </c>
      <c r="B11" s="109" t="s">
        <v>63</v>
      </c>
      <c r="C11" s="108" t="s">
        <v>327</v>
      </c>
      <c r="D11" s="40" t="s">
        <v>12</v>
      </c>
      <c r="E11" s="40" t="s">
        <v>34</v>
      </c>
      <c r="F11" s="40" t="s">
        <v>12</v>
      </c>
      <c r="G11" s="67" t="s">
        <v>326</v>
      </c>
      <c r="H11" s="41" t="s">
        <v>31</v>
      </c>
      <c r="I11" s="108" t="str">
        <f t="shared" si="1"/>
        <v xml:space="preserve">1A72D6D00-600-G </v>
      </c>
      <c r="J11" s="40" t="s">
        <v>12</v>
      </c>
      <c r="K11" s="40">
        <v>1</v>
      </c>
      <c r="L11" s="107" t="s">
        <v>64</v>
      </c>
      <c r="M11" s="107"/>
    </row>
    <row r="12" spans="1:13" s="101" customFormat="1">
      <c r="A12" s="102">
        <f t="shared" si="0"/>
        <v>7</v>
      </c>
      <c r="B12" s="105" t="s">
        <v>29</v>
      </c>
      <c r="C12" s="103" t="s">
        <v>329</v>
      </c>
      <c r="D12" s="102" t="s">
        <v>35</v>
      </c>
      <c r="E12" s="103" t="s">
        <v>34</v>
      </c>
      <c r="F12" s="102" t="s">
        <v>12</v>
      </c>
      <c r="G12" s="104" t="s">
        <v>328</v>
      </c>
      <c r="H12" s="102" t="s">
        <v>31</v>
      </c>
      <c r="I12" s="103" t="str">
        <f t="shared" si="1"/>
        <v>1A72D6F00-600-G</v>
      </c>
      <c r="J12" s="102" t="s">
        <v>12</v>
      </c>
      <c r="K12" s="102">
        <v>1</v>
      </c>
      <c r="L12" s="102" t="s">
        <v>30</v>
      </c>
      <c r="M12" s="102"/>
    </row>
  </sheetData>
  <mergeCells count="2">
    <mergeCell ref="A3:L3"/>
    <mergeCell ref="A1:L2"/>
  </mergeCells>
  <phoneticPr fontId="16" type="noConversion"/>
  <conditionalFormatting sqref="A1:L1">
    <cfRule type="containsText" dxfId="74" priority="13" operator="containsText" text="TBD">
      <formula>NOT(ISERROR(SEARCH("TBD",A1)))</formula>
    </cfRule>
  </conditionalFormatting>
  <conditionalFormatting sqref="A3:L10">
    <cfRule type="containsText" dxfId="73" priority="5" operator="containsText" text="TBD">
      <formula>NOT(ISERROR(SEARCH("TBD",A3)))</formula>
    </cfRule>
  </conditionalFormatting>
  <conditionalFormatting sqref="A11:L1048576">
    <cfRule type="containsText" dxfId="72" priority="1" operator="containsText" text="TBD">
      <formula>NOT(ISERROR(SEARCH("TBD",A11)))</formula>
    </cfRule>
  </conditionalFormatting>
  <conditionalFormatting sqref="C10">
    <cfRule type="cellIs" dxfId="71" priority="3" operator="equal">
      <formula>"NA"</formula>
    </cfRule>
  </conditionalFormatting>
  <conditionalFormatting sqref="E10 H10:I10">
    <cfRule type="cellIs" dxfId="70" priority="6" operator="equal">
      <formula>"NA"</formula>
    </cfRule>
  </conditionalFormatting>
  <conditionalFormatting sqref="I10">
    <cfRule type="cellIs" dxfId="69" priority="4" operator="equal">
      <formula>"NA"</formula>
    </cfRule>
  </conditionalFormatting>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zoomScale="55" zoomScaleNormal="55" workbookViewId="0">
      <pane ySplit="2" topLeftCell="A11" activePane="bottomLeft" state="frozen"/>
      <selection activeCell="C7" sqref="C7"/>
      <selection pane="bottomLeft" activeCell="K16" sqref="K16"/>
    </sheetView>
  </sheetViews>
  <sheetFormatPr defaultColWidth="8.90625" defaultRowHeight="15.5"/>
  <cols>
    <col min="1" max="1" width="7.08984375" style="117" bestFit="1" customWidth="1"/>
    <col min="2" max="2" width="12.08984375" style="9" bestFit="1" customWidth="1"/>
    <col min="3" max="3" width="102.36328125" style="9" customWidth="1"/>
    <col min="4" max="4" width="8.453125" style="9" bestFit="1" customWidth="1"/>
    <col min="5" max="5" width="12.453125" style="9" bestFit="1" customWidth="1"/>
    <col min="6" max="6" width="22.7265625" style="8" customWidth="1"/>
    <col min="7" max="7" width="21" style="8" customWidth="1"/>
    <col min="8" max="8" width="14.08984375" style="8" bestFit="1" customWidth="1"/>
    <col min="9" max="9" width="14.7265625" style="8" customWidth="1"/>
    <col min="10" max="10" width="18.08984375" style="8" customWidth="1"/>
    <col min="11" max="11" width="16.90625" style="8" customWidth="1"/>
    <col min="12" max="12" width="15.26953125" style="8" bestFit="1" customWidth="1"/>
    <col min="13" max="13" width="18.08984375" style="8" customWidth="1"/>
    <col min="14" max="14" width="12.26953125" style="8" bestFit="1" customWidth="1"/>
    <col min="15" max="16384" width="8.90625" style="9"/>
  </cols>
  <sheetData>
    <row r="1" spans="1:14" ht="18.5">
      <c r="A1" s="171" t="s">
        <v>0</v>
      </c>
      <c r="B1" s="172"/>
      <c r="C1" s="172"/>
      <c r="D1" s="172"/>
      <c r="E1" s="172"/>
    </row>
    <row r="2" spans="1:14" s="28" customFormat="1" ht="14.5">
      <c r="A2" s="26" t="s">
        <v>1</v>
      </c>
      <c r="B2" s="26" t="s">
        <v>2</v>
      </c>
      <c r="C2" s="26" t="s">
        <v>3</v>
      </c>
      <c r="D2" s="26" t="s">
        <v>4</v>
      </c>
      <c r="E2" s="26" t="s">
        <v>5</v>
      </c>
      <c r="F2" s="27" t="s">
        <v>331</v>
      </c>
      <c r="G2" s="27" t="s">
        <v>178</v>
      </c>
      <c r="H2" s="27" t="s">
        <v>96</v>
      </c>
      <c r="I2" s="27" t="s">
        <v>97</v>
      </c>
      <c r="J2" s="68" t="s">
        <v>341</v>
      </c>
      <c r="K2" s="68" t="s">
        <v>177</v>
      </c>
      <c r="L2" s="27" t="s">
        <v>365</v>
      </c>
      <c r="M2" s="68" t="s">
        <v>340</v>
      </c>
      <c r="N2" s="115" t="s">
        <v>243</v>
      </c>
    </row>
    <row r="3" spans="1:14" s="28" customFormat="1" ht="14.5">
      <c r="A3" s="11" t="s">
        <v>6</v>
      </c>
      <c r="B3" s="12">
        <v>45646</v>
      </c>
      <c r="C3" s="13" t="s">
        <v>98</v>
      </c>
      <c r="D3" s="11" t="s">
        <v>7</v>
      </c>
      <c r="E3" s="11" t="s">
        <v>51</v>
      </c>
      <c r="F3" s="29"/>
      <c r="G3" s="29"/>
      <c r="H3" s="29"/>
      <c r="I3" s="29"/>
      <c r="J3" s="29"/>
      <c r="K3" s="29"/>
      <c r="L3" s="29"/>
      <c r="M3" s="29"/>
      <c r="N3" s="29"/>
    </row>
    <row r="4" spans="1:14" s="28" customFormat="1" ht="72.5">
      <c r="A4" s="11" t="s">
        <v>99</v>
      </c>
      <c r="B4" s="12">
        <v>45651</v>
      </c>
      <c r="C4" s="13" t="s">
        <v>105</v>
      </c>
      <c r="D4" s="11" t="s">
        <v>7</v>
      </c>
      <c r="E4" s="11" t="s">
        <v>51</v>
      </c>
      <c r="F4" s="29" t="s">
        <v>106</v>
      </c>
      <c r="G4" s="29"/>
      <c r="H4" s="29" t="s">
        <v>106</v>
      </c>
      <c r="I4" s="29" t="s">
        <v>106</v>
      </c>
      <c r="J4" s="29" t="s">
        <v>106</v>
      </c>
      <c r="K4" s="29" t="s">
        <v>106</v>
      </c>
      <c r="L4" s="29"/>
      <c r="M4" s="29" t="s">
        <v>106</v>
      </c>
      <c r="N4" s="29"/>
    </row>
    <row r="5" spans="1:14" s="28" customFormat="1" ht="43.5">
      <c r="A5" s="11" t="s">
        <v>108</v>
      </c>
      <c r="B5" s="12">
        <v>45656</v>
      </c>
      <c r="C5" s="36" t="s">
        <v>149</v>
      </c>
      <c r="D5" s="11" t="s">
        <v>7</v>
      </c>
      <c r="E5" s="11" t="s">
        <v>51</v>
      </c>
      <c r="F5" s="29" t="s">
        <v>106</v>
      </c>
      <c r="G5" s="29"/>
      <c r="H5" s="29" t="s">
        <v>106</v>
      </c>
      <c r="I5" s="29" t="s">
        <v>106</v>
      </c>
      <c r="J5" s="29" t="s">
        <v>106</v>
      </c>
      <c r="K5" s="29" t="s">
        <v>106</v>
      </c>
      <c r="L5" s="29"/>
      <c r="M5" s="29" t="s">
        <v>106</v>
      </c>
      <c r="N5" s="29"/>
    </row>
    <row r="6" spans="1:14" s="28" customFormat="1" ht="261">
      <c r="A6" s="11" t="s">
        <v>171</v>
      </c>
      <c r="B6" s="12">
        <v>45665</v>
      </c>
      <c r="C6" s="36" t="s">
        <v>180</v>
      </c>
      <c r="D6" s="11" t="s">
        <v>7</v>
      </c>
      <c r="E6" s="11" t="s">
        <v>172</v>
      </c>
      <c r="F6" s="29" t="s">
        <v>106</v>
      </c>
      <c r="G6" s="29" t="s">
        <v>179</v>
      </c>
      <c r="H6" s="29" t="s">
        <v>106</v>
      </c>
      <c r="I6" s="29" t="s">
        <v>106</v>
      </c>
      <c r="J6" s="29" t="s">
        <v>106</v>
      </c>
      <c r="K6" s="29" t="s">
        <v>179</v>
      </c>
      <c r="L6" s="29"/>
      <c r="M6" s="29" t="s">
        <v>106</v>
      </c>
      <c r="N6" s="29"/>
    </row>
    <row r="7" spans="1:14" s="28" customFormat="1" ht="386.15" customHeight="1">
      <c r="A7" s="11" t="s">
        <v>205</v>
      </c>
      <c r="B7" s="12">
        <v>45675</v>
      </c>
      <c r="C7" s="36" t="s">
        <v>278</v>
      </c>
      <c r="D7" s="11" t="s">
        <v>7</v>
      </c>
      <c r="E7" s="11" t="s">
        <v>172</v>
      </c>
      <c r="F7" s="29" t="s">
        <v>106</v>
      </c>
      <c r="G7" s="29" t="s">
        <v>106</v>
      </c>
      <c r="H7" s="29" t="s">
        <v>106</v>
      </c>
      <c r="I7" s="29" t="s">
        <v>106</v>
      </c>
      <c r="J7" s="29" t="s">
        <v>106</v>
      </c>
      <c r="K7" s="29" t="s">
        <v>106</v>
      </c>
      <c r="L7" s="29"/>
      <c r="M7" s="29" t="s">
        <v>106</v>
      </c>
      <c r="N7" s="29"/>
    </row>
    <row r="8" spans="1:14">
      <c r="A8" s="38" t="s">
        <v>208</v>
      </c>
      <c r="B8" s="87">
        <v>45679</v>
      </c>
      <c r="C8" s="86" t="s">
        <v>220</v>
      </c>
      <c r="D8" s="38" t="s">
        <v>7</v>
      </c>
      <c r="E8" s="38" t="s">
        <v>51</v>
      </c>
      <c r="F8" s="38"/>
      <c r="G8" s="38"/>
      <c r="H8" s="38"/>
      <c r="I8" s="38" t="s">
        <v>106</v>
      </c>
      <c r="J8" s="38"/>
      <c r="K8" s="38"/>
      <c r="L8" s="38"/>
      <c r="M8" s="38"/>
      <c r="N8" s="38"/>
    </row>
    <row r="9" spans="1:14" ht="124">
      <c r="A9" s="38" t="s">
        <v>242</v>
      </c>
      <c r="B9" s="94">
        <v>45681</v>
      </c>
      <c r="C9" s="93" t="s">
        <v>245</v>
      </c>
      <c r="D9" s="38" t="s">
        <v>7</v>
      </c>
      <c r="E9" s="38" t="s">
        <v>172</v>
      </c>
      <c r="F9" s="38"/>
      <c r="G9" s="38"/>
      <c r="H9" s="38" t="s">
        <v>106</v>
      </c>
      <c r="I9" s="38" t="s">
        <v>106</v>
      </c>
      <c r="J9" s="38"/>
      <c r="K9" s="38"/>
      <c r="L9" s="38"/>
      <c r="M9" s="38"/>
      <c r="N9" s="38" t="s">
        <v>179</v>
      </c>
    </row>
    <row r="10" spans="1:14" ht="139.5">
      <c r="A10" s="38" t="s">
        <v>259</v>
      </c>
      <c r="B10" s="94">
        <v>45694</v>
      </c>
      <c r="C10" s="93" t="s">
        <v>258</v>
      </c>
      <c r="D10" s="38" t="s">
        <v>7</v>
      </c>
      <c r="E10" s="38" t="s">
        <v>172</v>
      </c>
      <c r="F10" s="38"/>
      <c r="G10" s="38"/>
      <c r="H10" s="38"/>
      <c r="I10" s="38" t="s">
        <v>106</v>
      </c>
      <c r="J10" s="38" t="s">
        <v>106</v>
      </c>
      <c r="K10" s="38" t="s">
        <v>106</v>
      </c>
      <c r="L10" s="38"/>
      <c r="M10" s="38"/>
      <c r="N10" s="38"/>
    </row>
    <row r="11" spans="1:14" ht="216" customHeight="1">
      <c r="A11" s="38" t="s">
        <v>275</v>
      </c>
      <c r="B11" s="94">
        <v>45695</v>
      </c>
      <c r="C11" s="93" t="s">
        <v>279</v>
      </c>
      <c r="D11" s="38" t="s">
        <v>7</v>
      </c>
      <c r="E11" s="38" t="s">
        <v>172</v>
      </c>
      <c r="F11" s="38"/>
      <c r="G11" s="38"/>
      <c r="H11" s="38"/>
      <c r="I11" s="38" t="s">
        <v>106</v>
      </c>
      <c r="J11" s="38" t="s">
        <v>106</v>
      </c>
      <c r="K11" s="38" t="s">
        <v>106</v>
      </c>
      <c r="L11" s="38"/>
      <c r="M11" s="38"/>
      <c r="N11" s="38" t="s">
        <v>106</v>
      </c>
    </row>
    <row r="12" spans="1:14" ht="31">
      <c r="A12" s="38" t="s">
        <v>283</v>
      </c>
      <c r="B12" s="94">
        <v>45697</v>
      </c>
      <c r="C12" s="89" t="s">
        <v>284</v>
      </c>
      <c r="D12" s="38" t="s">
        <v>7</v>
      </c>
      <c r="E12" s="38" t="s">
        <v>172</v>
      </c>
      <c r="F12" s="38"/>
      <c r="G12" s="38"/>
      <c r="H12" s="38" t="s">
        <v>106</v>
      </c>
      <c r="I12" s="38" t="s">
        <v>106</v>
      </c>
      <c r="J12" s="38"/>
      <c r="K12" s="38"/>
      <c r="L12" s="38"/>
      <c r="M12" s="38"/>
      <c r="N12" s="38"/>
    </row>
    <row r="13" spans="1:14" ht="166.5" customHeight="1">
      <c r="A13" s="38" t="s">
        <v>330</v>
      </c>
      <c r="B13" s="116">
        <v>45702</v>
      </c>
      <c r="C13" s="60" t="s">
        <v>343</v>
      </c>
      <c r="D13" s="38" t="s">
        <v>7</v>
      </c>
      <c r="E13" s="38" t="s">
        <v>172</v>
      </c>
      <c r="F13" s="38" t="s">
        <v>106</v>
      </c>
      <c r="G13" s="38"/>
      <c r="H13" s="38" t="s">
        <v>106</v>
      </c>
      <c r="I13" s="38" t="s">
        <v>106</v>
      </c>
      <c r="J13" s="38" t="s">
        <v>106</v>
      </c>
      <c r="K13" s="38" t="s">
        <v>106</v>
      </c>
      <c r="L13" s="38"/>
      <c r="M13" s="38" t="s">
        <v>106</v>
      </c>
      <c r="N13" s="38"/>
    </row>
    <row r="14" spans="1:14">
      <c r="A14" s="38" t="s">
        <v>345</v>
      </c>
      <c r="B14" s="116">
        <v>45702</v>
      </c>
      <c r="C14" s="86" t="s">
        <v>344</v>
      </c>
      <c r="D14" s="38" t="s">
        <v>7</v>
      </c>
      <c r="E14" s="38" t="s">
        <v>172</v>
      </c>
      <c r="F14" s="38"/>
      <c r="G14" s="38"/>
      <c r="H14" s="38"/>
      <c r="I14" s="38" t="s">
        <v>106</v>
      </c>
      <c r="J14" s="38"/>
      <c r="K14" s="38"/>
      <c r="L14" s="38"/>
      <c r="M14" s="38"/>
      <c r="N14" s="38"/>
    </row>
    <row r="15" spans="1:14" ht="108.5">
      <c r="A15" s="38" t="s">
        <v>358</v>
      </c>
      <c r="B15" s="116">
        <v>45708</v>
      </c>
      <c r="C15" s="89" t="s">
        <v>375</v>
      </c>
      <c r="D15" s="38" t="s">
        <v>7</v>
      </c>
      <c r="E15" s="38" t="s">
        <v>444</v>
      </c>
      <c r="F15" s="38"/>
      <c r="G15" s="38"/>
      <c r="H15" s="38"/>
      <c r="I15" s="38" t="s">
        <v>106</v>
      </c>
      <c r="J15" s="38"/>
      <c r="K15" s="38"/>
      <c r="L15" s="38" t="s">
        <v>106</v>
      </c>
      <c r="M15" s="38" t="s">
        <v>106</v>
      </c>
      <c r="N15" s="38"/>
    </row>
    <row r="16" spans="1:14" ht="62">
      <c r="A16" s="38" t="s">
        <v>387</v>
      </c>
      <c r="B16" s="116">
        <v>45709</v>
      </c>
      <c r="C16" s="89" t="s">
        <v>390</v>
      </c>
      <c r="D16" s="38" t="s">
        <v>7</v>
      </c>
      <c r="E16" s="38" t="s">
        <v>444</v>
      </c>
      <c r="F16" s="38"/>
      <c r="G16" s="38"/>
      <c r="H16" s="38"/>
      <c r="I16" s="38" t="s">
        <v>106</v>
      </c>
      <c r="J16" s="38"/>
      <c r="K16" s="38"/>
      <c r="L16" s="38" t="s">
        <v>106</v>
      </c>
      <c r="M16" s="38"/>
      <c r="N16" s="38"/>
    </row>
    <row r="17" spans="1:14" ht="124">
      <c r="A17" s="38" t="s">
        <v>392</v>
      </c>
      <c r="B17" s="116">
        <v>45713</v>
      </c>
      <c r="C17" s="89" t="s">
        <v>402</v>
      </c>
      <c r="D17" s="38" t="s">
        <v>7</v>
      </c>
      <c r="E17" s="38" t="s">
        <v>444</v>
      </c>
      <c r="F17" s="38"/>
      <c r="G17" s="38"/>
      <c r="H17" s="38" t="s">
        <v>106</v>
      </c>
      <c r="I17" s="38" t="s">
        <v>106</v>
      </c>
      <c r="J17" s="38"/>
      <c r="K17" s="38"/>
      <c r="L17" s="38" t="s">
        <v>106</v>
      </c>
      <c r="M17" s="38"/>
      <c r="N17" s="38" t="s">
        <v>106</v>
      </c>
    </row>
    <row r="18" spans="1:14" ht="31">
      <c r="A18" s="38" t="s">
        <v>419</v>
      </c>
      <c r="B18" s="116">
        <v>45715</v>
      </c>
      <c r="C18" s="150" t="s">
        <v>421</v>
      </c>
      <c r="D18" s="38" t="s">
        <v>7</v>
      </c>
      <c r="E18" s="38" t="s">
        <v>444</v>
      </c>
      <c r="F18" s="38" t="s">
        <v>106</v>
      </c>
      <c r="G18" s="38" t="s">
        <v>106</v>
      </c>
      <c r="H18" s="38" t="s">
        <v>106</v>
      </c>
      <c r="I18" s="38" t="s">
        <v>106</v>
      </c>
      <c r="J18" s="38" t="s">
        <v>106</v>
      </c>
      <c r="K18" s="38" t="s">
        <v>106</v>
      </c>
      <c r="L18" s="38" t="s">
        <v>106</v>
      </c>
      <c r="M18" s="38" t="s">
        <v>106</v>
      </c>
      <c r="N18" s="38" t="s">
        <v>106</v>
      </c>
    </row>
    <row r="19" spans="1:14" ht="77.5">
      <c r="A19" s="38" t="s">
        <v>422</v>
      </c>
      <c r="B19" s="116">
        <v>45722</v>
      </c>
      <c r="C19" s="150" t="s">
        <v>427</v>
      </c>
      <c r="D19" s="38" t="s">
        <v>7</v>
      </c>
      <c r="E19" s="38" t="s">
        <v>444</v>
      </c>
      <c r="F19" s="38"/>
      <c r="G19" s="38"/>
      <c r="H19" s="38" t="s">
        <v>106</v>
      </c>
      <c r="I19" s="38" t="s">
        <v>106</v>
      </c>
      <c r="J19" s="38"/>
      <c r="K19" s="38"/>
      <c r="L19" s="38" t="s">
        <v>106</v>
      </c>
      <c r="M19" s="38"/>
      <c r="N19" s="38"/>
    </row>
    <row r="20" spans="1:14" ht="77.5">
      <c r="A20" s="38" t="s">
        <v>428</v>
      </c>
      <c r="B20" s="116">
        <v>45729</v>
      </c>
      <c r="C20" s="150" t="s">
        <v>432</v>
      </c>
      <c r="D20" s="38" t="s">
        <v>7</v>
      </c>
      <c r="E20" s="38" t="s">
        <v>444</v>
      </c>
      <c r="F20" s="38" t="s">
        <v>106</v>
      </c>
      <c r="G20" s="38"/>
      <c r="H20" s="38" t="s">
        <v>106</v>
      </c>
      <c r="I20" s="38"/>
      <c r="J20" s="38"/>
      <c r="K20" s="38"/>
      <c r="L20" s="38"/>
      <c r="M20" s="38"/>
      <c r="N20" s="38"/>
    </row>
    <row r="21" spans="1:14">
      <c r="A21" s="38" t="s">
        <v>442</v>
      </c>
      <c r="B21" s="116">
        <v>45735</v>
      </c>
      <c r="C21" s="150" t="s">
        <v>443</v>
      </c>
      <c r="D21" s="38" t="s">
        <v>7</v>
      </c>
      <c r="E21" s="38" t="s">
        <v>444</v>
      </c>
      <c r="F21" s="38" t="s">
        <v>106</v>
      </c>
      <c r="G21" s="38" t="s">
        <v>106</v>
      </c>
      <c r="H21" s="38" t="s">
        <v>106</v>
      </c>
      <c r="I21" s="38" t="s">
        <v>106</v>
      </c>
      <c r="J21" s="38" t="s">
        <v>106</v>
      </c>
      <c r="K21" s="38" t="s">
        <v>106</v>
      </c>
      <c r="L21" s="38" t="s">
        <v>106</v>
      </c>
      <c r="M21" s="38" t="s">
        <v>106</v>
      </c>
      <c r="N21" s="38" t="s">
        <v>106</v>
      </c>
    </row>
  </sheetData>
  <mergeCells count="1">
    <mergeCell ref="A1:E1"/>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BF03-F095-4ED5-BE69-BD049058E258}">
  <sheetPr>
    <tabColor rgb="FF0070C0"/>
  </sheetPr>
  <dimension ref="A1:P20"/>
  <sheetViews>
    <sheetView zoomScale="55" zoomScaleNormal="55" workbookViewId="0">
      <selection activeCell="M34" sqref="M34"/>
    </sheetView>
  </sheetViews>
  <sheetFormatPr defaultColWidth="9" defaultRowHeight="15.5"/>
  <cols>
    <col min="1" max="1" width="6.08984375" style="6" bestFit="1" customWidth="1"/>
    <col min="2" max="2" width="8.90625" style="6" customWidth="1"/>
    <col min="3" max="3" width="22.90625" style="6" customWidth="1"/>
    <col min="4" max="4" width="21.90625" style="6" bestFit="1" customWidth="1"/>
    <col min="5" max="5" width="26.7265625" style="6" customWidth="1"/>
    <col min="6" max="6" width="12.453125" style="6" customWidth="1"/>
    <col min="7" max="7" width="81.36328125" style="6" customWidth="1"/>
    <col min="8" max="8" width="17.08984375" style="6" bestFit="1" customWidth="1"/>
    <col min="9" max="9" width="27.08984375" style="6" customWidth="1"/>
    <col min="10" max="10" width="12.90625" style="6" customWidth="1"/>
    <col min="11" max="11" width="9.453125" style="6" bestFit="1" customWidth="1"/>
    <col min="12" max="13" width="9.453125" style="6" customWidth="1"/>
    <col min="14" max="14" width="39.36328125" style="6" bestFit="1" customWidth="1"/>
    <col min="15" max="15" width="16.453125" style="7" bestFit="1" customWidth="1"/>
    <col min="16" max="16" width="11.36328125" style="6" bestFit="1" customWidth="1"/>
    <col min="17" max="16384" width="9" style="6"/>
  </cols>
  <sheetData>
    <row r="1" spans="1:16">
      <c r="A1" s="174" t="s">
        <v>8</v>
      </c>
      <c r="B1" s="175"/>
      <c r="C1" s="175"/>
      <c r="D1" s="175"/>
      <c r="E1" s="175"/>
      <c r="F1" s="175"/>
      <c r="G1" s="175"/>
      <c r="H1" s="175"/>
      <c r="I1" s="175"/>
      <c r="J1" s="175"/>
      <c r="K1" s="175"/>
      <c r="L1" s="175"/>
      <c r="M1" s="175"/>
      <c r="N1" s="175"/>
      <c r="O1" s="175"/>
      <c r="P1" s="176"/>
    </row>
    <row r="2" spans="1:16">
      <c r="A2" s="174" t="s">
        <v>9</v>
      </c>
      <c r="B2" s="175"/>
      <c r="C2" s="175"/>
      <c r="D2" s="175"/>
      <c r="E2" s="175"/>
      <c r="F2" s="175"/>
      <c r="G2" s="175"/>
      <c r="H2" s="175"/>
      <c r="I2" s="175"/>
      <c r="J2" s="175"/>
      <c r="K2" s="175"/>
      <c r="L2" s="175"/>
      <c r="M2" s="175"/>
      <c r="N2" s="175"/>
      <c r="O2" s="175"/>
      <c r="P2" s="176"/>
    </row>
    <row r="3" spans="1:16" s="8" customFormat="1">
      <c r="A3" s="173" t="s">
        <v>10</v>
      </c>
      <c r="B3" s="173"/>
      <c r="C3" s="22" t="str">
        <f>C6</f>
        <v>1A72BSK00-600-G</v>
      </c>
      <c r="D3" s="25" t="s">
        <v>11</v>
      </c>
      <c r="E3" s="21" t="s">
        <v>12</v>
      </c>
      <c r="F3" s="25"/>
      <c r="G3" s="25"/>
      <c r="H3" s="25"/>
      <c r="I3" s="25"/>
      <c r="J3" s="25"/>
      <c r="K3" s="25"/>
      <c r="L3" s="25"/>
      <c r="M3" s="25"/>
      <c r="N3" s="38"/>
      <c r="O3" s="25"/>
      <c r="P3" s="38"/>
    </row>
    <row r="4" spans="1:16" s="8" customFormat="1">
      <c r="A4" s="173" t="s">
        <v>14</v>
      </c>
      <c r="B4" s="173"/>
      <c r="C4" s="35" t="str">
        <f>E6</f>
        <v>TBD</v>
      </c>
      <c r="D4" s="25" t="s">
        <v>15</v>
      </c>
      <c r="E4" s="21" t="s">
        <v>12</v>
      </c>
      <c r="F4" s="25" t="s">
        <v>16</v>
      </c>
      <c r="G4" s="67" t="s">
        <v>182</v>
      </c>
      <c r="H4" s="25"/>
      <c r="I4" s="25"/>
      <c r="J4" s="25"/>
      <c r="K4" s="25"/>
      <c r="L4" s="25"/>
      <c r="M4" s="25"/>
      <c r="N4" s="88"/>
      <c r="O4" s="21"/>
      <c r="P4" s="38"/>
    </row>
    <row r="5" spans="1:16" s="23" customFormat="1" ht="46.5">
      <c r="A5" s="22" t="s">
        <v>17</v>
      </c>
      <c r="B5" s="22" t="s">
        <v>18</v>
      </c>
      <c r="C5" s="22" t="s">
        <v>19</v>
      </c>
      <c r="D5" s="22" t="s">
        <v>20</v>
      </c>
      <c r="E5" s="22" t="s">
        <v>21</v>
      </c>
      <c r="F5" s="22" t="s">
        <v>22</v>
      </c>
      <c r="G5" s="22" t="s">
        <v>23</v>
      </c>
      <c r="H5" s="22" t="s">
        <v>24</v>
      </c>
      <c r="I5" s="22" t="s">
        <v>25</v>
      </c>
      <c r="J5" s="22" t="s">
        <v>26</v>
      </c>
      <c r="K5" s="22" t="s">
        <v>27</v>
      </c>
      <c r="L5" s="22" t="s">
        <v>434</v>
      </c>
      <c r="M5" s="22" t="s">
        <v>436</v>
      </c>
      <c r="N5" s="22" t="s">
        <v>28</v>
      </c>
      <c r="O5" s="22" t="s">
        <v>62</v>
      </c>
      <c r="P5" s="22" t="s">
        <v>437</v>
      </c>
    </row>
    <row r="6" spans="1:16" s="8" customFormat="1">
      <c r="A6" s="38">
        <f t="shared" ref="A6:A12" si="0">ROW(A6)-5</f>
        <v>1</v>
      </c>
      <c r="B6" s="39" t="s">
        <v>63</v>
      </c>
      <c r="C6" s="24" t="s">
        <v>199</v>
      </c>
      <c r="D6" s="40" t="s">
        <v>12</v>
      </c>
      <c r="E6" s="40" t="s">
        <v>34</v>
      </c>
      <c r="F6" s="40" t="s">
        <v>12</v>
      </c>
      <c r="G6" s="67" t="s">
        <v>182</v>
      </c>
      <c r="H6" s="41" t="s">
        <v>31</v>
      </c>
      <c r="I6" s="24" t="str">
        <f>C6</f>
        <v>1A72BSK00-600-G</v>
      </c>
      <c r="J6" s="40" t="s">
        <v>12</v>
      </c>
      <c r="K6" s="40">
        <v>1</v>
      </c>
      <c r="L6" s="40" t="s">
        <v>435</v>
      </c>
      <c r="M6" s="20" t="s">
        <v>12</v>
      </c>
      <c r="N6" s="61"/>
      <c r="O6" s="38" t="s">
        <v>64</v>
      </c>
      <c r="P6" s="38" t="s">
        <v>438</v>
      </c>
    </row>
    <row r="7" spans="1:16" s="8" customFormat="1">
      <c r="A7" s="38">
        <f t="shared" si="0"/>
        <v>2</v>
      </c>
      <c r="B7" s="33" t="s">
        <v>33</v>
      </c>
      <c r="C7" s="31" t="s">
        <v>107</v>
      </c>
      <c r="D7" s="20" t="s">
        <v>35</v>
      </c>
      <c r="E7" s="20" t="s">
        <v>318</v>
      </c>
      <c r="F7" s="20" t="s">
        <v>12</v>
      </c>
      <c r="G7" s="32" t="s">
        <v>325</v>
      </c>
      <c r="H7" s="20" t="s">
        <v>31</v>
      </c>
      <c r="I7" s="31" t="s">
        <v>107</v>
      </c>
      <c r="J7" s="38" t="s">
        <v>12</v>
      </c>
      <c r="K7" s="24">
        <v>9</v>
      </c>
      <c r="L7" s="40" t="s">
        <v>435</v>
      </c>
      <c r="M7" s="20" t="s">
        <v>12</v>
      </c>
      <c r="N7" s="38"/>
      <c r="O7" s="38" t="s">
        <v>65</v>
      </c>
      <c r="P7" s="38" t="s">
        <v>438</v>
      </c>
    </row>
    <row r="8" spans="1:16">
      <c r="A8" s="38">
        <f t="shared" si="0"/>
        <v>3</v>
      </c>
      <c r="B8" s="33"/>
      <c r="C8" s="31" t="s">
        <v>319</v>
      </c>
      <c r="D8" s="20" t="s">
        <v>35</v>
      </c>
      <c r="E8" s="162" t="s">
        <v>320</v>
      </c>
      <c r="F8" s="20" t="s">
        <v>12</v>
      </c>
      <c r="G8" s="32" t="s">
        <v>321</v>
      </c>
      <c r="H8" s="20" t="s">
        <v>31</v>
      </c>
      <c r="I8" s="31" t="s">
        <v>319</v>
      </c>
      <c r="J8" s="20" t="s">
        <v>12</v>
      </c>
      <c r="K8" s="20"/>
      <c r="L8" s="40" t="s">
        <v>435</v>
      </c>
      <c r="M8" s="20" t="s">
        <v>12</v>
      </c>
      <c r="N8" s="20"/>
      <c r="O8" s="20" t="s">
        <v>12</v>
      </c>
      <c r="P8" s="38" t="s">
        <v>438</v>
      </c>
    </row>
    <row r="9" spans="1:16">
      <c r="A9" s="38">
        <f t="shared" si="0"/>
        <v>4</v>
      </c>
      <c r="B9" s="33"/>
      <c r="C9" s="31" t="s">
        <v>322</v>
      </c>
      <c r="D9" s="20" t="s">
        <v>35</v>
      </c>
      <c r="E9" s="162" t="s">
        <v>323</v>
      </c>
      <c r="F9" s="20" t="s">
        <v>12</v>
      </c>
      <c r="G9" s="32" t="s">
        <v>324</v>
      </c>
      <c r="H9" s="20" t="s">
        <v>31</v>
      </c>
      <c r="I9" s="31" t="s">
        <v>322</v>
      </c>
      <c r="J9" s="20" t="s">
        <v>12</v>
      </c>
      <c r="K9" s="20"/>
      <c r="L9" s="40" t="s">
        <v>435</v>
      </c>
      <c r="M9" s="20" t="s">
        <v>12</v>
      </c>
      <c r="N9" s="20"/>
      <c r="O9" s="20" t="s">
        <v>12</v>
      </c>
      <c r="P9" s="38" t="s">
        <v>438</v>
      </c>
    </row>
    <row r="10" spans="1:16">
      <c r="A10" s="38"/>
      <c r="B10" s="33"/>
      <c r="C10" s="31" t="s">
        <v>431</v>
      </c>
      <c r="D10" s="20" t="s">
        <v>35</v>
      </c>
      <c r="E10" s="40" t="s">
        <v>34</v>
      </c>
      <c r="F10" s="20" t="s">
        <v>12</v>
      </c>
      <c r="G10" s="32" t="s">
        <v>433</v>
      </c>
      <c r="H10" s="20" t="s">
        <v>31</v>
      </c>
      <c r="I10" s="31" t="str">
        <f>C10</f>
        <v>1A72BSJ00-600-GNG</v>
      </c>
      <c r="J10" s="20" t="s">
        <v>12</v>
      </c>
      <c r="K10" s="20"/>
      <c r="L10" s="40" t="s">
        <v>435</v>
      </c>
      <c r="M10" s="20" t="s">
        <v>12</v>
      </c>
      <c r="N10" s="20"/>
      <c r="O10" s="20" t="s">
        <v>12</v>
      </c>
      <c r="P10" s="38" t="s">
        <v>438</v>
      </c>
    </row>
    <row r="11" spans="1:16">
      <c r="A11" s="38">
        <f t="shared" si="0"/>
        <v>6</v>
      </c>
      <c r="B11" s="33" t="s">
        <v>49</v>
      </c>
      <c r="C11" s="31" t="s">
        <v>153</v>
      </c>
      <c r="D11" s="20" t="s">
        <v>37</v>
      </c>
      <c r="E11" s="20" t="s">
        <v>404</v>
      </c>
      <c r="F11" s="20" t="s">
        <v>37</v>
      </c>
      <c r="G11" s="34" t="s">
        <v>152</v>
      </c>
      <c r="H11" s="20" t="s">
        <v>151</v>
      </c>
      <c r="I11" s="31" t="s">
        <v>150</v>
      </c>
      <c r="J11" s="20" t="s">
        <v>37</v>
      </c>
      <c r="K11" s="20">
        <v>1</v>
      </c>
      <c r="L11" s="40" t="s">
        <v>435</v>
      </c>
      <c r="M11" s="20" t="s">
        <v>12</v>
      </c>
      <c r="N11" s="20"/>
      <c r="O11" s="20" t="s">
        <v>100</v>
      </c>
      <c r="P11" s="20" t="s">
        <v>439</v>
      </c>
    </row>
    <row r="12" spans="1:16" ht="62">
      <c r="A12" s="38">
        <f t="shared" si="0"/>
        <v>7</v>
      </c>
      <c r="B12" s="33" t="s">
        <v>50</v>
      </c>
      <c r="C12" s="140" t="s">
        <v>209</v>
      </c>
      <c r="D12" s="30" t="s">
        <v>12</v>
      </c>
      <c r="E12" s="140" t="s">
        <v>34</v>
      </c>
      <c r="F12" s="30" t="s">
        <v>12</v>
      </c>
      <c r="G12" s="83" t="s">
        <v>133</v>
      </c>
      <c r="H12" s="128" t="s">
        <v>85</v>
      </c>
      <c r="I12" s="140" t="s">
        <v>210</v>
      </c>
      <c r="J12" s="30" t="s">
        <v>12</v>
      </c>
      <c r="K12" s="30">
        <v>9</v>
      </c>
      <c r="L12" s="40" t="s">
        <v>435</v>
      </c>
      <c r="M12" s="20" t="s">
        <v>12</v>
      </c>
      <c r="N12" s="66" t="s">
        <v>211</v>
      </c>
      <c r="O12" s="20" t="s">
        <v>100</v>
      </c>
      <c r="P12" s="20" t="s">
        <v>439</v>
      </c>
    </row>
    <row r="14" spans="1:16">
      <c r="C14" s="6" t="s">
        <v>198</v>
      </c>
    </row>
    <row r="15" spans="1:16">
      <c r="B15" s="3"/>
      <c r="C15" s="2"/>
      <c r="H15" s="5"/>
      <c r="I15" s="2"/>
    </row>
    <row r="16" spans="1:16">
      <c r="A16" s="16"/>
      <c r="B16" s="1" t="s">
        <v>45</v>
      </c>
      <c r="C16" s="10" t="s">
        <v>46</v>
      </c>
      <c r="D16" s="17"/>
      <c r="E16" s="16"/>
      <c r="F16" s="16"/>
      <c r="G16" s="4"/>
      <c r="H16" s="16"/>
      <c r="I16" s="16"/>
      <c r="J16" s="16"/>
      <c r="O16" s="16"/>
    </row>
    <row r="17" spans="1:15">
      <c r="A17" s="16"/>
      <c r="B17" s="16"/>
      <c r="C17" s="14" t="s">
        <v>47</v>
      </c>
      <c r="D17" s="16"/>
      <c r="E17" s="16"/>
      <c r="F17" s="16"/>
      <c r="G17" s="15"/>
      <c r="H17" s="16"/>
      <c r="I17" s="16"/>
      <c r="J17" s="16"/>
      <c r="O17" s="16"/>
    </row>
    <row r="18" spans="1:15">
      <c r="A18" s="16"/>
      <c r="B18" s="16"/>
      <c r="C18" s="18" t="s">
        <v>48</v>
      </c>
      <c r="D18" s="16"/>
      <c r="E18" s="16"/>
      <c r="F18" s="16"/>
      <c r="G18" s="15"/>
      <c r="H18" s="16"/>
      <c r="I18" s="16"/>
      <c r="J18" s="16"/>
      <c r="O18" s="16"/>
    </row>
    <row r="19" spans="1:15">
      <c r="C19" s="19" t="s">
        <v>67</v>
      </c>
      <c r="G19" s="17"/>
      <c r="O19" s="6"/>
    </row>
    <row r="20" spans="1:15" ht="62">
      <c r="C20" s="45" t="s">
        <v>68</v>
      </c>
    </row>
  </sheetData>
  <autoFilter ref="A5:P12" xr:uid="{E6FEBF03-F095-4ED5-BE69-BD049058E258}"/>
  <mergeCells count="4">
    <mergeCell ref="A3:B3"/>
    <mergeCell ref="A4:B4"/>
    <mergeCell ref="A1:P1"/>
    <mergeCell ref="A2:P2"/>
  </mergeCells>
  <phoneticPr fontId="16" type="noConversion"/>
  <conditionalFormatting sqref="A1:A2 A3:M1048576 O3:O1048576 N8:O10 Q8:XFD10">
    <cfRule type="containsText" dxfId="68" priority="1" operator="containsText" text="TBD">
      <formula>NOT(ISERROR(SEARCH("TBD",A1)))</formula>
    </cfRule>
  </conditionalFormatting>
  <pageMargins left="0.7" right="0.7" top="0.75" bottom="0.75" header="0.3" footer="0.3"/>
  <pageSetup paperSize="9" orientation="portrait"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361B-4A1B-4C15-8C24-A7B73B139C2A}">
  <sheetPr>
    <tabColor rgb="FF0070C0"/>
  </sheetPr>
  <dimension ref="A1:P17"/>
  <sheetViews>
    <sheetView zoomScale="55" zoomScaleNormal="55" workbookViewId="0">
      <selection activeCell="G58" sqref="G58"/>
    </sheetView>
  </sheetViews>
  <sheetFormatPr defaultColWidth="9" defaultRowHeight="15.5"/>
  <cols>
    <col min="1" max="1" width="6.08984375" style="6" bestFit="1" customWidth="1"/>
    <col min="2" max="2" width="8.90625" style="6" customWidth="1"/>
    <col min="3" max="3" width="22.90625" style="6" customWidth="1"/>
    <col min="4" max="4" width="19.7265625" style="6" customWidth="1"/>
    <col min="5" max="5" width="26.7265625" style="6" customWidth="1"/>
    <col min="6" max="6" width="12.453125" style="6" customWidth="1"/>
    <col min="7" max="7" width="81.36328125" style="6" customWidth="1"/>
    <col min="8" max="8" width="17.08984375" style="6" bestFit="1" customWidth="1"/>
    <col min="9" max="9" width="27.08984375" style="6" customWidth="1"/>
    <col min="10" max="10" width="12.90625" style="6" customWidth="1"/>
    <col min="11" max="11" width="9.453125" style="6" bestFit="1" customWidth="1"/>
    <col min="12" max="13" width="9.453125" style="6" customWidth="1"/>
    <col min="14" max="14" width="42.08984375" style="6" bestFit="1" customWidth="1"/>
    <col min="15" max="15" width="15" style="6" bestFit="1" customWidth="1"/>
    <col min="16" max="16" width="12.453125" style="6" bestFit="1" customWidth="1"/>
    <col min="17" max="16384" width="9" style="6"/>
  </cols>
  <sheetData>
    <row r="1" spans="1:16">
      <c r="A1" s="177" t="s">
        <v>8</v>
      </c>
      <c r="B1" s="178"/>
      <c r="C1" s="178"/>
      <c r="D1" s="178"/>
      <c r="E1" s="178"/>
      <c r="F1" s="178"/>
      <c r="G1" s="178"/>
      <c r="H1" s="178"/>
      <c r="I1" s="178"/>
      <c r="J1" s="178"/>
      <c r="K1" s="178"/>
      <c r="L1" s="178"/>
      <c r="M1" s="178"/>
      <c r="N1" s="20"/>
      <c r="O1" s="20"/>
      <c r="P1" s="20"/>
    </row>
    <row r="2" spans="1:16">
      <c r="A2" s="178" t="s">
        <v>9</v>
      </c>
      <c r="B2" s="178"/>
      <c r="C2" s="178"/>
      <c r="D2" s="178"/>
      <c r="E2" s="178"/>
      <c r="F2" s="178"/>
      <c r="G2" s="178"/>
      <c r="H2" s="178"/>
      <c r="I2" s="178"/>
      <c r="J2" s="178"/>
      <c r="K2" s="178"/>
      <c r="L2" s="178"/>
      <c r="M2" s="178"/>
      <c r="N2" s="20"/>
      <c r="O2" s="20"/>
      <c r="P2" s="20"/>
    </row>
    <row r="3" spans="1:16" s="8" customFormat="1">
      <c r="A3" s="179" t="s">
        <v>10</v>
      </c>
      <c r="B3" s="179"/>
      <c r="C3" s="24" t="str">
        <f>C6</f>
        <v>1A72CHC00-600-G</v>
      </c>
      <c r="D3" s="38" t="s">
        <v>11</v>
      </c>
      <c r="E3" s="99" t="s">
        <v>12</v>
      </c>
      <c r="F3" s="38"/>
      <c r="G3" s="38"/>
      <c r="H3" s="38"/>
      <c r="I3" s="38"/>
      <c r="J3" s="38"/>
      <c r="K3" s="38"/>
      <c r="L3" s="38"/>
      <c r="M3" s="38"/>
      <c r="N3" s="38"/>
      <c r="O3" s="38"/>
      <c r="P3" s="38"/>
    </row>
    <row r="4" spans="1:16" s="8" customFormat="1">
      <c r="A4" s="179" t="s">
        <v>14</v>
      </c>
      <c r="B4" s="179"/>
      <c r="C4" s="96" t="str">
        <f>E6</f>
        <v>TBD</v>
      </c>
      <c r="D4" s="38" t="s">
        <v>15</v>
      </c>
      <c r="E4" s="99" t="s">
        <v>12</v>
      </c>
      <c r="F4" s="38" t="s">
        <v>16</v>
      </c>
      <c r="G4" s="67" t="s">
        <v>173</v>
      </c>
      <c r="H4" s="38"/>
      <c r="I4" s="38"/>
      <c r="J4" s="38"/>
      <c r="K4" s="38"/>
      <c r="L4" s="38"/>
      <c r="M4" s="38"/>
      <c r="N4" s="88"/>
      <c r="O4" s="38"/>
      <c r="P4" s="38"/>
    </row>
    <row r="5" spans="1:16" s="23" customFormat="1" ht="31">
      <c r="A5" s="22" t="s">
        <v>17</v>
      </c>
      <c r="B5" s="22" t="s">
        <v>18</v>
      </c>
      <c r="C5" s="22" t="s">
        <v>19</v>
      </c>
      <c r="D5" s="22" t="s">
        <v>20</v>
      </c>
      <c r="E5" s="22" t="s">
        <v>21</v>
      </c>
      <c r="F5" s="22" t="s">
        <v>22</v>
      </c>
      <c r="G5" s="22" t="s">
        <v>23</v>
      </c>
      <c r="H5" s="22" t="s">
        <v>24</v>
      </c>
      <c r="I5" s="22" t="s">
        <v>25</v>
      </c>
      <c r="J5" s="22" t="s">
        <v>26</v>
      </c>
      <c r="K5" s="22" t="s">
        <v>27</v>
      </c>
      <c r="L5" s="22" t="s">
        <v>434</v>
      </c>
      <c r="M5" s="22" t="s">
        <v>436</v>
      </c>
      <c r="N5" s="22" t="s">
        <v>28</v>
      </c>
      <c r="O5" s="22" t="s">
        <v>62</v>
      </c>
      <c r="P5" s="22" t="s">
        <v>437</v>
      </c>
    </row>
    <row r="6" spans="1:16" s="8" customFormat="1">
      <c r="A6" s="38">
        <f>ROW(A6)-5</f>
        <v>1</v>
      </c>
      <c r="B6" s="39" t="s">
        <v>63</v>
      </c>
      <c r="C6" s="24" t="s">
        <v>201</v>
      </c>
      <c r="D6" s="40" t="s">
        <v>12</v>
      </c>
      <c r="E6" s="40" t="s">
        <v>34</v>
      </c>
      <c r="F6" s="40" t="s">
        <v>12</v>
      </c>
      <c r="G6" s="67" t="s">
        <v>173</v>
      </c>
      <c r="H6" s="41" t="s">
        <v>31</v>
      </c>
      <c r="I6" s="24" t="str">
        <f>C6</f>
        <v>1A72CHC00-600-G</v>
      </c>
      <c r="J6" s="40" t="s">
        <v>12</v>
      </c>
      <c r="K6" s="40">
        <v>1</v>
      </c>
      <c r="L6" s="40" t="s">
        <v>435</v>
      </c>
      <c r="M6" s="20" t="s">
        <v>12</v>
      </c>
      <c r="N6" s="61"/>
      <c r="O6" s="38" t="s">
        <v>64</v>
      </c>
      <c r="P6" s="38" t="s">
        <v>438</v>
      </c>
    </row>
    <row r="7" spans="1:16" s="8" customFormat="1">
      <c r="A7" s="38">
        <f>ROW(A7)-5</f>
        <v>2</v>
      </c>
      <c r="B7" s="39" t="s">
        <v>33</v>
      </c>
      <c r="C7" s="24" t="s">
        <v>174</v>
      </c>
      <c r="D7" s="40" t="s">
        <v>12</v>
      </c>
      <c r="E7" s="40" t="s">
        <v>34</v>
      </c>
      <c r="F7" s="40" t="s">
        <v>12</v>
      </c>
      <c r="G7" s="67" t="s">
        <v>175</v>
      </c>
      <c r="H7" s="41" t="s">
        <v>31</v>
      </c>
      <c r="I7" s="24" t="str">
        <f>C7</f>
        <v>1A72CF400-600-G</v>
      </c>
      <c r="J7" s="40" t="s">
        <v>12</v>
      </c>
      <c r="K7" s="40">
        <v>1</v>
      </c>
      <c r="L7" s="40" t="s">
        <v>435</v>
      </c>
      <c r="M7" s="20" t="s">
        <v>12</v>
      </c>
      <c r="N7" s="61"/>
      <c r="O7" s="38" t="s">
        <v>12</v>
      </c>
      <c r="P7" s="38" t="s">
        <v>438</v>
      </c>
    </row>
    <row r="8" spans="1:16">
      <c r="A8" s="20">
        <v>3</v>
      </c>
      <c r="B8" s="33" t="s">
        <v>49</v>
      </c>
      <c r="C8" s="31" t="s">
        <v>153</v>
      </c>
      <c r="D8" s="20" t="s">
        <v>37</v>
      </c>
      <c r="E8" s="20" t="s">
        <v>404</v>
      </c>
      <c r="F8" s="20" t="s">
        <v>37</v>
      </c>
      <c r="G8" s="34" t="s">
        <v>152</v>
      </c>
      <c r="H8" s="20" t="s">
        <v>151</v>
      </c>
      <c r="I8" s="31" t="s">
        <v>150</v>
      </c>
      <c r="J8" s="20" t="s">
        <v>37</v>
      </c>
      <c r="K8" s="20">
        <v>1</v>
      </c>
      <c r="L8" s="40" t="s">
        <v>435</v>
      </c>
      <c r="M8" s="20" t="s">
        <v>12</v>
      </c>
      <c r="N8" s="20"/>
      <c r="O8" s="20" t="s">
        <v>100</v>
      </c>
      <c r="P8" s="20" t="s">
        <v>439</v>
      </c>
    </row>
    <row r="9" spans="1:16" ht="62">
      <c r="A9" s="38">
        <f>ROW(A9)-5</f>
        <v>4</v>
      </c>
      <c r="B9" s="33" t="s">
        <v>50</v>
      </c>
      <c r="C9" s="42" t="s">
        <v>209</v>
      </c>
      <c r="D9" s="30" t="s">
        <v>12</v>
      </c>
      <c r="E9" s="42" t="s">
        <v>34</v>
      </c>
      <c r="F9" s="30" t="s">
        <v>12</v>
      </c>
      <c r="G9" s="83" t="s">
        <v>133</v>
      </c>
      <c r="H9" s="43" t="s">
        <v>85</v>
      </c>
      <c r="I9" s="42" t="s">
        <v>210</v>
      </c>
      <c r="J9" s="30" t="s">
        <v>12</v>
      </c>
      <c r="K9" s="30">
        <v>9</v>
      </c>
      <c r="L9" s="40" t="s">
        <v>435</v>
      </c>
      <c r="M9" s="20" t="s">
        <v>12</v>
      </c>
      <c r="N9" s="66" t="s">
        <v>211</v>
      </c>
      <c r="O9" s="20" t="s">
        <v>100</v>
      </c>
      <c r="P9" s="20" t="s">
        <v>439</v>
      </c>
    </row>
    <row r="10" spans="1:16">
      <c r="P10" s="8"/>
    </row>
    <row r="12" spans="1:16">
      <c r="B12" s="3"/>
      <c r="C12" s="2"/>
      <c r="H12" s="5"/>
      <c r="I12" s="2"/>
    </row>
    <row r="13" spans="1:16">
      <c r="A13" s="16"/>
      <c r="B13" s="1" t="s">
        <v>45</v>
      </c>
      <c r="C13" s="10" t="s">
        <v>46</v>
      </c>
      <c r="D13" s="17"/>
      <c r="E13" s="16"/>
      <c r="F13" s="16"/>
      <c r="G13" s="4"/>
      <c r="H13" s="16"/>
      <c r="I13" s="16"/>
      <c r="J13" s="16"/>
    </row>
    <row r="14" spans="1:16">
      <c r="A14" s="16"/>
      <c r="B14" s="16"/>
      <c r="C14" s="14" t="s">
        <v>47</v>
      </c>
      <c r="D14" s="16"/>
      <c r="E14" s="16"/>
      <c r="F14" s="16"/>
      <c r="G14" s="15"/>
      <c r="H14" s="16"/>
      <c r="I14" s="16"/>
      <c r="J14" s="16"/>
    </row>
    <row r="15" spans="1:16">
      <c r="A15" s="16"/>
      <c r="B15" s="16"/>
      <c r="C15" s="18" t="s">
        <v>48</v>
      </c>
      <c r="D15" s="16"/>
      <c r="E15" s="16"/>
      <c r="F15" s="16"/>
      <c r="G15" s="15"/>
      <c r="H15" s="16"/>
      <c r="I15" s="16"/>
      <c r="J15" s="16"/>
    </row>
    <row r="16" spans="1:16">
      <c r="C16" s="19" t="s">
        <v>67</v>
      </c>
      <c r="G16" s="17"/>
    </row>
    <row r="17" spans="3:3" ht="62">
      <c r="C17" s="45" t="s">
        <v>68</v>
      </c>
    </row>
  </sheetData>
  <autoFilter ref="A5:P5" xr:uid="{B2E8361B-4A1B-4C15-8C24-A7B73B139C2A}"/>
  <mergeCells count="4">
    <mergeCell ref="A1:M1"/>
    <mergeCell ref="A2:M2"/>
    <mergeCell ref="A3:B3"/>
    <mergeCell ref="A4:B4"/>
  </mergeCells>
  <phoneticPr fontId="7" type="noConversion"/>
  <conditionalFormatting sqref="A1:M1048576">
    <cfRule type="containsText" dxfId="67" priority="2" operator="containsText" text="TBD">
      <formula>NOT(ISERROR(SEARCH("TBD",A1)))</formula>
    </cfRule>
  </conditionalFormatting>
  <conditionalFormatting sqref="O5:O9">
    <cfRule type="containsText" dxfId="66" priority="1" operator="containsText" text="TBD">
      <formula>NOT(ISERROR(SEARCH("TBD",O5)))</formula>
    </cfRule>
  </conditionalFormatting>
  <pageMargins left="0.7" right="0.7" top="0.75" bottom="0.75" header="0.3" footer="0.3"/>
  <pageSetup paperSize="9"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F67A-F6EA-4B77-BBA0-AA0644627326}">
  <sheetPr>
    <tabColor rgb="FF0070C0"/>
  </sheetPr>
  <dimension ref="A1:P28"/>
  <sheetViews>
    <sheetView zoomScale="70" zoomScaleNormal="70" workbookViewId="0">
      <pane ySplit="5" topLeftCell="A6" activePane="bottomLeft" state="frozen"/>
      <selection activeCell="I44" sqref="I44"/>
      <selection pane="bottomLeft" activeCell="I29" sqref="I29"/>
    </sheetView>
  </sheetViews>
  <sheetFormatPr defaultColWidth="9" defaultRowHeight="15.5"/>
  <cols>
    <col min="1" max="1" width="6.08984375" style="6" bestFit="1" customWidth="1"/>
    <col min="2" max="2" width="8.90625" style="6" customWidth="1"/>
    <col min="3" max="3" width="22.90625" style="6" customWidth="1"/>
    <col min="4" max="4" width="19.7265625" style="6" customWidth="1"/>
    <col min="5" max="5" width="24.08984375" style="6" customWidth="1"/>
    <col min="6" max="6" width="12.453125" style="6" customWidth="1"/>
    <col min="7" max="7" width="61.26953125" style="6" customWidth="1"/>
    <col min="8" max="8" width="26.90625" style="6" customWidth="1"/>
    <col min="9" max="9" width="27.08984375" style="6" customWidth="1"/>
    <col min="10" max="10" width="12.90625" style="6" customWidth="1"/>
    <col min="11" max="11" width="9.08984375" style="6" bestFit="1" customWidth="1"/>
    <col min="12" max="13" width="9.08984375" style="6" customWidth="1"/>
    <col min="14" max="14" width="43" style="51" bestFit="1" customWidth="1"/>
    <col min="15" max="15" width="13.36328125" style="6" bestFit="1" customWidth="1"/>
    <col min="16" max="16" width="12.453125" style="6" bestFit="1" customWidth="1"/>
    <col min="17" max="16384" width="9" style="6"/>
  </cols>
  <sheetData>
    <row r="1" spans="1:16">
      <c r="A1" s="177" t="s">
        <v>8</v>
      </c>
      <c r="B1" s="178"/>
      <c r="C1" s="178"/>
      <c r="D1" s="178"/>
      <c r="E1" s="178"/>
      <c r="F1" s="178"/>
      <c r="G1" s="178"/>
      <c r="H1" s="178"/>
      <c r="I1" s="178"/>
      <c r="J1" s="178"/>
      <c r="K1" s="178"/>
      <c r="L1" s="178"/>
      <c r="M1" s="178"/>
      <c r="N1" s="20"/>
      <c r="O1" s="20"/>
      <c r="P1" s="20"/>
    </row>
    <row r="2" spans="1:16">
      <c r="A2" s="177" t="s">
        <v>9</v>
      </c>
      <c r="B2" s="177"/>
      <c r="C2" s="177"/>
      <c r="D2" s="177"/>
      <c r="E2" s="177"/>
      <c r="F2" s="177"/>
      <c r="G2" s="177"/>
      <c r="H2" s="177"/>
      <c r="I2" s="177"/>
      <c r="J2" s="177"/>
      <c r="K2" s="177"/>
      <c r="L2" s="177"/>
      <c r="M2" s="177"/>
      <c r="N2" s="20"/>
      <c r="O2" s="20"/>
      <c r="P2" s="20"/>
    </row>
    <row r="3" spans="1:16" s="47" customFormat="1">
      <c r="A3" s="173" t="s">
        <v>10</v>
      </c>
      <c r="B3" s="173"/>
      <c r="C3" s="46" t="str">
        <f>C6</f>
        <v>1A72BSN00-600-G</v>
      </c>
      <c r="D3" s="25" t="s">
        <v>11</v>
      </c>
      <c r="E3" s="21" t="s">
        <v>12</v>
      </c>
      <c r="F3" s="25"/>
      <c r="G3" s="25"/>
      <c r="H3" s="25"/>
      <c r="I3" s="25"/>
      <c r="J3" s="25"/>
      <c r="K3" s="25"/>
      <c r="L3" s="25"/>
      <c r="M3" s="25"/>
      <c r="N3" s="38"/>
      <c r="O3" s="163"/>
      <c r="P3" s="163"/>
    </row>
    <row r="4" spans="1:16" s="8" customFormat="1">
      <c r="A4" s="173" t="s">
        <v>14</v>
      </c>
      <c r="B4" s="173"/>
      <c r="C4" s="35" t="str">
        <f>E6</f>
        <v>55-100197</v>
      </c>
      <c r="D4" s="25" t="s">
        <v>15</v>
      </c>
      <c r="E4" s="21" t="s">
        <v>12</v>
      </c>
      <c r="F4" s="25" t="s">
        <v>16</v>
      </c>
      <c r="G4" s="69" t="str">
        <f>G6</f>
        <v>55 - Rack &amp; Power Sub-assy</v>
      </c>
      <c r="H4" s="25"/>
      <c r="I4" s="25"/>
      <c r="J4" s="25"/>
      <c r="K4" s="25"/>
      <c r="L4" s="25"/>
      <c r="M4" s="25"/>
      <c r="N4" s="88"/>
      <c r="O4" s="38"/>
      <c r="P4" s="38"/>
    </row>
    <row r="5" spans="1:16" s="23" customFormat="1" ht="31">
      <c r="A5" s="22" t="s">
        <v>17</v>
      </c>
      <c r="B5" s="22" t="s">
        <v>18</v>
      </c>
      <c r="C5" s="22" t="s">
        <v>19</v>
      </c>
      <c r="D5" s="22" t="s">
        <v>20</v>
      </c>
      <c r="E5" s="22" t="s">
        <v>21</v>
      </c>
      <c r="F5" s="22" t="s">
        <v>22</v>
      </c>
      <c r="G5" s="22" t="s">
        <v>23</v>
      </c>
      <c r="H5" s="22" t="s">
        <v>24</v>
      </c>
      <c r="I5" s="22" t="s">
        <v>25</v>
      </c>
      <c r="J5" s="22" t="s">
        <v>26</v>
      </c>
      <c r="K5" s="22" t="s">
        <v>27</v>
      </c>
      <c r="L5" s="22" t="s">
        <v>434</v>
      </c>
      <c r="M5" s="22" t="s">
        <v>436</v>
      </c>
      <c r="N5" s="70" t="s">
        <v>28</v>
      </c>
      <c r="O5" s="22" t="s">
        <v>62</v>
      </c>
      <c r="P5" s="22" t="s">
        <v>437</v>
      </c>
    </row>
    <row r="6" spans="1:16">
      <c r="A6" s="20">
        <f t="shared" ref="A6:A21" si="0">ROW(A6)-5</f>
        <v>1</v>
      </c>
      <c r="B6" s="33" t="s">
        <v>29</v>
      </c>
      <c r="C6" s="31" t="s">
        <v>334</v>
      </c>
      <c r="D6" s="20" t="s">
        <v>35</v>
      </c>
      <c r="E6" s="31" t="s">
        <v>406</v>
      </c>
      <c r="F6" s="20" t="s">
        <v>12</v>
      </c>
      <c r="G6" s="32" t="s">
        <v>80</v>
      </c>
      <c r="H6" s="20" t="s">
        <v>31</v>
      </c>
      <c r="I6" s="31" t="str">
        <f>C6</f>
        <v>1A72BSN00-600-G</v>
      </c>
      <c r="J6" s="20" t="s">
        <v>12</v>
      </c>
      <c r="K6" s="20">
        <v>1</v>
      </c>
      <c r="L6" s="40" t="s">
        <v>435</v>
      </c>
      <c r="M6" s="20" t="s">
        <v>12</v>
      </c>
      <c r="N6" s="48"/>
      <c r="O6" s="20" t="s">
        <v>30</v>
      </c>
      <c r="P6" s="38" t="s">
        <v>438</v>
      </c>
    </row>
    <row r="7" spans="1:16">
      <c r="A7" s="20">
        <f t="shared" si="0"/>
        <v>2</v>
      </c>
      <c r="B7" s="33" t="s">
        <v>33</v>
      </c>
      <c r="C7" s="71" t="s">
        <v>154</v>
      </c>
      <c r="D7" s="20" t="s">
        <v>35</v>
      </c>
      <c r="E7" s="72" t="s">
        <v>407</v>
      </c>
      <c r="F7" s="20" t="s">
        <v>12</v>
      </c>
      <c r="G7" s="32" t="s">
        <v>184</v>
      </c>
      <c r="H7" s="72" t="s">
        <v>36</v>
      </c>
      <c r="I7" s="72">
        <v>7844664</v>
      </c>
      <c r="J7" s="20" t="s">
        <v>12</v>
      </c>
      <c r="K7" s="73">
        <v>1</v>
      </c>
      <c r="L7" s="40" t="s">
        <v>435</v>
      </c>
      <c r="M7" s="20" t="s">
        <v>12</v>
      </c>
      <c r="N7" s="74"/>
      <c r="O7" s="20" t="s">
        <v>101</v>
      </c>
      <c r="P7" s="20" t="s">
        <v>91</v>
      </c>
    </row>
    <row r="8" spans="1:16">
      <c r="A8" s="20">
        <f t="shared" si="0"/>
        <v>3</v>
      </c>
      <c r="B8" s="33" t="s">
        <v>70</v>
      </c>
      <c r="C8" s="71" t="s">
        <v>155</v>
      </c>
      <c r="D8" s="20" t="s">
        <v>35</v>
      </c>
      <c r="E8" s="71" t="s">
        <v>115</v>
      </c>
      <c r="F8" s="20" t="s">
        <v>12</v>
      </c>
      <c r="G8" s="34" t="s">
        <v>183</v>
      </c>
      <c r="H8" s="31" t="s">
        <v>212</v>
      </c>
      <c r="I8" s="71" t="s">
        <v>155</v>
      </c>
      <c r="J8" s="20" t="s">
        <v>12</v>
      </c>
      <c r="K8" s="20" t="s">
        <v>66</v>
      </c>
      <c r="L8" s="40" t="s">
        <v>435</v>
      </c>
      <c r="M8" s="20" t="s">
        <v>12</v>
      </c>
      <c r="N8" s="63" t="s">
        <v>156</v>
      </c>
      <c r="O8" s="20" t="s">
        <v>61</v>
      </c>
      <c r="P8" s="180" t="s">
        <v>438</v>
      </c>
    </row>
    <row r="9" spans="1:16" ht="46.5">
      <c r="A9" s="20">
        <f t="shared" si="0"/>
        <v>4</v>
      </c>
      <c r="B9" s="75" t="s">
        <v>50</v>
      </c>
      <c r="C9" s="71" t="s">
        <v>134</v>
      </c>
      <c r="D9" s="129" t="s">
        <v>30</v>
      </c>
      <c r="E9" s="31" t="s">
        <v>408</v>
      </c>
      <c r="F9" s="20" t="s">
        <v>12</v>
      </c>
      <c r="G9" s="32" t="s">
        <v>202</v>
      </c>
      <c r="H9" s="31" t="s">
        <v>85</v>
      </c>
      <c r="I9" s="71" t="s">
        <v>132</v>
      </c>
      <c r="J9" s="20" t="s">
        <v>12</v>
      </c>
      <c r="K9" s="76">
        <v>4</v>
      </c>
      <c r="L9" s="40" t="s">
        <v>435</v>
      </c>
      <c r="M9" s="20" t="s">
        <v>12</v>
      </c>
      <c r="N9" s="130" t="s">
        <v>157</v>
      </c>
      <c r="O9" s="129" t="s">
        <v>61</v>
      </c>
      <c r="P9" s="20" t="s">
        <v>91</v>
      </c>
    </row>
    <row r="10" spans="1:16">
      <c r="A10" s="20">
        <f t="shared" si="0"/>
        <v>5</v>
      </c>
      <c r="B10" s="75" t="s">
        <v>71</v>
      </c>
      <c r="C10" s="71" t="s">
        <v>113</v>
      </c>
      <c r="D10" s="129" t="s">
        <v>30</v>
      </c>
      <c r="E10" s="71" t="s">
        <v>116</v>
      </c>
      <c r="F10" s="20" t="s">
        <v>12</v>
      </c>
      <c r="G10" s="32" t="s">
        <v>73</v>
      </c>
      <c r="H10" s="72" t="s">
        <v>36</v>
      </c>
      <c r="I10" s="71">
        <v>7844557</v>
      </c>
      <c r="J10" s="20" t="s">
        <v>12</v>
      </c>
      <c r="K10" s="77">
        <v>8</v>
      </c>
      <c r="L10" s="40" t="s">
        <v>435</v>
      </c>
      <c r="M10" s="20" t="s">
        <v>12</v>
      </c>
      <c r="N10" s="131" t="s">
        <v>429</v>
      </c>
      <c r="O10" s="129" t="s">
        <v>61</v>
      </c>
      <c r="P10" s="20" t="s">
        <v>91</v>
      </c>
    </row>
    <row r="11" spans="1:16">
      <c r="A11" s="20">
        <f t="shared" si="0"/>
        <v>6</v>
      </c>
      <c r="B11" s="33" t="s">
        <v>72</v>
      </c>
      <c r="C11" s="71" t="s">
        <v>114</v>
      </c>
      <c r="D11" s="20" t="s">
        <v>12</v>
      </c>
      <c r="E11" s="71" t="s">
        <v>117</v>
      </c>
      <c r="F11" s="20" t="s">
        <v>12</v>
      </c>
      <c r="G11" s="132" t="s">
        <v>75</v>
      </c>
      <c r="H11" s="82" t="s">
        <v>36</v>
      </c>
      <c r="I11" s="133">
        <v>7844556</v>
      </c>
      <c r="J11" s="20" t="s">
        <v>12</v>
      </c>
      <c r="K11" s="31">
        <v>3</v>
      </c>
      <c r="L11" s="40" t="s">
        <v>435</v>
      </c>
      <c r="M11" s="20" t="s">
        <v>12</v>
      </c>
      <c r="N11" s="131" t="s">
        <v>430</v>
      </c>
      <c r="O11" s="129" t="s">
        <v>61</v>
      </c>
      <c r="P11" s="20" t="s">
        <v>91</v>
      </c>
    </row>
    <row r="12" spans="1:16" s="16" customFormat="1">
      <c r="A12" s="20">
        <f t="shared" si="0"/>
        <v>7</v>
      </c>
      <c r="B12" s="125" t="s">
        <v>74</v>
      </c>
      <c r="C12" s="31" t="s">
        <v>203</v>
      </c>
      <c r="D12" s="20" t="s">
        <v>37</v>
      </c>
      <c r="E12" s="71" t="s">
        <v>357</v>
      </c>
      <c r="F12" s="20" t="s">
        <v>37</v>
      </c>
      <c r="G12" s="34" t="s">
        <v>162</v>
      </c>
      <c r="H12" s="20" t="s">
        <v>163</v>
      </c>
      <c r="I12" s="20" t="s">
        <v>164</v>
      </c>
      <c r="J12" s="85" t="s">
        <v>37</v>
      </c>
      <c r="K12" s="129">
        <v>1</v>
      </c>
      <c r="L12" s="40" t="s">
        <v>435</v>
      </c>
      <c r="M12" s="20" t="s">
        <v>12</v>
      </c>
      <c r="N12" s="126" t="s">
        <v>165</v>
      </c>
      <c r="O12" s="20" t="s">
        <v>61</v>
      </c>
      <c r="P12" s="20" t="s">
        <v>91</v>
      </c>
    </row>
    <row r="13" spans="1:16" s="16" customFormat="1">
      <c r="A13" s="20">
        <f t="shared" si="0"/>
        <v>8</v>
      </c>
      <c r="B13" s="75" t="s">
        <v>181</v>
      </c>
      <c r="C13" s="71" t="s">
        <v>110</v>
      </c>
      <c r="D13" s="81" t="s">
        <v>30</v>
      </c>
      <c r="E13" s="72" t="s">
        <v>44</v>
      </c>
      <c r="F13" s="20" t="s">
        <v>12</v>
      </c>
      <c r="G13" s="34" t="s">
        <v>76</v>
      </c>
      <c r="H13" s="20" t="s">
        <v>118</v>
      </c>
      <c r="I13" s="20" t="s">
        <v>119</v>
      </c>
      <c r="J13" s="85" t="s">
        <v>12</v>
      </c>
      <c r="K13" s="72">
        <v>27</v>
      </c>
      <c r="L13" s="40" t="s">
        <v>435</v>
      </c>
      <c r="M13" s="20" t="s">
        <v>12</v>
      </c>
      <c r="N13" s="131" t="s">
        <v>158</v>
      </c>
      <c r="O13" s="129" t="s">
        <v>61</v>
      </c>
      <c r="P13" s="20" t="s">
        <v>91</v>
      </c>
    </row>
    <row r="14" spans="1:16" s="16" customFormat="1">
      <c r="A14" s="20">
        <f t="shared" si="0"/>
        <v>9</v>
      </c>
      <c r="B14" s="75"/>
      <c r="C14" s="71" t="s">
        <v>111</v>
      </c>
      <c r="D14" s="81" t="s">
        <v>30</v>
      </c>
      <c r="E14" s="72" t="s">
        <v>44</v>
      </c>
      <c r="F14" s="20" t="s">
        <v>12</v>
      </c>
      <c r="G14" s="34" t="s">
        <v>76</v>
      </c>
      <c r="H14" s="20" t="s">
        <v>118</v>
      </c>
      <c r="I14" s="20" t="s">
        <v>120</v>
      </c>
      <c r="J14" s="85" t="s">
        <v>12</v>
      </c>
      <c r="K14" s="72"/>
      <c r="L14" s="40" t="s">
        <v>435</v>
      </c>
      <c r="M14" s="20" t="s">
        <v>12</v>
      </c>
      <c r="N14" s="131" t="s">
        <v>158</v>
      </c>
      <c r="O14" s="129" t="s">
        <v>61</v>
      </c>
      <c r="P14" s="20" t="s">
        <v>91</v>
      </c>
    </row>
    <row r="15" spans="1:16" s="16" customFormat="1">
      <c r="A15" s="20">
        <f t="shared" si="0"/>
        <v>10</v>
      </c>
      <c r="B15" s="75"/>
      <c r="C15" s="71" t="s">
        <v>112</v>
      </c>
      <c r="D15" s="81" t="s">
        <v>30</v>
      </c>
      <c r="E15" s="72" t="s">
        <v>44</v>
      </c>
      <c r="F15" s="20" t="s">
        <v>12</v>
      </c>
      <c r="G15" s="34" t="s">
        <v>76</v>
      </c>
      <c r="H15" s="20" t="s">
        <v>118</v>
      </c>
      <c r="I15" s="20" t="s">
        <v>121</v>
      </c>
      <c r="J15" s="85" t="s">
        <v>12</v>
      </c>
      <c r="K15" s="82"/>
      <c r="L15" s="40" t="s">
        <v>435</v>
      </c>
      <c r="M15" s="20" t="s">
        <v>12</v>
      </c>
      <c r="N15" s="131" t="s">
        <v>158</v>
      </c>
      <c r="O15" s="129" t="s">
        <v>61</v>
      </c>
      <c r="P15" s="20" t="s">
        <v>91</v>
      </c>
    </row>
    <row r="16" spans="1:16">
      <c r="A16" s="20">
        <f t="shared" si="0"/>
        <v>11</v>
      </c>
      <c r="B16" s="75" t="s">
        <v>393</v>
      </c>
      <c r="C16" s="31" t="s">
        <v>239</v>
      </c>
      <c r="D16" s="20" t="s">
        <v>35</v>
      </c>
      <c r="E16" s="20" t="s">
        <v>30</v>
      </c>
      <c r="F16" s="136" t="s">
        <v>12</v>
      </c>
      <c r="G16" s="34" t="s">
        <v>235</v>
      </c>
      <c r="H16" s="20" t="s">
        <v>221</v>
      </c>
      <c r="I16" s="20" t="str">
        <f>C16</f>
        <v>TEMP-S000227652</v>
      </c>
      <c r="J16" s="85" t="s">
        <v>12</v>
      </c>
      <c r="K16" s="20">
        <v>1</v>
      </c>
      <c r="L16" s="40" t="s">
        <v>435</v>
      </c>
      <c r="M16" s="20" t="s">
        <v>12</v>
      </c>
      <c r="N16" s="137"/>
      <c r="O16" s="20" t="s">
        <v>30</v>
      </c>
      <c r="P16" s="20" t="s">
        <v>91</v>
      </c>
    </row>
    <row r="17" spans="1:16">
      <c r="A17" s="20">
        <f t="shared" si="0"/>
        <v>12</v>
      </c>
      <c r="B17" s="75" t="s">
        <v>166</v>
      </c>
      <c r="C17" s="31" t="s">
        <v>136</v>
      </c>
      <c r="D17" s="20" t="s">
        <v>35</v>
      </c>
      <c r="E17" s="20" t="s">
        <v>122</v>
      </c>
      <c r="F17" s="136" t="s">
        <v>12</v>
      </c>
      <c r="G17" s="134" t="s">
        <v>135</v>
      </c>
      <c r="H17" s="20" t="s">
        <v>81</v>
      </c>
      <c r="I17" s="138" t="s">
        <v>123</v>
      </c>
      <c r="J17" s="85" t="s">
        <v>12</v>
      </c>
      <c r="K17" s="76">
        <v>4</v>
      </c>
      <c r="L17" s="40" t="s">
        <v>435</v>
      </c>
      <c r="M17" s="20" t="s">
        <v>12</v>
      </c>
      <c r="N17" s="83"/>
      <c r="O17" s="30" t="s">
        <v>104</v>
      </c>
      <c r="P17" s="20" t="s">
        <v>91</v>
      </c>
    </row>
    <row r="18" spans="1:16">
      <c r="A18" s="20">
        <f t="shared" si="0"/>
        <v>13</v>
      </c>
      <c r="B18" s="75"/>
      <c r="C18" s="31" t="s">
        <v>191</v>
      </c>
      <c r="D18" s="20" t="s">
        <v>35</v>
      </c>
      <c r="E18" s="154" t="s">
        <v>194</v>
      </c>
      <c r="F18" s="136" t="s">
        <v>12</v>
      </c>
      <c r="G18" s="139" t="s">
        <v>189</v>
      </c>
      <c r="H18" s="127" t="s">
        <v>190</v>
      </c>
      <c r="I18" s="127" t="s">
        <v>206</v>
      </c>
      <c r="J18" s="85" t="s">
        <v>12</v>
      </c>
      <c r="K18" s="77"/>
      <c r="L18" s="40" t="s">
        <v>435</v>
      </c>
      <c r="M18" s="20" t="s">
        <v>12</v>
      </c>
      <c r="N18" s="83"/>
      <c r="O18" s="20" t="s">
        <v>104</v>
      </c>
      <c r="P18" s="20" t="s">
        <v>91</v>
      </c>
    </row>
    <row r="19" spans="1:16">
      <c r="A19" s="20">
        <f t="shared" si="0"/>
        <v>14</v>
      </c>
      <c r="B19" s="75" t="s">
        <v>167</v>
      </c>
      <c r="C19" s="31" t="s">
        <v>192</v>
      </c>
      <c r="D19" s="20" t="s">
        <v>35</v>
      </c>
      <c r="E19" s="154" t="s">
        <v>124</v>
      </c>
      <c r="F19" s="136" t="s">
        <v>12</v>
      </c>
      <c r="G19" s="135" t="s">
        <v>148</v>
      </c>
      <c r="H19" s="20" t="s">
        <v>81</v>
      </c>
      <c r="I19" s="138" t="s">
        <v>125</v>
      </c>
      <c r="J19" s="85" t="s">
        <v>12</v>
      </c>
      <c r="K19" s="77">
        <v>24</v>
      </c>
      <c r="L19" s="40" t="s">
        <v>435</v>
      </c>
      <c r="M19" s="20" t="s">
        <v>12</v>
      </c>
      <c r="N19" s="83"/>
      <c r="O19" s="20" t="s">
        <v>104</v>
      </c>
      <c r="P19" s="20" t="s">
        <v>91</v>
      </c>
    </row>
    <row r="20" spans="1:16">
      <c r="A20" s="20">
        <f t="shared" si="0"/>
        <v>15</v>
      </c>
      <c r="B20" s="75"/>
      <c r="C20" s="31" t="s">
        <v>193</v>
      </c>
      <c r="D20" s="20" t="s">
        <v>35</v>
      </c>
      <c r="E20" s="154" t="s">
        <v>195</v>
      </c>
      <c r="F20" s="136" t="s">
        <v>12</v>
      </c>
      <c r="G20" s="139" t="s">
        <v>188</v>
      </c>
      <c r="H20" s="127" t="s">
        <v>190</v>
      </c>
      <c r="I20" s="127" t="s">
        <v>207</v>
      </c>
      <c r="J20" s="85" t="s">
        <v>12</v>
      </c>
      <c r="K20" s="77"/>
      <c r="L20" s="40" t="s">
        <v>435</v>
      </c>
      <c r="M20" s="20" t="s">
        <v>12</v>
      </c>
      <c r="N20" s="83"/>
      <c r="O20" s="20" t="s">
        <v>104</v>
      </c>
      <c r="P20" s="20" t="s">
        <v>91</v>
      </c>
    </row>
    <row r="21" spans="1:16">
      <c r="A21" s="20">
        <f t="shared" si="0"/>
        <v>16</v>
      </c>
      <c r="B21" s="75" t="s">
        <v>168</v>
      </c>
      <c r="C21" s="31" t="s">
        <v>204</v>
      </c>
      <c r="D21" s="20" t="s">
        <v>35</v>
      </c>
      <c r="E21" s="154" t="s">
        <v>409</v>
      </c>
      <c r="F21" s="136" t="s">
        <v>12</v>
      </c>
      <c r="G21" s="139" t="s">
        <v>197</v>
      </c>
      <c r="H21" s="127" t="s">
        <v>77</v>
      </c>
      <c r="I21" s="127" t="s">
        <v>196</v>
      </c>
      <c r="J21" s="85" t="s">
        <v>12</v>
      </c>
      <c r="K21" s="77">
        <v>8</v>
      </c>
      <c r="L21" s="40" t="s">
        <v>435</v>
      </c>
      <c r="M21" s="20" t="s">
        <v>12</v>
      </c>
      <c r="N21" s="83"/>
      <c r="O21" s="20" t="s">
        <v>60</v>
      </c>
      <c r="P21" s="20" t="s">
        <v>91</v>
      </c>
    </row>
    <row r="22" spans="1:16">
      <c r="B22" s="4"/>
      <c r="C22" s="2"/>
      <c r="G22" s="49"/>
      <c r="H22" s="2"/>
      <c r="I22" s="2"/>
      <c r="N22" s="50"/>
    </row>
    <row r="23" spans="1:16">
      <c r="A23" s="16"/>
      <c r="B23" s="1" t="s">
        <v>45</v>
      </c>
      <c r="C23" s="10" t="s">
        <v>46</v>
      </c>
      <c r="D23" s="17"/>
      <c r="E23" s="16"/>
      <c r="F23" s="16"/>
      <c r="G23" s="4"/>
      <c r="H23" s="16"/>
      <c r="I23" s="16"/>
      <c r="J23" s="16"/>
      <c r="N23" s="6"/>
    </row>
    <row r="24" spans="1:16">
      <c r="A24" s="16"/>
      <c r="B24" s="16"/>
      <c r="C24" s="14" t="s">
        <v>47</v>
      </c>
      <c r="D24" s="16"/>
      <c r="E24" s="16"/>
      <c r="F24" s="16"/>
      <c r="G24" s="15"/>
      <c r="H24" s="16"/>
      <c r="I24" s="16"/>
      <c r="J24" s="16"/>
      <c r="N24" s="6"/>
    </row>
    <row r="25" spans="1:16">
      <c r="A25" s="16"/>
      <c r="B25" s="16"/>
      <c r="C25" s="18" t="s">
        <v>48</v>
      </c>
      <c r="D25" s="16"/>
      <c r="E25" s="16"/>
      <c r="F25" s="16"/>
      <c r="G25" s="15"/>
      <c r="H25" s="16"/>
      <c r="I25" s="16"/>
      <c r="J25" s="16"/>
      <c r="N25" s="6"/>
    </row>
    <row r="26" spans="1:16">
      <c r="C26" s="19" t="s">
        <v>67</v>
      </c>
      <c r="G26" s="17"/>
      <c r="N26" s="6"/>
    </row>
    <row r="27" spans="1:16" ht="62">
      <c r="C27" s="45" t="s">
        <v>68</v>
      </c>
      <c r="D27" s="17"/>
      <c r="G27" s="17"/>
      <c r="N27" s="6"/>
    </row>
    <row r="28" spans="1:16">
      <c r="C28" s="95" t="s">
        <v>244</v>
      </c>
    </row>
  </sheetData>
  <autoFilter ref="A5:P21" xr:uid="{A17EF67A-F6EA-4B77-BBA0-AA0644627326}"/>
  <mergeCells count="4">
    <mergeCell ref="A1:M1"/>
    <mergeCell ref="A2:M2"/>
    <mergeCell ref="A3:B3"/>
    <mergeCell ref="A4:B4"/>
  </mergeCells>
  <phoneticPr fontId="10" type="noConversion"/>
  <conditionalFormatting sqref="A1:M1048576">
    <cfRule type="containsText" dxfId="65" priority="1" operator="containsText" text="TBD">
      <formula>NOT(ISERROR(SEARCH("TBD",A1)))</formula>
    </cfRule>
  </conditionalFormatting>
  <conditionalFormatting sqref="O5:O21">
    <cfRule type="containsText" dxfId="64" priority="3" operator="containsText" text="TBD">
      <formula>NOT(ISERROR(SEARCH("TBD",O5)))</formula>
    </cfRule>
  </conditionalFormatting>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6D1E-C9C7-4B86-9972-25C5F40CBB3D}">
  <sheetPr>
    <tabColor rgb="FF0070C0"/>
  </sheetPr>
  <dimension ref="A1:P41"/>
  <sheetViews>
    <sheetView topLeftCell="C1" zoomScale="70" zoomScaleNormal="70" workbookViewId="0">
      <pane ySplit="5" topLeftCell="A6" activePane="bottomLeft" state="frozen"/>
      <selection activeCell="I44" sqref="I44"/>
      <selection pane="bottomLeft" activeCell="I30" sqref="I30"/>
    </sheetView>
  </sheetViews>
  <sheetFormatPr defaultColWidth="9" defaultRowHeight="15.5"/>
  <cols>
    <col min="1" max="1" width="9.36328125" style="6" bestFit="1" customWidth="1"/>
    <col min="2" max="2" width="8.36328125" style="6" bestFit="1" customWidth="1"/>
    <col min="3" max="3" width="27.36328125" style="6" bestFit="1" customWidth="1"/>
    <col min="4" max="4" width="21.90625" style="6" customWidth="1"/>
    <col min="5" max="5" width="16.90625" style="6" bestFit="1" customWidth="1"/>
    <col min="6" max="6" width="13.6328125" style="6" customWidth="1"/>
    <col min="7" max="7" width="85.7265625" style="6" customWidth="1"/>
    <col min="8" max="8" width="16.90625" style="6" customWidth="1"/>
    <col min="9" max="9" width="27.36328125" style="6" bestFit="1" customWidth="1"/>
    <col min="10" max="10" width="16.90625" style="6" bestFit="1" customWidth="1"/>
    <col min="11" max="11" width="13.08984375" style="6" bestFit="1" customWidth="1"/>
    <col min="12" max="13" width="13.08984375" style="6" customWidth="1"/>
    <col min="14" max="14" width="41.453125" style="6" bestFit="1" customWidth="1"/>
    <col min="15" max="15" width="14.36328125" style="7" bestFit="1" customWidth="1"/>
    <col min="16" max="16" width="12.453125" style="6" bestFit="1" customWidth="1"/>
    <col min="17" max="16384" width="9" style="6"/>
  </cols>
  <sheetData>
    <row r="1" spans="1:16">
      <c r="A1" s="177" t="s">
        <v>8</v>
      </c>
      <c r="B1" s="178"/>
      <c r="C1" s="178"/>
      <c r="D1" s="178"/>
      <c r="E1" s="178"/>
      <c r="F1" s="178"/>
      <c r="G1" s="178"/>
      <c r="H1" s="178"/>
      <c r="I1" s="178"/>
      <c r="J1" s="178"/>
      <c r="K1" s="178"/>
      <c r="L1" s="178"/>
      <c r="M1" s="178"/>
      <c r="N1" s="20"/>
      <c r="O1" s="20"/>
      <c r="P1" s="20"/>
    </row>
    <row r="2" spans="1:16">
      <c r="A2" s="177" t="s">
        <v>9</v>
      </c>
      <c r="B2" s="177"/>
      <c r="C2" s="177"/>
      <c r="D2" s="177"/>
      <c r="E2" s="177"/>
      <c r="F2" s="177"/>
      <c r="G2" s="177"/>
      <c r="H2" s="177"/>
      <c r="I2" s="177"/>
      <c r="J2" s="177"/>
      <c r="K2" s="177"/>
      <c r="L2" s="177"/>
      <c r="M2" s="177"/>
      <c r="N2" s="20"/>
      <c r="O2" s="20"/>
      <c r="P2" s="20"/>
    </row>
    <row r="3" spans="1:16" s="47" customFormat="1">
      <c r="A3" s="173" t="s">
        <v>10</v>
      </c>
      <c r="B3" s="173"/>
      <c r="C3" s="22" t="str">
        <f>C6</f>
        <v>1A72BSP00-600-G</v>
      </c>
      <c r="D3" s="25" t="s">
        <v>11</v>
      </c>
      <c r="E3" s="21" t="s">
        <v>12</v>
      </c>
      <c r="F3" s="25"/>
      <c r="G3" s="25"/>
      <c r="H3" s="25"/>
      <c r="I3" s="25"/>
      <c r="J3" s="25"/>
      <c r="K3" s="25"/>
      <c r="L3" s="25"/>
      <c r="M3" s="25"/>
      <c r="N3" s="38"/>
      <c r="O3" s="25"/>
      <c r="P3" s="163"/>
    </row>
    <row r="4" spans="1:16" s="8" customFormat="1">
      <c r="A4" s="173" t="s">
        <v>14</v>
      </c>
      <c r="B4" s="173"/>
      <c r="C4" s="35" t="str">
        <f>E6</f>
        <v>TBD</v>
      </c>
      <c r="D4" s="25" t="s">
        <v>15</v>
      </c>
      <c r="E4" s="21" t="s">
        <v>12</v>
      </c>
      <c r="F4" s="25" t="s">
        <v>16</v>
      </c>
      <c r="G4" s="62" t="s">
        <v>109</v>
      </c>
      <c r="H4" s="25"/>
      <c r="I4" s="25"/>
      <c r="J4" s="25"/>
      <c r="K4" s="25"/>
      <c r="L4" s="25"/>
      <c r="M4" s="25"/>
      <c r="N4" s="88"/>
      <c r="O4" s="21"/>
      <c r="P4" s="38"/>
    </row>
    <row r="5" spans="1:16" s="23" customFormat="1" ht="31">
      <c r="A5" s="22" t="s">
        <v>82</v>
      </c>
      <c r="B5" s="22" t="s">
        <v>18</v>
      </c>
      <c r="C5" s="22" t="s">
        <v>19</v>
      </c>
      <c r="D5" s="22" t="s">
        <v>20</v>
      </c>
      <c r="E5" s="22" t="s">
        <v>21</v>
      </c>
      <c r="F5" s="22" t="s">
        <v>22</v>
      </c>
      <c r="G5" s="22" t="s">
        <v>23</v>
      </c>
      <c r="H5" s="22" t="s">
        <v>24</v>
      </c>
      <c r="I5" s="22" t="s">
        <v>25</v>
      </c>
      <c r="J5" s="22" t="s">
        <v>26</v>
      </c>
      <c r="K5" s="22" t="s">
        <v>27</v>
      </c>
      <c r="L5" s="22" t="s">
        <v>434</v>
      </c>
      <c r="M5" s="22" t="s">
        <v>436</v>
      </c>
      <c r="N5" s="22" t="s">
        <v>28</v>
      </c>
      <c r="O5" s="22" t="s">
        <v>62</v>
      </c>
      <c r="P5" s="22" t="s">
        <v>437</v>
      </c>
    </row>
    <row r="6" spans="1:16" s="8" customFormat="1">
      <c r="A6" s="38">
        <f>ROW(A6)-5</f>
        <v>1</v>
      </c>
      <c r="B6" s="52" t="s">
        <v>63</v>
      </c>
      <c r="C6" s="24" t="s">
        <v>200</v>
      </c>
      <c r="D6" s="38" t="s">
        <v>12</v>
      </c>
      <c r="E6" s="43" t="s">
        <v>34</v>
      </c>
      <c r="F6" s="38" t="s">
        <v>12</v>
      </c>
      <c r="G6" s="62" t="s">
        <v>109</v>
      </c>
      <c r="H6" s="38" t="s">
        <v>31</v>
      </c>
      <c r="I6" s="24" t="str">
        <f>C6</f>
        <v>1A72BSP00-600-G</v>
      </c>
      <c r="J6" s="38" t="s">
        <v>12</v>
      </c>
      <c r="K6" s="41">
        <v>1</v>
      </c>
      <c r="L6" s="40" t="s">
        <v>435</v>
      </c>
      <c r="M6" s="20" t="s">
        <v>12</v>
      </c>
      <c r="N6" s="54" t="s">
        <v>32</v>
      </c>
      <c r="O6" s="38" t="s">
        <v>37</v>
      </c>
      <c r="P6" s="38" t="s">
        <v>438</v>
      </c>
    </row>
    <row r="7" spans="1:16" s="55" customFormat="1">
      <c r="A7" s="38">
        <f t="shared" ref="A7:A35" si="0">ROW(A7)-5</f>
        <v>2</v>
      </c>
      <c r="B7" s="78" t="s">
        <v>33</v>
      </c>
      <c r="C7" s="24" t="s">
        <v>126</v>
      </c>
      <c r="D7" s="38" t="s">
        <v>37</v>
      </c>
      <c r="E7" s="43" t="s">
        <v>287</v>
      </c>
      <c r="F7" s="38" t="s">
        <v>37</v>
      </c>
      <c r="G7" s="44" t="s">
        <v>185</v>
      </c>
      <c r="H7" s="43" t="s">
        <v>83</v>
      </c>
      <c r="I7" s="42" t="s">
        <v>260</v>
      </c>
      <c r="J7" s="38" t="s">
        <v>37</v>
      </c>
      <c r="K7" s="79">
        <v>1</v>
      </c>
      <c r="L7" s="79" t="s">
        <v>440</v>
      </c>
      <c r="M7" s="79" t="s">
        <v>37</v>
      </c>
      <c r="N7" s="80"/>
      <c r="O7" s="38" t="s">
        <v>59</v>
      </c>
      <c r="P7" s="38" t="s">
        <v>91</v>
      </c>
    </row>
    <row r="8" spans="1:16" s="55" customFormat="1">
      <c r="A8" s="38">
        <f t="shared" si="0"/>
        <v>3</v>
      </c>
      <c r="B8" s="78" t="s">
        <v>49</v>
      </c>
      <c r="C8" s="24" t="s">
        <v>217</v>
      </c>
      <c r="D8" s="38" t="s">
        <v>37</v>
      </c>
      <c r="E8" s="43" t="s">
        <v>160</v>
      </c>
      <c r="F8" s="38" t="s">
        <v>37</v>
      </c>
      <c r="G8" s="44" t="s">
        <v>159</v>
      </c>
      <c r="H8" s="42" t="s">
        <v>213</v>
      </c>
      <c r="I8" s="43" t="s">
        <v>161</v>
      </c>
      <c r="J8" s="38" t="s">
        <v>37</v>
      </c>
      <c r="K8" s="79">
        <v>1</v>
      </c>
      <c r="L8" s="79" t="s">
        <v>440</v>
      </c>
      <c r="M8" s="79" t="s">
        <v>37</v>
      </c>
      <c r="N8" s="80"/>
      <c r="O8" s="38" t="s">
        <v>61</v>
      </c>
      <c r="P8" s="38" t="s">
        <v>91</v>
      </c>
    </row>
    <row r="9" spans="1:16" s="16" customFormat="1">
      <c r="A9" s="38">
        <f t="shared" si="0"/>
        <v>4</v>
      </c>
      <c r="B9" s="33" t="s">
        <v>50</v>
      </c>
      <c r="C9" s="42" t="s">
        <v>129</v>
      </c>
      <c r="D9" s="38" t="s">
        <v>30</v>
      </c>
      <c r="E9" s="43" t="s">
        <v>130</v>
      </c>
      <c r="F9" s="38" t="s">
        <v>12</v>
      </c>
      <c r="G9" s="96" t="s">
        <v>128</v>
      </c>
      <c r="H9" s="43" t="s">
        <v>43</v>
      </c>
      <c r="I9" s="43" t="s">
        <v>131</v>
      </c>
      <c r="J9" s="38" t="s">
        <v>12</v>
      </c>
      <c r="K9" s="38">
        <v>1</v>
      </c>
      <c r="L9" s="38" t="s">
        <v>440</v>
      </c>
      <c r="M9" s="38" t="s">
        <v>37</v>
      </c>
      <c r="N9" s="80" t="s">
        <v>84</v>
      </c>
      <c r="O9" s="20" t="s">
        <v>59</v>
      </c>
      <c r="P9" s="38" t="s">
        <v>91</v>
      </c>
    </row>
    <row r="10" spans="1:16" s="55" customFormat="1">
      <c r="A10" s="38">
        <f t="shared" si="0"/>
        <v>5</v>
      </c>
      <c r="B10" s="78" t="s">
        <v>71</v>
      </c>
      <c r="C10" s="42" t="s">
        <v>250</v>
      </c>
      <c r="D10" s="56" t="s">
        <v>30</v>
      </c>
      <c r="E10" s="43" t="s">
        <v>34</v>
      </c>
      <c r="F10" s="38" t="s">
        <v>12</v>
      </c>
      <c r="G10" s="44" t="s">
        <v>214</v>
      </c>
      <c r="H10" s="42" t="s">
        <v>246</v>
      </c>
      <c r="I10" s="42" t="s">
        <v>247</v>
      </c>
      <c r="J10" s="38" t="s">
        <v>12</v>
      </c>
      <c r="K10" s="118">
        <v>10</v>
      </c>
      <c r="L10" s="118" t="s">
        <v>440</v>
      </c>
      <c r="M10" s="118" t="s">
        <v>37</v>
      </c>
      <c r="N10" s="80"/>
      <c r="O10" s="38" t="s">
        <v>60</v>
      </c>
      <c r="P10" s="38" t="s">
        <v>91</v>
      </c>
    </row>
    <row r="11" spans="1:16" s="55" customFormat="1">
      <c r="A11" s="38">
        <f t="shared" si="0"/>
        <v>6</v>
      </c>
      <c r="B11" s="78"/>
      <c r="C11" s="42" t="s">
        <v>253</v>
      </c>
      <c r="D11" s="56" t="s">
        <v>30</v>
      </c>
      <c r="E11" s="43" t="s">
        <v>34</v>
      </c>
      <c r="F11" s="38" t="s">
        <v>12</v>
      </c>
      <c r="G11" s="44" t="s">
        <v>256</v>
      </c>
      <c r="H11" s="42" t="s">
        <v>254</v>
      </c>
      <c r="I11" s="42" t="s">
        <v>255</v>
      </c>
      <c r="J11" s="38" t="s">
        <v>12</v>
      </c>
      <c r="K11" s="118"/>
      <c r="L11" s="118" t="s">
        <v>440</v>
      </c>
      <c r="M11" s="118" t="s">
        <v>37</v>
      </c>
      <c r="N11" s="80"/>
      <c r="O11" s="38" t="s">
        <v>60</v>
      </c>
      <c r="P11" s="38" t="s">
        <v>91</v>
      </c>
    </row>
    <row r="12" spans="1:16" s="55" customFormat="1">
      <c r="A12" s="38">
        <f t="shared" si="0"/>
        <v>7</v>
      </c>
      <c r="B12" s="78" t="s">
        <v>72</v>
      </c>
      <c r="C12" s="42" t="s">
        <v>251</v>
      </c>
      <c r="D12" s="56" t="s">
        <v>30</v>
      </c>
      <c r="E12" s="43" t="s">
        <v>34</v>
      </c>
      <c r="F12" s="38" t="s">
        <v>12</v>
      </c>
      <c r="G12" s="44" t="s">
        <v>215</v>
      </c>
      <c r="H12" s="42" t="s">
        <v>246</v>
      </c>
      <c r="I12" s="42" t="s">
        <v>248</v>
      </c>
      <c r="J12" s="38" t="s">
        <v>12</v>
      </c>
      <c r="K12" s="118">
        <v>5</v>
      </c>
      <c r="L12" s="118" t="s">
        <v>440</v>
      </c>
      <c r="M12" s="118" t="s">
        <v>37</v>
      </c>
      <c r="N12" s="80"/>
      <c r="O12" s="38" t="s">
        <v>60</v>
      </c>
      <c r="P12" s="38" t="s">
        <v>91</v>
      </c>
    </row>
    <row r="13" spans="1:16" s="55" customFormat="1">
      <c r="A13" s="38">
        <f t="shared" si="0"/>
        <v>8</v>
      </c>
      <c r="B13" s="78"/>
      <c r="C13" s="42" t="s">
        <v>253</v>
      </c>
      <c r="D13" s="56" t="s">
        <v>30</v>
      </c>
      <c r="E13" s="43" t="s">
        <v>34</v>
      </c>
      <c r="F13" s="38" t="s">
        <v>12</v>
      </c>
      <c r="G13" s="44" t="s">
        <v>256</v>
      </c>
      <c r="H13" s="42" t="s">
        <v>254</v>
      </c>
      <c r="I13" s="42" t="s">
        <v>255</v>
      </c>
      <c r="J13" s="38" t="s">
        <v>12</v>
      </c>
      <c r="K13" s="118"/>
      <c r="L13" s="118" t="s">
        <v>440</v>
      </c>
      <c r="M13" s="118" t="s">
        <v>37</v>
      </c>
      <c r="N13" s="80"/>
      <c r="O13" s="38" t="s">
        <v>60</v>
      </c>
      <c r="P13" s="38" t="s">
        <v>91</v>
      </c>
    </row>
    <row r="14" spans="1:16" s="55" customFormat="1">
      <c r="A14" s="38">
        <f t="shared" si="0"/>
        <v>9</v>
      </c>
      <c r="B14" s="78" t="s">
        <v>269</v>
      </c>
      <c r="C14" s="42" t="s">
        <v>252</v>
      </c>
      <c r="D14" s="56" t="s">
        <v>30</v>
      </c>
      <c r="E14" s="43" t="s">
        <v>411</v>
      </c>
      <c r="F14" s="38" t="s">
        <v>12</v>
      </c>
      <c r="G14" s="44" t="s">
        <v>216</v>
      </c>
      <c r="H14" s="42" t="s">
        <v>246</v>
      </c>
      <c r="I14" s="42" t="s">
        <v>249</v>
      </c>
      <c r="J14" s="38" t="s">
        <v>12</v>
      </c>
      <c r="K14" s="118">
        <v>3</v>
      </c>
      <c r="L14" s="118" t="s">
        <v>440</v>
      </c>
      <c r="M14" s="118" t="s">
        <v>37</v>
      </c>
      <c r="N14" s="80"/>
      <c r="O14" s="38" t="s">
        <v>60</v>
      </c>
      <c r="P14" s="38" t="s">
        <v>91</v>
      </c>
    </row>
    <row r="15" spans="1:16" s="55" customFormat="1">
      <c r="A15" s="38">
        <f t="shared" si="0"/>
        <v>10</v>
      </c>
      <c r="B15" s="78"/>
      <c r="C15" s="42" t="s">
        <v>253</v>
      </c>
      <c r="D15" s="56" t="s">
        <v>30</v>
      </c>
      <c r="E15" s="43" t="s">
        <v>411</v>
      </c>
      <c r="F15" s="38" t="s">
        <v>12</v>
      </c>
      <c r="G15" s="44" t="s">
        <v>256</v>
      </c>
      <c r="H15" s="42" t="s">
        <v>254</v>
      </c>
      <c r="I15" s="42" t="s">
        <v>255</v>
      </c>
      <c r="J15" s="38" t="s">
        <v>12</v>
      </c>
      <c r="K15" s="118"/>
      <c r="L15" s="118" t="s">
        <v>440</v>
      </c>
      <c r="M15" s="118" t="s">
        <v>37</v>
      </c>
      <c r="N15" s="80"/>
      <c r="O15" s="38" t="s">
        <v>60</v>
      </c>
      <c r="P15" s="38" t="s">
        <v>91</v>
      </c>
    </row>
    <row r="16" spans="1:16" s="55" customFormat="1" ht="31">
      <c r="A16" s="38">
        <f t="shared" si="0"/>
        <v>11</v>
      </c>
      <c r="B16" s="78"/>
      <c r="C16" s="42" t="s">
        <v>386</v>
      </c>
      <c r="D16" s="56" t="s">
        <v>37</v>
      </c>
      <c r="E16" s="43" t="s">
        <v>411</v>
      </c>
      <c r="F16" s="38" t="s">
        <v>37</v>
      </c>
      <c r="G16" s="44" t="s">
        <v>378</v>
      </c>
      <c r="H16" s="42" t="s">
        <v>77</v>
      </c>
      <c r="I16" s="42" t="s">
        <v>377</v>
      </c>
      <c r="J16" s="38" t="s">
        <v>37</v>
      </c>
      <c r="K16" s="118"/>
      <c r="L16" s="118" t="s">
        <v>440</v>
      </c>
      <c r="M16" s="118" t="s">
        <v>37</v>
      </c>
      <c r="N16" s="80" t="s">
        <v>391</v>
      </c>
      <c r="O16" s="38" t="s">
        <v>60</v>
      </c>
      <c r="P16" s="38" t="s">
        <v>91</v>
      </c>
    </row>
    <row r="17" spans="1:16" s="16" customFormat="1">
      <c r="A17" s="38">
        <f t="shared" si="0"/>
        <v>12</v>
      </c>
      <c r="B17" s="78" t="s">
        <v>270</v>
      </c>
      <c r="C17" s="42" t="s">
        <v>170</v>
      </c>
      <c r="D17" s="56" t="s">
        <v>30</v>
      </c>
      <c r="E17" s="43" t="s">
        <v>413</v>
      </c>
      <c r="F17" s="38" t="s">
        <v>12</v>
      </c>
      <c r="G17" s="96" t="s">
        <v>281</v>
      </c>
      <c r="H17" s="42" t="s">
        <v>186</v>
      </c>
      <c r="I17" s="42" t="s">
        <v>169</v>
      </c>
      <c r="J17" s="38" t="s">
        <v>12</v>
      </c>
      <c r="K17" s="38">
        <v>1</v>
      </c>
      <c r="L17" s="38" t="s">
        <v>440</v>
      </c>
      <c r="M17" s="38" t="s">
        <v>37</v>
      </c>
      <c r="N17" s="80"/>
      <c r="O17" s="38" t="s">
        <v>60</v>
      </c>
      <c r="P17" s="38" t="s">
        <v>438</v>
      </c>
    </row>
    <row r="18" spans="1:16" s="16" customFormat="1">
      <c r="A18" s="38">
        <f t="shared" si="0"/>
        <v>13</v>
      </c>
      <c r="B18" s="78" t="s">
        <v>271</v>
      </c>
      <c r="C18" s="42" t="s">
        <v>219</v>
      </c>
      <c r="D18" s="56" t="s">
        <v>30</v>
      </c>
      <c r="E18" s="151" t="s">
        <v>412</v>
      </c>
      <c r="F18" s="38" t="s">
        <v>12</v>
      </c>
      <c r="G18" s="96" t="s">
        <v>280</v>
      </c>
      <c r="H18" s="42" t="s">
        <v>186</v>
      </c>
      <c r="I18" s="42" t="s">
        <v>218</v>
      </c>
      <c r="J18" s="38" t="s">
        <v>12</v>
      </c>
      <c r="K18" s="24">
        <v>2</v>
      </c>
      <c r="L18" s="24" t="s">
        <v>440</v>
      </c>
      <c r="M18" s="24" t="s">
        <v>37</v>
      </c>
      <c r="N18" s="80"/>
      <c r="O18" s="38" t="s">
        <v>276</v>
      </c>
      <c r="P18" s="38" t="s">
        <v>438</v>
      </c>
    </row>
    <row r="19" spans="1:16" ht="31">
      <c r="A19" s="38">
        <f t="shared" si="0"/>
        <v>14</v>
      </c>
      <c r="B19" s="78" t="s">
        <v>347</v>
      </c>
      <c r="C19" s="141" t="s">
        <v>359</v>
      </c>
      <c r="D19" s="142" t="s">
        <v>37</v>
      </c>
      <c r="E19" s="128" t="s">
        <v>415</v>
      </c>
      <c r="F19" s="143" t="s">
        <v>37</v>
      </c>
      <c r="G19" s="144" t="s">
        <v>360</v>
      </c>
      <c r="H19" s="141" t="s">
        <v>261</v>
      </c>
      <c r="I19" s="141" t="s">
        <v>356</v>
      </c>
      <c r="J19" s="120" t="s">
        <v>37</v>
      </c>
      <c r="K19" s="41">
        <v>4</v>
      </c>
      <c r="L19" s="41" t="s">
        <v>440</v>
      </c>
      <c r="M19" s="41" t="s">
        <v>37</v>
      </c>
      <c r="N19" s="66" t="s">
        <v>361</v>
      </c>
      <c r="O19" s="30" t="s">
        <v>60</v>
      </c>
      <c r="P19" s="38" t="s">
        <v>438</v>
      </c>
    </row>
    <row r="20" spans="1:16">
      <c r="A20" s="38">
        <f t="shared" si="0"/>
        <v>15</v>
      </c>
      <c r="B20" s="78"/>
      <c r="C20" s="141" t="s">
        <v>382</v>
      </c>
      <c r="D20" s="142" t="s">
        <v>37</v>
      </c>
      <c r="E20" s="128" t="s">
        <v>38</v>
      </c>
      <c r="F20" s="143" t="s">
        <v>37</v>
      </c>
      <c r="G20" s="144" t="s">
        <v>379</v>
      </c>
      <c r="H20" s="141" t="s">
        <v>380</v>
      </c>
      <c r="I20" s="141" t="s">
        <v>381</v>
      </c>
      <c r="J20" s="120" t="s">
        <v>37</v>
      </c>
      <c r="K20" s="41"/>
      <c r="L20" s="41" t="s">
        <v>440</v>
      </c>
      <c r="M20" s="41" t="s">
        <v>37</v>
      </c>
      <c r="N20" s="66"/>
      <c r="O20" s="30" t="s">
        <v>60</v>
      </c>
      <c r="P20" s="38" t="s">
        <v>438</v>
      </c>
    </row>
    <row r="21" spans="1:16">
      <c r="A21" s="38">
        <f t="shared" si="0"/>
        <v>16</v>
      </c>
      <c r="B21" s="78" t="s">
        <v>333</v>
      </c>
      <c r="C21" s="141" t="s">
        <v>263</v>
      </c>
      <c r="D21" s="142" t="s">
        <v>12</v>
      </c>
      <c r="E21" s="90" t="s">
        <v>294</v>
      </c>
      <c r="F21" s="143" t="s">
        <v>12</v>
      </c>
      <c r="G21" s="144" t="s">
        <v>265</v>
      </c>
      <c r="H21" s="141" t="s">
        <v>261</v>
      </c>
      <c r="I21" s="141" t="s">
        <v>338</v>
      </c>
      <c r="J21" s="120" t="s">
        <v>12</v>
      </c>
      <c r="K21" s="41">
        <v>32</v>
      </c>
      <c r="L21" s="41" t="s">
        <v>440</v>
      </c>
      <c r="M21" s="41" t="s">
        <v>37</v>
      </c>
      <c r="N21" s="121"/>
      <c r="O21" s="30" t="s">
        <v>276</v>
      </c>
      <c r="P21" s="38" t="s">
        <v>438</v>
      </c>
    </row>
    <row r="22" spans="1:16">
      <c r="A22" s="38">
        <f t="shared" si="0"/>
        <v>17</v>
      </c>
      <c r="B22" s="78" t="s">
        <v>348</v>
      </c>
      <c r="C22" s="38" t="s">
        <v>264</v>
      </c>
      <c r="D22" s="119" t="s">
        <v>12</v>
      </c>
      <c r="E22" s="90" t="s">
        <v>416</v>
      </c>
      <c r="F22" s="84" t="s">
        <v>12</v>
      </c>
      <c r="G22" s="60" t="s">
        <v>290</v>
      </c>
      <c r="H22" s="38" t="s">
        <v>261</v>
      </c>
      <c r="I22" s="38" t="s">
        <v>262</v>
      </c>
      <c r="J22" s="120" t="s">
        <v>12</v>
      </c>
      <c r="K22" s="98">
        <v>17</v>
      </c>
      <c r="L22" s="98" t="s">
        <v>440</v>
      </c>
      <c r="M22" s="98" t="s">
        <v>37</v>
      </c>
      <c r="N22" s="121"/>
      <c r="O22" s="30" t="s">
        <v>276</v>
      </c>
      <c r="P22" s="38" t="s">
        <v>438</v>
      </c>
    </row>
    <row r="23" spans="1:16">
      <c r="A23" s="38">
        <f t="shared" si="0"/>
        <v>18</v>
      </c>
      <c r="B23" s="78" t="s">
        <v>349</v>
      </c>
      <c r="C23" s="38" t="s">
        <v>288</v>
      </c>
      <c r="D23" s="119" t="s">
        <v>12</v>
      </c>
      <c r="E23" s="90" t="s">
        <v>414</v>
      </c>
      <c r="F23" s="84" t="s">
        <v>12</v>
      </c>
      <c r="G23" s="60" t="s">
        <v>289</v>
      </c>
      <c r="H23" s="38" t="s">
        <v>261</v>
      </c>
      <c r="I23" s="38" t="s">
        <v>291</v>
      </c>
      <c r="J23" s="120" t="s">
        <v>12</v>
      </c>
      <c r="K23" s="41">
        <v>16</v>
      </c>
      <c r="L23" s="41" t="s">
        <v>440</v>
      </c>
      <c r="M23" s="41" t="s">
        <v>37</v>
      </c>
      <c r="N23" s="121"/>
      <c r="O23" s="30" t="s">
        <v>276</v>
      </c>
      <c r="P23" s="38" t="s">
        <v>438</v>
      </c>
    </row>
    <row r="24" spans="1:16">
      <c r="A24" s="38">
        <f t="shared" si="0"/>
        <v>19</v>
      </c>
      <c r="B24" s="78"/>
      <c r="C24" s="38" t="s">
        <v>385</v>
      </c>
      <c r="D24" s="119" t="s">
        <v>37</v>
      </c>
      <c r="E24" s="152" t="s">
        <v>38</v>
      </c>
      <c r="F24" s="84" t="s">
        <v>37</v>
      </c>
      <c r="G24" s="60" t="s">
        <v>383</v>
      </c>
      <c r="H24" s="38" t="s">
        <v>380</v>
      </c>
      <c r="I24" s="38" t="s">
        <v>384</v>
      </c>
      <c r="J24" s="120" t="s">
        <v>37</v>
      </c>
      <c r="K24" s="41"/>
      <c r="L24" s="41" t="s">
        <v>440</v>
      </c>
      <c r="M24" s="41" t="s">
        <v>37</v>
      </c>
      <c r="N24" s="121"/>
      <c r="O24" s="30" t="s">
        <v>60</v>
      </c>
      <c r="P24" s="181" t="s">
        <v>438</v>
      </c>
    </row>
    <row r="25" spans="1:16">
      <c r="A25" s="38">
        <f t="shared" si="0"/>
        <v>20</v>
      </c>
      <c r="B25" s="78" t="s">
        <v>350</v>
      </c>
      <c r="C25" s="24" t="s">
        <v>346</v>
      </c>
      <c r="D25" s="119" t="s">
        <v>12</v>
      </c>
      <c r="E25" s="153" t="s">
        <v>417</v>
      </c>
      <c r="F25" s="84" t="s">
        <v>12</v>
      </c>
      <c r="G25" s="60" t="s">
        <v>266</v>
      </c>
      <c r="H25" s="38" t="s">
        <v>261</v>
      </c>
      <c r="I25" s="38" t="s">
        <v>342</v>
      </c>
      <c r="J25" s="120" t="s">
        <v>12</v>
      </c>
      <c r="K25" s="41">
        <v>6</v>
      </c>
      <c r="L25" s="41" t="s">
        <v>440</v>
      </c>
      <c r="M25" s="41" t="s">
        <v>37</v>
      </c>
      <c r="N25" s="121"/>
      <c r="O25" s="30" t="s">
        <v>276</v>
      </c>
      <c r="P25" s="181" t="s">
        <v>438</v>
      </c>
    </row>
    <row r="26" spans="1:16" ht="31">
      <c r="A26" s="38">
        <f t="shared" si="0"/>
        <v>21</v>
      </c>
      <c r="B26" s="155" t="s">
        <v>426</v>
      </c>
      <c r="C26" s="156" t="s">
        <v>292</v>
      </c>
      <c r="D26" s="157" t="s">
        <v>12</v>
      </c>
      <c r="E26" s="45" t="s">
        <v>297</v>
      </c>
      <c r="F26" s="158" t="s">
        <v>12</v>
      </c>
      <c r="G26" s="159" t="s">
        <v>293</v>
      </c>
      <c r="H26" s="156" t="s">
        <v>77</v>
      </c>
      <c r="I26" s="156" t="s">
        <v>339</v>
      </c>
      <c r="J26" s="156" t="s">
        <v>12</v>
      </c>
      <c r="K26" s="156">
        <v>1</v>
      </c>
      <c r="L26" s="156" t="s">
        <v>440</v>
      </c>
      <c r="M26" s="156" t="s">
        <v>37</v>
      </c>
      <c r="N26" s="161" t="s">
        <v>425</v>
      </c>
      <c r="O26" s="160" t="s">
        <v>276</v>
      </c>
      <c r="P26" s="181" t="s">
        <v>438</v>
      </c>
    </row>
    <row r="27" spans="1:16">
      <c r="A27" s="38">
        <f t="shared" si="0"/>
        <v>22</v>
      </c>
      <c r="B27" s="78"/>
      <c r="C27" s="140" t="s">
        <v>424</v>
      </c>
      <c r="D27" s="119" t="s">
        <v>12</v>
      </c>
      <c r="E27" s="128" t="s">
        <v>38</v>
      </c>
      <c r="F27" s="84" t="s">
        <v>12</v>
      </c>
      <c r="G27" s="60" t="s">
        <v>293</v>
      </c>
      <c r="H27" s="38" t="s">
        <v>77</v>
      </c>
      <c r="I27" s="38" t="s">
        <v>423</v>
      </c>
      <c r="J27" s="38" t="s">
        <v>12</v>
      </c>
      <c r="K27" s="38"/>
      <c r="L27" s="38" t="s">
        <v>440</v>
      </c>
      <c r="M27" s="38" t="s">
        <v>37</v>
      </c>
      <c r="N27" s="121"/>
      <c r="O27" s="30" t="s">
        <v>276</v>
      </c>
      <c r="P27" s="181" t="s">
        <v>438</v>
      </c>
    </row>
    <row r="28" spans="1:16">
      <c r="A28" s="38">
        <f t="shared" si="0"/>
        <v>23</v>
      </c>
      <c r="B28" s="78" t="s">
        <v>352</v>
      </c>
      <c r="C28" s="90" t="s">
        <v>285</v>
      </c>
      <c r="D28" s="119" t="s">
        <v>12</v>
      </c>
      <c r="E28" s="153" t="s">
        <v>418</v>
      </c>
      <c r="F28" s="24" t="s">
        <v>282</v>
      </c>
      <c r="G28" s="60" t="s">
        <v>267</v>
      </c>
      <c r="H28" s="38" t="s">
        <v>268</v>
      </c>
      <c r="I28" s="24" t="s">
        <v>286</v>
      </c>
      <c r="J28" s="38" t="s">
        <v>12</v>
      </c>
      <c r="K28" s="41">
        <v>1</v>
      </c>
      <c r="L28" s="41" t="s">
        <v>440</v>
      </c>
      <c r="M28" s="41" t="s">
        <v>37</v>
      </c>
      <c r="N28" s="121"/>
      <c r="O28" s="30" t="s">
        <v>277</v>
      </c>
      <c r="P28" s="181" t="s">
        <v>438</v>
      </c>
    </row>
    <row r="29" spans="1:16" s="7" customFormat="1">
      <c r="A29" s="38">
        <f t="shared" si="0"/>
        <v>24</v>
      </c>
      <c r="B29" s="78" t="s">
        <v>353</v>
      </c>
      <c r="C29" s="20" t="s">
        <v>298</v>
      </c>
      <c r="D29" s="119" t="s">
        <v>12</v>
      </c>
      <c r="E29" s="20" t="s">
        <v>7</v>
      </c>
      <c r="F29" s="20" t="s">
        <v>7</v>
      </c>
      <c r="G29" s="32" t="s">
        <v>299</v>
      </c>
      <c r="H29" s="20" t="s">
        <v>300</v>
      </c>
      <c r="I29" s="20" t="s">
        <v>301</v>
      </c>
      <c r="J29" s="20" t="s">
        <v>7</v>
      </c>
      <c r="K29" s="123">
        <v>50</v>
      </c>
      <c r="L29" s="123" t="s">
        <v>440</v>
      </c>
      <c r="M29" s="123" t="s">
        <v>37</v>
      </c>
      <c r="N29" s="20"/>
      <c r="O29" s="20" t="s">
        <v>302</v>
      </c>
      <c r="P29" s="181" t="s">
        <v>438</v>
      </c>
    </row>
    <row r="30" spans="1:16" s="7" customFormat="1">
      <c r="A30" s="38">
        <f t="shared" si="0"/>
        <v>25</v>
      </c>
      <c r="B30" s="122"/>
      <c r="C30" s="20" t="s">
        <v>303</v>
      </c>
      <c r="D30" s="20" t="s">
        <v>7</v>
      </c>
      <c r="E30" s="20" t="s">
        <v>7</v>
      </c>
      <c r="F30" s="20" t="s">
        <v>7</v>
      </c>
      <c r="G30" s="32" t="s">
        <v>304</v>
      </c>
      <c r="H30" s="20" t="s">
        <v>305</v>
      </c>
      <c r="I30" s="20" t="s">
        <v>306</v>
      </c>
      <c r="J30" s="20" t="s">
        <v>7</v>
      </c>
      <c r="K30" s="123"/>
      <c r="L30" s="123" t="s">
        <v>440</v>
      </c>
      <c r="M30" s="123" t="s">
        <v>37</v>
      </c>
      <c r="N30" s="20"/>
      <c r="O30" s="20" t="s">
        <v>307</v>
      </c>
      <c r="P30" s="181" t="s">
        <v>438</v>
      </c>
    </row>
    <row r="31" spans="1:16" s="7" customFormat="1">
      <c r="A31" s="38">
        <f t="shared" si="0"/>
        <v>26</v>
      </c>
      <c r="B31" s="122"/>
      <c r="C31" s="20" t="s">
        <v>308</v>
      </c>
      <c r="D31" s="20" t="s">
        <v>35</v>
      </c>
      <c r="E31" s="20" t="s">
        <v>35</v>
      </c>
      <c r="F31" s="20" t="s">
        <v>35</v>
      </c>
      <c r="G31" s="32" t="s">
        <v>304</v>
      </c>
      <c r="H31" s="20" t="s">
        <v>309</v>
      </c>
      <c r="I31" s="20" t="s">
        <v>310</v>
      </c>
      <c r="J31" s="20" t="s">
        <v>35</v>
      </c>
      <c r="K31" s="123"/>
      <c r="L31" s="123" t="s">
        <v>440</v>
      </c>
      <c r="M31" s="123" t="s">
        <v>37</v>
      </c>
      <c r="N31" s="20"/>
      <c r="O31" s="20" t="s">
        <v>302</v>
      </c>
      <c r="P31" s="38" t="s">
        <v>438</v>
      </c>
    </row>
    <row r="32" spans="1:16" s="7" customFormat="1">
      <c r="A32" s="38">
        <f t="shared" si="0"/>
        <v>27</v>
      </c>
      <c r="B32" s="122" t="s">
        <v>354</v>
      </c>
      <c r="C32" s="76" t="s">
        <v>311</v>
      </c>
      <c r="D32" s="20" t="s">
        <v>7</v>
      </c>
      <c r="E32" s="20" t="s">
        <v>35</v>
      </c>
      <c r="F32" s="20" t="s">
        <v>7</v>
      </c>
      <c r="G32" s="32" t="s">
        <v>312</v>
      </c>
      <c r="H32" s="20" t="s">
        <v>309</v>
      </c>
      <c r="I32" s="76" t="s">
        <v>313</v>
      </c>
      <c r="J32" s="20" t="s">
        <v>7</v>
      </c>
      <c r="K32" s="123">
        <v>50</v>
      </c>
      <c r="L32" s="123" t="s">
        <v>440</v>
      </c>
      <c r="M32" s="123" t="s">
        <v>37</v>
      </c>
      <c r="N32" s="20"/>
      <c r="O32" s="20" t="s">
        <v>302</v>
      </c>
      <c r="P32" s="38" t="s">
        <v>438</v>
      </c>
    </row>
    <row r="33" spans="1:16" s="7" customFormat="1">
      <c r="A33" s="38">
        <f t="shared" si="0"/>
        <v>28</v>
      </c>
      <c r="B33" s="122"/>
      <c r="C33" s="76" t="s">
        <v>314</v>
      </c>
      <c r="D33" s="20" t="s">
        <v>7</v>
      </c>
      <c r="E33" s="20" t="s">
        <v>35</v>
      </c>
      <c r="F33" s="20" t="s">
        <v>7</v>
      </c>
      <c r="G33" s="32" t="s">
        <v>312</v>
      </c>
      <c r="H33" s="20" t="s">
        <v>305</v>
      </c>
      <c r="I33" s="76" t="s">
        <v>314</v>
      </c>
      <c r="J33" s="20" t="s">
        <v>7</v>
      </c>
      <c r="K33" s="123"/>
      <c r="L33" s="123" t="s">
        <v>440</v>
      </c>
      <c r="M33" s="123" t="s">
        <v>37</v>
      </c>
      <c r="N33" s="20"/>
      <c r="O33" s="20" t="s">
        <v>302</v>
      </c>
      <c r="P33" s="38" t="s">
        <v>438</v>
      </c>
    </row>
    <row r="34" spans="1:16">
      <c r="A34" s="38">
        <f t="shared" si="0"/>
        <v>29</v>
      </c>
      <c r="B34" s="124" t="s">
        <v>332</v>
      </c>
      <c r="C34" s="20" t="s">
        <v>52</v>
      </c>
      <c r="D34" s="30" t="s">
        <v>12</v>
      </c>
      <c r="E34" s="38" t="s">
        <v>53</v>
      </c>
      <c r="F34" s="20" t="s">
        <v>12</v>
      </c>
      <c r="G34" s="32" t="s">
        <v>86</v>
      </c>
      <c r="H34" s="20" t="s">
        <v>31</v>
      </c>
      <c r="I34" s="20" t="s">
        <v>52</v>
      </c>
      <c r="J34" s="20" t="s">
        <v>12</v>
      </c>
      <c r="K34" s="73">
        <v>150</v>
      </c>
      <c r="L34" s="73" t="s">
        <v>440</v>
      </c>
      <c r="M34" s="73" t="s">
        <v>37</v>
      </c>
      <c r="N34" s="121"/>
      <c r="O34" s="30" t="s">
        <v>103</v>
      </c>
      <c r="P34" s="38" t="s">
        <v>438</v>
      </c>
    </row>
    <row r="35" spans="1:16">
      <c r="A35" s="38">
        <f t="shared" si="0"/>
        <v>30</v>
      </c>
      <c r="B35" s="124" t="s">
        <v>355</v>
      </c>
      <c r="C35" s="20" t="s">
        <v>54</v>
      </c>
      <c r="D35" s="30" t="s">
        <v>12</v>
      </c>
      <c r="E35" s="38" t="s">
        <v>53</v>
      </c>
      <c r="F35" s="20" t="s">
        <v>12</v>
      </c>
      <c r="G35" s="32" t="s">
        <v>317</v>
      </c>
      <c r="H35" s="20" t="s">
        <v>31</v>
      </c>
      <c r="I35" s="20" t="s">
        <v>54</v>
      </c>
      <c r="J35" s="20" t="s">
        <v>12</v>
      </c>
      <c r="K35" s="20">
        <v>60</v>
      </c>
      <c r="L35" s="20" t="s">
        <v>440</v>
      </c>
      <c r="M35" s="20" t="s">
        <v>37</v>
      </c>
      <c r="N35" s="121"/>
      <c r="O35" s="30" t="s">
        <v>103</v>
      </c>
      <c r="P35" s="38" t="s">
        <v>438</v>
      </c>
    </row>
    <row r="36" spans="1:16">
      <c r="A36" s="8"/>
      <c r="C36" s="8"/>
      <c r="D36" s="57"/>
      <c r="E36" s="57"/>
      <c r="F36" s="57"/>
      <c r="G36" s="58"/>
      <c r="H36" s="5"/>
      <c r="I36" s="59"/>
      <c r="J36" s="59"/>
      <c r="K36" s="57"/>
      <c r="L36" s="57"/>
      <c r="M36" s="57"/>
      <c r="O36" s="57"/>
    </row>
    <row r="37" spans="1:16">
      <c r="A37" s="16"/>
      <c r="B37" s="1" t="s">
        <v>45</v>
      </c>
      <c r="C37" s="10" t="s">
        <v>46</v>
      </c>
      <c r="D37" s="17"/>
      <c r="E37" s="16"/>
      <c r="F37" s="16"/>
      <c r="G37" s="4"/>
      <c r="H37" s="16"/>
      <c r="I37" s="16"/>
      <c r="J37" s="16"/>
      <c r="O37" s="16"/>
    </row>
    <row r="38" spans="1:16">
      <c r="A38" s="16"/>
      <c r="B38" s="16"/>
      <c r="C38" s="14" t="s">
        <v>47</v>
      </c>
      <c r="D38" s="16"/>
      <c r="E38" s="16"/>
      <c r="F38" s="16"/>
      <c r="G38" s="15"/>
      <c r="H38" s="16"/>
      <c r="I38" s="16"/>
      <c r="J38" s="16"/>
      <c r="O38" s="16"/>
    </row>
    <row r="39" spans="1:16">
      <c r="A39" s="16"/>
      <c r="B39" s="16"/>
      <c r="C39" s="18" t="s">
        <v>48</v>
      </c>
      <c r="D39" s="16"/>
      <c r="E39" s="16"/>
      <c r="F39" s="16"/>
      <c r="G39" s="15"/>
      <c r="H39" s="16"/>
      <c r="I39" s="16"/>
      <c r="J39" s="16"/>
      <c r="O39" s="16"/>
    </row>
    <row r="40" spans="1:16">
      <c r="C40" s="19" t="s">
        <v>67</v>
      </c>
      <c r="G40" s="17"/>
      <c r="O40" s="6"/>
    </row>
    <row r="41" spans="1:16" ht="46.5">
      <c r="C41" s="45" t="s">
        <v>68</v>
      </c>
      <c r="D41" s="17"/>
      <c r="G41" s="17"/>
      <c r="O41" s="6"/>
    </row>
  </sheetData>
  <autoFilter ref="A5:P35" xr:uid="{443C6D1E-C9C7-4B86-9972-25C5F40CBB3D}"/>
  <mergeCells count="4">
    <mergeCell ref="A1:M1"/>
    <mergeCell ref="A2:M2"/>
    <mergeCell ref="A3:B3"/>
    <mergeCell ref="A4:B4"/>
  </mergeCells>
  <phoneticPr fontId="7" type="noConversion"/>
  <conditionalFormatting sqref="A1:M6">
    <cfRule type="containsText" dxfId="63" priority="4" operator="containsText" text="TBD">
      <formula>NOT(ISERROR(SEARCH("TBD",A1)))</formula>
    </cfRule>
  </conditionalFormatting>
  <conditionalFormatting sqref="B19:D26">
    <cfRule type="containsText" dxfId="62" priority="7" operator="containsText" text="TBD">
      <formula>NOT(ISERROR(SEARCH("TBD",B19)))</formula>
    </cfRule>
  </conditionalFormatting>
  <conditionalFormatting sqref="B27:E27">
    <cfRule type="containsText" dxfId="61" priority="5" operator="containsText" text="TBD">
      <formula>NOT(ISERROR(SEARCH("TBD",B27)))</formula>
    </cfRule>
  </conditionalFormatting>
  <conditionalFormatting sqref="B7:M18 A7:A35 G28:M28 B28:B29 D28:D29 A36:M1048576">
    <cfRule type="containsText" dxfId="60" priority="21" operator="containsText" text="TBD">
      <formula>NOT(ISERROR(SEARCH("TBD",A7)))</formula>
    </cfRule>
  </conditionalFormatting>
  <conditionalFormatting sqref="B34:M35">
    <cfRule type="containsText" dxfId="59" priority="10" operator="containsText" text="TBD">
      <formula>NOT(ISERROR(SEARCH("TBD",B34)))</formula>
    </cfRule>
  </conditionalFormatting>
  <conditionalFormatting sqref="C29 E29:N29 O29:O35 B30:N33 B34:D35 F34:N35">
    <cfRule type="containsText" dxfId="58" priority="19" operator="containsText" text="TBD">
      <formula>NOT(ISERROR(SEARCH("TBD",B29)))</formula>
    </cfRule>
  </conditionalFormatting>
  <conditionalFormatting sqref="E19:E20">
    <cfRule type="containsText" dxfId="57" priority="13" operator="containsText" text="TBD">
      <formula>NOT(ISERROR(SEARCH("TBD",E19)))</formula>
    </cfRule>
  </conditionalFormatting>
  <conditionalFormatting sqref="E25">
    <cfRule type="containsText" dxfId="56" priority="20" operator="containsText" text="TBD">
      <formula>NOT(ISERROR(SEARCH("TBD",E25)))</formula>
    </cfRule>
  </conditionalFormatting>
  <conditionalFormatting sqref="E28">
    <cfRule type="containsText" dxfId="55" priority="9" operator="containsText" text="TBD">
      <formula>NOT(ISERROR(SEARCH("TBD",E28)))</formula>
    </cfRule>
  </conditionalFormatting>
  <conditionalFormatting sqref="F19:M27">
    <cfRule type="containsText" dxfId="54" priority="6" operator="containsText" text="TBD">
      <formula>NOT(ISERROR(SEARCH("TBD",F19)))</formula>
    </cfRule>
  </conditionalFormatting>
  <conditionalFormatting sqref="O1:O28">
    <cfRule type="containsText" dxfId="53" priority="1" operator="containsText" text="TBD">
      <formula>NOT(ISERROR(SEARCH("TBD",O1)))</formula>
    </cfRule>
  </conditionalFormatting>
  <conditionalFormatting sqref="O34:O1048576">
    <cfRule type="containsText" dxfId="52" priority="2" operator="containsText" text="TBD">
      <formula>NOT(ISERROR(SEARCH("TBD",O34)))</formula>
    </cfRule>
  </conditionalFormatting>
  <pageMargins left="0.7" right="0.7" top="0.75" bottom="0.75" header="0.3" footer="0.3"/>
  <pageSetup paperSize="9" orientation="portrait"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F61FB-4FDF-4B03-8361-D06D0CE16299}">
  <sheetPr>
    <tabColor rgb="FFFFC000"/>
  </sheetPr>
  <dimension ref="A1:P21"/>
  <sheetViews>
    <sheetView zoomScale="70" zoomScaleNormal="70" workbookViewId="0">
      <pane ySplit="3" topLeftCell="A4" activePane="bottomLeft" state="frozen"/>
      <selection activeCell="I44" sqref="I44"/>
      <selection pane="bottomLeft" activeCell="F32" sqref="F32"/>
    </sheetView>
  </sheetViews>
  <sheetFormatPr defaultColWidth="9" defaultRowHeight="15.5"/>
  <cols>
    <col min="1" max="1" width="9.36328125" style="6" bestFit="1" customWidth="1"/>
    <col min="2" max="2" width="8.36328125" style="6" bestFit="1" customWidth="1"/>
    <col min="3" max="3" width="23.08984375" style="6" bestFit="1" customWidth="1"/>
    <col min="4" max="4" width="21.90625" style="6" bestFit="1" customWidth="1"/>
    <col min="5" max="5" width="16.90625" style="6" bestFit="1" customWidth="1"/>
    <col min="6" max="6" width="13.6328125" style="6" bestFit="1" customWidth="1"/>
    <col min="7" max="7" width="70.6328125" style="6" customWidth="1"/>
    <col min="8" max="8" width="22.36328125" style="6" customWidth="1"/>
    <col min="9" max="9" width="20.26953125" style="6" bestFit="1" customWidth="1"/>
    <col min="10" max="10" width="16.90625" style="6" bestFit="1" customWidth="1"/>
    <col min="11" max="11" width="13.08984375" style="6" bestFit="1" customWidth="1"/>
    <col min="12" max="13" width="13.08984375" style="6" customWidth="1"/>
    <col min="14" max="14" width="18.90625" style="6" customWidth="1"/>
    <col min="15" max="15" width="13.6328125" style="7" bestFit="1" customWidth="1"/>
    <col min="16" max="16" width="12.08984375" style="6" bestFit="1" customWidth="1"/>
    <col min="17" max="16384" width="9" style="6"/>
  </cols>
  <sheetData>
    <row r="1" spans="1:16">
      <c r="A1" s="177" t="s">
        <v>8</v>
      </c>
      <c r="B1" s="178"/>
      <c r="C1" s="178"/>
      <c r="D1" s="178"/>
      <c r="E1" s="178"/>
      <c r="F1" s="178"/>
      <c r="G1" s="178"/>
      <c r="H1" s="178"/>
      <c r="I1" s="178"/>
      <c r="J1" s="178"/>
      <c r="K1" s="178"/>
      <c r="L1" s="178"/>
      <c r="M1" s="178"/>
      <c r="O1" s="6"/>
    </row>
    <row r="2" spans="1:16">
      <c r="A2" s="177" t="s">
        <v>9</v>
      </c>
      <c r="B2" s="177"/>
      <c r="C2" s="177"/>
      <c r="D2" s="177"/>
      <c r="E2" s="177"/>
      <c r="F2" s="177"/>
      <c r="G2" s="177"/>
      <c r="H2" s="177"/>
      <c r="I2" s="177"/>
      <c r="J2" s="177"/>
      <c r="K2" s="177"/>
      <c r="L2" s="177"/>
      <c r="M2" s="177"/>
      <c r="O2" s="6"/>
    </row>
    <row r="3" spans="1:16" s="8" customFormat="1">
      <c r="A3" s="173" t="s">
        <v>10</v>
      </c>
      <c r="B3" s="173"/>
      <c r="C3" s="46" t="str">
        <f>C6</f>
        <v>1A72BSQ00-600-G</v>
      </c>
      <c r="D3" s="25" t="s">
        <v>11</v>
      </c>
      <c r="E3" s="21" t="s">
        <v>12</v>
      </c>
      <c r="F3" s="25" t="s">
        <v>13</v>
      </c>
      <c r="G3" s="25"/>
      <c r="H3" s="25"/>
      <c r="I3" s="25"/>
      <c r="J3" s="25"/>
      <c r="K3" s="25"/>
      <c r="L3" s="25"/>
      <c r="M3" s="25"/>
      <c r="O3" s="21"/>
    </row>
    <row r="4" spans="1:16" s="8" customFormat="1">
      <c r="A4" s="173" t="s">
        <v>14</v>
      </c>
      <c r="B4" s="173"/>
      <c r="C4" s="35" t="str">
        <f>E6</f>
        <v>TBD</v>
      </c>
      <c r="D4" s="25" t="s">
        <v>15</v>
      </c>
      <c r="E4" s="21" t="s">
        <v>12</v>
      </c>
      <c r="F4" s="25" t="s">
        <v>16</v>
      </c>
      <c r="G4" s="34" t="s">
        <v>187</v>
      </c>
      <c r="H4" s="25"/>
      <c r="I4" s="25"/>
      <c r="J4" s="25"/>
      <c r="K4" s="25"/>
      <c r="L4" s="25"/>
      <c r="M4" s="25"/>
      <c r="N4" s="37"/>
      <c r="O4" s="21"/>
    </row>
    <row r="5" spans="1:16" s="23" customFormat="1" ht="31">
      <c r="A5" s="22" t="s">
        <v>17</v>
      </c>
      <c r="B5" s="22" t="s">
        <v>18</v>
      </c>
      <c r="C5" s="22" t="s">
        <v>19</v>
      </c>
      <c r="D5" s="22" t="s">
        <v>20</v>
      </c>
      <c r="E5" s="22" t="s">
        <v>21</v>
      </c>
      <c r="F5" s="22" t="s">
        <v>22</v>
      </c>
      <c r="G5" s="22" t="s">
        <v>23</v>
      </c>
      <c r="H5" s="22" t="s">
        <v>24</v>
      </c>
      <c r="I5" s="22" t="s">
        <v>25</v>
      </c>
      <c r="J5" s="22" t="s">
        <v>26</v>
      </c>
      <c r="K5" s="22" t="s">
        <v>27</v>
      </c>
      <c r="L5" s="22" t="s">
        <v>434</v>
      </c>
      <c r="M5" s="22" t="s">
        <v>436</v>
      </c>
      <c r="N5" s="22" t="s">
        <v>28</v>
      </c>
      <c r="O5" s="22" t="s">
        <v>62</v>
      </c>
      <c r="P5" s="22" t="s">
        <v>437</v>
      </c>
    </row>
    <row r="6" spans="1:16">
      <c r="A6" s="20">
        <f>ROW(A6)-5</f>
        <v>1</v>
      </c>
      <c r="B6" s="33" t="s">
        <v>29</v>
      </c>
      <c r="C6" s="31" t="s">
        <v>335</v>
      </c>
      <c r="D6" s="20" t="s">
        <v>35</v>
      </c>
      <c r="E6" s="31" t="s">
        <v>34</v>
      </c>
      <c r="F6" s="20" t="s">
        <v>12</v>
      </c>
      <c r="G6" s="34" t="s">
        <v>187</v>
      </c>
      <c r="H6" s="20" t="s">
        <v>31</v>
      </c>
      <c r="I6" s="31" t="str">
        <f>C6</f>
        <v>1A72BSQ00-600-G</v>
      </c>
      <c r="J6" s="20" t="s">
        <v>12</v>
      </c>
      <c r="K6" s="20">
        <v>1</v>
      </c>
      <c r="L6" s="40" t="s">
        <v>435</v>
      </c>
      <c r="M6" s="20" t="s">
        <v>12</v>
      </c>
      <c r="N6" s="97"/>
      <c r="O6" s="20" t="s">
        <v>30</v>
      </c>
      <c r="P6" s="38" t="s">
        <v>438</v>
      </c>
    </row>
    <row r="7" spans="1:16" s="8" customFormat="1">
      <c r="A7" s="20">
        <f t="shared" ref="A7:A15" si="0">ROW(A7)-5</f>
        <v>2</v>
      </c>
      <c r="B7" s="39" t="s">
        <v>33</v>
      </c>
      <c r="C7" s="24" t="s">
        <v>69</v>
      </c>
      <c r="D7" s="40" t="s">
        <v>37</v>
      </c>
      <c r="E7" s="40" t="s">
        <v>38</v>
      </c>
      <c r="F7" s="40" t="s">
        <v>37</v>
      </c>
      <c r="G7" s="67" t="s">
        <v>182</v>
      </c>
      <c r="H7" s="41" t="s">
        <v>39</v>
      </c>
      <c r="I7" s="24" t="s">
        <v>69</v>
      </c>
      <c r="J7" s="40" t="s">
        <v>37</v>
      </c>
      <c r="K7" s="40">
        <v>1</v>
      </c>
      <c r="L7" s="40" t="s">
        <v>435</v>
      </c>
      <c r="M7" s="20" t="s">
        <v>12</v>
      </c>
      <c r="N7" s="38"/>
      <c r="O7" s="38" t="s">
        <v>30</v>
      </c>
      <c r="P7" s="38" t="s">
        <v>438</v>
      </c>
    </row>
    <row r="8" spans="1:16">
      <c r="A8" s="20">
        <f t="shared" si="0"/>
        <v>3</v>
      </c>
      <c r="B8" s="39" t="s">
        <v>70</v>
      </c>
      <c r="C8" s="31" t="s">
        <v>78</v>
      </c>
      <c r="D8" s="20" t="s">
        <v>37</v>
      </c>
      <c r="E8" s="31" t="s">
        <v>405</v>
      </c>
      <c r="F8" s="20" t="s">
        <v>37</v>
      </c>
      <c r="G8" s="32" t="s">
        <v>79</v>
      </c>
      <c r="H8" s="20" t="s">
        <v>39</v>
      </c>
      <c r="I8" s="31" t="s">
        <v>78</v>
      </c>
      <c r="J8" s="20" t="s">
        <v>37</v>
      </c>
      <c r="K8" s="20">
        <v>1</v>
      </c>
      <c r="L8" s="40" t="s">
        <v>435</v>
      </c>
      <c r="M8" s="20" t="s">
        <v>12</v>
      </c>
      <c r="N8" s="48"/>
      <c r="O8" s="20" t="s">
        <v>37</v>
      </c>
      <c r="P8" s="38" t="s">
        <v>438</v>
      </c>
    </row>
    <row r="9" spans="1:16" s="8" customFormat="1">
      <c r="A9" s="20">
        <f t="shared" si="0"/>
        <v>4</v>
      </c>
      <c r="B9" s="39" t="s">
        <v>95</v>
      </c>
      <c r="C9" s="24" t="s">
        <v>87</v>
      </c>
      <c r="D9" s="38" t="s">
        <v>37</v>
      </c>
      <c r="E9" s="53" t="s">
        <v>38</v>
      </c>
      <c r="F9" s="38" t="s">
        <v>37</v>
      </c>
      <c r="G9" s="62" t="s">
        <v>109</v>
      </c>
      <c r="H9" s="38" t="s">
        <v>39</v>
      </c>
      <c r="I9" s="24" t="s">
        <v>87</v>
      </c>
      <c r="J9" s="38" t="s">
        <v>37</v>
      </c>
      <c r="K9" s="41">
        <v>1</v>
      </c>
      <c r="L9" s="40" t="s">
        <v>435</v>
      </c>
      <c r="M9" s="20" t="s">
        <v>12</v>
      </c>
      <c r="N9" s="54"/>
      <c r="O9" s="38" t="s">
        <v>37</v>
      </c>
      <c r="P9" s="38" t="s">
        <v>438</v>
      </c>
    </row>
    <row r="10" spans="1:16" s="64" customFormat="1" ht="31">
      <c r="A10" s="20">
        <f t="shared" si="0"/>
        <v>5</v>
      </c>
      <c r="B10" s="52" t="s">
        <v>147</v>
      </c>
      <c r="C10" s="98" t="s">
        <v>137</v>
      </c>
      <c r="D10" s="56" t="s">
        <v>53</v>
      </c>
      <c r="E10" s="98" t="s">
        <v>138</v>
      </c>
      <c r="F10" s="56" t="s">
        <v>53</v>
      </c>
      <c r="G10" s="60" t="s">
        <v>139</v>
      </c>
      <c r="H10" s="98" t="s">
        <v>140</v>
      </c>
      <c r="I10" s="98" t="s">
        <v>141</v>
      </c>
      <c r="J10" s="56" t="s">
        <v>53</v>
      </c>
      <c r="K10" s="38">
        <v>1</v>
      </c>
      <c r="L10" s="40" t="s">
        <v>435</v>
      </c>
      <c r="M10" s="20" t="s">
        <v>12</v>
      </c>
      <c r="N10" s="48"/>
      <c r="O10" s="65" t="s">
        <v>58</v>
      </c>
      <c r="P10" s="38" t="s">
        <v>91</v>
      </c>
    </row>
    <row r="11" spans="1:16" s="64" customFormat="1" ht="31">
      <c r="A11" s="20">
        <f t="shared" si="0"/>
        <v>6</v>
      </c>
      <c r="B11" s="52" t="s">
        <v>127</v>
      </c>
      <c r="C11" s="98" t="s">
        <v>142</v>
      </c>
      <c r="D11" s="56" t="s">
        <v>53</v>
      </c>
      <c r="E11" s="98" t="s">
        <v>143</v>
      </c>
      <c r="F11" s="56" t="s">
        <v>53</v>
      </c>
      <c r="G11" s="60" t="s">
        <v>144</v>
      </c>
      <c r="H11" s="98" t="s">
        <v>145</v>
      </c>
      <c r="I11" s="98" t="s">
        <v>146</v>
      </c>
      <c r="J11" s="56" t="s">
        <v>53</v>
      </c>
      <c r="K11" s="24">
        <v>3</v>
      </c>
      <c r="L11" s="40" t="s">
        <v>435</v>
      </c>
      <c r="M11" s="20" t="s">
        <v>12</v>
      </c>
      <c r="N11" s="48"/>
      <c r="O11" s="65" t="s">
        <v>241</v>
      </c>
      <c r="P11" s="38" t="s">
        <v>91</v>
      </c>
    </row>
    <row r="12" spans="1:16">
      <c r="A12" s="20">
        <f t="shared" si="0"/>
        <v>7</v>
      </c>
      <c r="B12" s="33" t="s">
        <v>74</v>
      </c>
      <c r="C12" s="31" t="s">
        <v>88</v>
      </c>
      <c r="D12" s="20" t="s">
        <v>35</v>
      </c>
      <c r="E12" s="20" t="s">
        <v>35</v>
      </c>
      <c r="F12" s="20" t="s">
        <v>12</v>
      </c>
      <c r="G12" s="34" t="s">
        <v>89</v>
      </c>
      <c r="H12" s="31" t="s">
        <v>39</v>
      </c>
      <c r="I12" s="31" t="s">
        <v>88</v>
      </c>
      <c r="J12" s="20" t="s">
        <v>12</v>
      </c>
      <c r="K12" s="20">
        <v>1</v>
      </c>
      <c r="L12" s="40" t="s">
        <v>435</v>
      </c>
      <c r="M12" s="20" t="s">
        <v>12</v>
      </c>
      <c r="N12" s="63" t="s">
        <v>90</v>
      </c>
      <c r="O12" s="30" t="s">
        <v>103</v>
      </c>
      <c r="P12" s="38" t="s">
        <v>438</v>
      </c>
    </row>
    <row r="13" spans="1:16">
      <c r="A13" s="20">
        <f t="shared" si="0"/>
        <v>8</v>
      </c>
      <c r="B13" s="33" t="s">
        <v>40</v>
      </c>
      <c r="C13" s="31" t="s">
        <v>273</v>
      </c>
      <c r="D13" s="20" t="s">
        <v>35</v>
      </c>
      <c r="E13" s="20" t="s">
        <v>35</v>
      </c>
      <c r="F13" s="20" t="s">
        <v>12</v>
      </c>
      <c r="G13" s="34" t="s">
        <v>257</v>
      </c>
      <c r="H13" s="31" t="s">
        <v>91</v>
      </c>
      <c r="I13" s="31" t="s">
        <v>273</v>
      </c>
      <c r="J13" s="20" t="s">
        <v>12</v>
      </c>
      <c r="K13" s="31">
        <v>1</v>
      </c>
      <c r="L13" s="40" t="s">
        <v>435</v>
      </c>
      <c r="M13" s="20" t="s">
        <v>12</v>
      </c>
      <c r="N13" s="63" t="s">
        <v>92</v>
      </c>
      <c r="O13" s="30" t="s">
        <v>103</v>
      </c>
      <c r="P13" s="38" t="s">
        <v>91</v>
      </c>
    </row>
    <row r="14" spans="1:16" s="7" customFormat="1">
      <c r="A14" s="20">
        <f t="shared" si="0"/>
        <v>9</v>
      </c>
      <c r="B14" s="33" t="s">
        <v>41</v>
      </c>
      <c r="C14" s="24" t="s">
        <v>55</v>
      </c>
      <c r="D14" s="38" t="s">
        <v>53</v>
      </c>
      <c r="E14" s="20" t="s">
        <v>35</v>
      </c>
      <c r="F14" s="38" t="s">
        <v>53</v>
      </c>
      <c r="G14" s="60" t="s">
        <v>315</v>
      </c>
      <c r="H14" s="38" t="s">
        <v>56</v>
      </c>
      <c r="I14" s="24" t="s">
        <v>55</v>
      </c>
      <c r="J14" s="38" t="s">
        <v>12</v>
      </c>
      <c r="K14" s="24">
        <v>4</v>
      </c>
      <c r="L14" s="40" t="s">
        <v>435</v>
      </c>
      <c r="M14" s="20" t="s">
        <v>12</v>
      </c>
      <c r="N14" s="44" t="s">
        <v>93</v>
      </c>
      <c r="O14" s="30" t="s">
        <v>103</v>
      </c>
      <c r="P14" s="38" t="s">
        <v>438</v>
      </c>
    </row>
    <row r="15" spans="1:16" s="7" customFormat="1">
      <c r="A15" s="20">
        <f t="shared" si="0"/>
        <v>10</v>
      </c>
      <c r="B15" s="33" t="s">
        <v>42</v>
      </c>
      <c r="C15" s="24" t="s">
        <v>57</v>
      </c>
      <c r="D15" s="38" t="s">
        <v>35</v>
      </c>
      <c r="E15" s="20" t="s">
        <v>35</v>
      </c>
      <c r="F15" s="38" t="s">
        <v>35</v>
      </c>
      <c r="G15" s="60" t="s">
        <v>316</v>
      </c>
      <c r="H15" s="38" t="s">
        <v>94</v>
      </c>
      <c r="I15" s="24" t="s">
        <v>57</v>
      </c>
      <c r="J15" s="38" t="s">
        <v>7</v>
      </c>
      <c r="K15" s="24">
        <v>1</v>
      </c>
      <c r="L15" s="40" t="s">
        <v>435</v>
      </c>
      <c r="M15" s="20" t="s">
        <v>12</v>
      </c>
      <c r="N15" s="44" t="s">
        <v>93</v>
      </c>
      <c r="O15" s="30" t="s">
        <v>103</v>
      </c>
      <c r="P15" s="38" t="s">
        <v>438</v>
      </c>
    </row>
    <row r="17" spans="2:3">
      <c r="B17" s="1" t="s">
        <v>45</v>
      </c>
      <c r="C17" s="10" t="s">
        <v>46</v>
      </c>
    </row>
    <row r="18" spans="2:3">
      <c r="B18" s="16"/>
      <c r="C18" s="14" t="s">
        <v>47</v>
      </c>
    </row>
    <row r="19" spans="2:3">
      <c r="B19" s="16"/>
      <c r="C19" s="18" t="s">
        <v>48</v>
      </c>
    </row>
    <row r="20" spans="2:3">
      <c r="C20" s="19" t="s">
        <v>67</v>
      </c>
    </row>
    <row r="21" spans="2:3" ht="46.5">
      <c r="C21" s="45" t="s">
        <v>68</v>
      </c>
    </row>
  </sheetData>
  <autoFilter ref="A5:P5" xr:uid="{018F61FB-4FDF-4B03-8361-D06D0CE16299}"/>
  <mergeCells count="4">
    <mergeCell ref="A1:M1"/>
    <mergeCell ref="A2:M2"/>
    <mergeCell ref="A3:B3"/>
    <mergeCell ref="A4:B4"/>
  </mergeCells>
  <phoneticPr fontId="16" type="noConversion"/>
  <conditionalFormatting sqref="A1:M15">
    <cfRule type="containsText" dxfId="51" priority="3" operator="containsText" text="TBD">
      <formula>NOT(ISERROR(SEARCH("TBD",A1)))</formula>
    </cfRule>
  </conditionalFormatting>
  <conditionalFormatting sqref="A17:M1048576">
    <cfRule type="containsText" dxfId="50" priority="16" operator="containsText" text="TBD">
      <formula>NOT(ISERROR(SEARCH("TBD",A17)))</formula>
    </cfRule>
  </conditionalFormatting>
  <conditionalFormatting sqref="O1:O15">
    <cfRule type="containsText" dxfId="49" priority="1" operator="containsText" text="TBD">
      <formula>NOT(ISERROR(SEARCH("TBD",O1)))</formula>
    </cfRule>
  </conditionalFormatting>
  <conditionalFormatting sqref="O17:O1048576">
    <cfRule type="containsText" dxfId="48" priority="2" operator="containsText" text="TBD">
      <formula>NOT(ISERROR(SEARCH("TBD",O17)))</formula>
    </cfRule>
  </conditionalFormatting>
  <pageMargins left="0.7" right="0.7" top="0.75" bottom="0.75" header="0.3" footer="0.3"/>
  <pageSetup paperSize="9"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431C-F7A9-4C0B-B841-AEFC835647F1}">
  <sheetPr>
    <tabColor rgb="FFFFC000"/>
  </sheetPr>
  <dimension ref="A1:P22"/>
  <sheetViews>
    <sheetView zoomScale="70" zoomScaleNormal="70" workbookViewId="0">
      <pane ySplit="3" topLeftCell="A4" activePane="bottomLeft" state="frozen"/>
      <selection activeCell="I44" sqref="I44"/>
      <selection pane="bottomLeft" activeCell="L31" sqref="L31"/>
    </sheetView>
  </sheetViews>
  <sheetFormatPr defaultColWidth="9" defaultRowHeight="15.5"/>
  <cols>
    <col min="1" max="1" width="9.36328125" style="6" bestFit="1" customWidth="1"/>
    <col min="2" max="2" width="8.36328125" style="6" bestFit="1" customWidth="1"/>
    <col min="3" max="3" width="23.08984375" style="6" bestFit="1" customWidth="1"/>
    <col min="4" max="4" width="21.90625" style="6" bestFit="1" customWidth="1"/>
    <col min="5" max="5" width="16.90625" style="6" bestFit="1" customWidth="1"/>
    <col min="6" max="6" width="13.6328125" style="6" bestFit="1" customWidth="1"/>
    <col min="7" max="7" width="70.6328125" style="6" customWidth="1"/>
    <col min="8" max="8" width="22.36328125" style="6" customWidth="1"/>
    <col min="9" max="9" width="20.26953125" style="6" bestFit="1" customWidth="1"/>
    <col min="10" max="10" width="16.90625" style="6" bestFit="1" customWidth="1"/>
    <col min="11" max="11" width="13.08984375" style="6" bestFit="1" customWidth="1"/>
    <col min="12" max="13" width="13.08984375" style="6" customWidth="1"/>
    <col min="14" max="14" width="19.26953125" style="6" customWidth="1"/>
    <col min="15" max="15" width="15" style="7" bestFit="1" customWidth="1"/>
    <col min="16" max="16" width="12.453125" style="6" bestFit="1" customWidth="1"/>
    <col min="17" max="16384" width="9" style="6"/>
  </cols>
  <sheetData>
    <row r="1" spans="1:16">
      <c r="A1" s="177" t="s">
        <v>8</v>
      </c>
      <c r="B1" s="178"/>
      <c r="C1" s="178"/>
      <c r="D1" s="178"/>
      <c r="E1" s="178"/>
      <c r="F1" s="178"/>
      <c r="G1" s="178"/>
      <c r="H1" s="178"/>
      <c r="I1" s="178"/>
      <c r="J1" s="178"/>
      <c r="K1" s="178"/>
      <c r="L1" s="178"/>
      <c r="M1" s="178"/>
      <c r="N1" s="20"/>
      <c r="O1" s="20"/>
      <c r="P1" s="20"/>
    </row>
    <row r="2" spans="1:16">
      <c r="A2" s="177" t="s">
        <v>9</v>
      </c>
      <c r="B2" s="177"/>
      <c r="C2" s="177"/>
      <c r="D2" s="177"/>
      <c r="E2" s="177"/>
      <c r="F2" s="177"/>
      <c r="G2" s="177"/>
      <c r="H2" s="177"/>
      <c r="I2" s="177"/>
      <c r="J2" s="177"/>
      <c r="K2" s="177"/>
      <c r="L2" s="177"/>
      <c r="M2" s="177"/>
      <c r="N2" s="20"/>
      <c r="O2" s="20"/>
      <c r="P2" s="20"/>
    </row>
    <row r="3" spans="1:16" s="8" customFormat="1">
      <c r="A3" s="173" t="s">
        <v>10</v>
      </c>
      <c r="B3" s="173"/>
      <c r="C3" s="46" t="str">
        <f>C6</f>
        <v>1A72CH900-600-G</v>
      </c>
      <c r="D3" s="25" t="s">
        <v>11</v>
      </c>
      <c r="E3" s="21" t="s">
        <v>12</v>
      </c>
      <c r="F3" s="25" t="s">
        <v>13</v>
      </c>
      <c r="G3" s="25"/>
      <c r="H3" s="25"/>
      <c r="I3" s="25"/>
      <c r="J3" s="25"/>
      <c r="K3" s="25"/>
      <c r="L3" s="25"/>
      <c r="M3" s="25"/>
      <c r="N3" s="38"/>
      <c r="O3" s="21"/>
      <c r="P3" s="38"/>
    </row>
    <row r="4" spans="1:16" s="8" customFormat="1">
      <c r="A4" s="173" t="s">
        <v>14</v>
      </c>
      <c r="B4" s="173"/>
      <c r="C4" s="35" t="str">
        <f>E6</f>
        <v>TBD</v>
      </c>
      <c r="D4" s="25" t="s">
        <v>15</v>
      </c>
      <c r="E4" s="21" t="s">
        <v>12</v>
      </c>
      <c r="F4" s="25" t="s">
        <v>16</v>
      </c>
      <c r="G4" s="34" t="s">
        <v>176</v>
      </c>
      <c r="H4" s="25"/>
      <c r="I4" s="25"/>
      <c r="J4" s="25"/>
      <c r="K4" s="25"/>
      <c r="L4" s="25"/>
      <c r="M4" s="25"/>
      <c r="N4" s="88"/>
      <c r="O4" s="21"/>
      <c r="P4" s="38"/>
    </row>
    <row r="5" spans="1:16" s="23" customFormat="1" ht="31">
      <c r="A5" s="22" t="s">
        <v>17</v>
      </c>
      <c r="B5" s="22" t="s">
        <v>18</v>
      </c>
      <c r="C5" s="22" t="s">
        <v>19</v>
      </c>
      <c r="D5" s="22" t="s">
        <v>20</v>
      </c>
      <c r="E5" s="22" t="s">
        <v>21</v>
      </c>
      <c r="F5" s="22" t="s">
        <v>22</v>
      </c>
      <c r="G5" s="22" t="s">
        <v>23</v>
      </c>
      <c r="H5" s="22" t="s">
        <v>24</v>
      </c>
      <c r="I5" s="22" t="s">
        <v>25</v>
      </c>
      <c r="J5" s="22" t="s">
        <v>26</v>
      </c>
      <c r="K5" s="22" t="s">
        <v>27</v>
      </c>
      <c r="L5" s="22" t="s">
        <v>434</v>
      </c>
      <c r="M5" s="22" t="s">
        <v>436</v>
      </c>
      <c r="N5" s="22" t="s">
        <v>28</v>
      </c>
      <c r="O5" s="22" t="s">
        <v>62</v>
      </c>
      <c r="P5" s="22" t="s">
        <v>437</v>
      </c>
    </row>
    <row r="6" spans="1:16">
      <c r="A6" s="20">
        <f>ROW(A6)-5</f>
        <v>1</v>
      </c>
      <c r="B6" s="33" t="s">
        <v>29</v>
      </c>
      <c r="C6" s="31" t="s">
        <v>336</v>
      </c>
      <c r="D6" s="20" t="s">
        <v>35</v>
      </c>
      <c r="E6" s="31" t="s">
        <v>34</v>
      </c>
      <c r="F6" s="20" t="s">
        <v>12</v>
      </c>
      <c r="G6" s="34" t="s">
        <v>176</v>
      </c>
      <c r="H6" s="20" t="s">
        <v>31</v>
      </c>
      <c r="I6" s="31" t="str">
        <f>C6</f>
        <v>1A72CH900-600-G</v>
      </c>
      <c r="J6" s="20" t="s">
        <v>12</v>
      </c>
      <c r="K6" s="20">
        <v>1</v>
      </c>
      <c r="L6" s="40" t="s">
        <v>435</v>
      </c>
      <c r="M6" s="20" t="s">
        <v>12</v>
      </c>
      <c r="N6" s="97"/>
      <c r="O6" s="20" t="s">
        <v>30</v>
      </c>
      <c r="P6" s="38" t="s">
        <v>438</v>
      </c>
    </row>
    <row r="7" spans="1:16" s="8" customFormat="1">
      <c r="A7" s="20">
        <f t="shared" ref="A7:A15" si="0">ROW(A7)-5</f>
        <v>2</v>
      </c>
      <c r="B7" s="39" t="s">
        <v>33</v>
      </c>
      <c r="C7" s="24" t="s">
        <v>201</v>
      </c>
      <c r="D7" s="40" t="s">
        <v>12</v>
      </c>
      <c r="E7" s="40" t="s">
        <v>34</v>
      </c>
      <c r="F7" s="40" t="s">
        <v>12</v>
      </c>
      <c r="G7" s="67" t="s">
        <v>173</v>
      </c>
      <c r="H7" s="41" t="s">
        <v>31</v>
      </c>
      <c r="I7" s="24" t="str">
        <f>C7</f>
        <v>1A72CHC00-600-G</v>
      </c>
      <c r="J7" s="40" t="s">
        <v>12</v>
      </c>
      <c r="K7" s="40">
        <v>1</v>
      </c>
      <c r="L7" s="40" t="s">
        <v>435</v>
      </c>
      <c r="M7" s="20" t="s">
        <v>12</v>
      </c>
      <c r="N7" s="61"/>
      <c r="O7" s="38" t="s">
        <v>64</v>
      </c>
      <c r="P7" s="38" t="s">
        <v>438</v>
      </c>
    </row>
    <row r="8" spans="1:16">
      <c r="A8" s="20">
        <f t="shared" si="0"/>
        <v>3</v>
      </c>
      <c r="B8" s="39" t="s">
        <v>70</v>
      </c>
      <c r="C8" s="31" t="s">
        <v>78</v>
      </c>
      <c r="D8" s="20" t="s">
        <v>37</v>
      </c>
      <c r="E8" s="31" t="s">
        <v>405</v>
      </c>
      <c r="F8" s="20" t="s">
        <v>37</v>
      </c>
      <c r="G8" s="32" t="s">
        <v>79</v>
      </c>
      <c r="H8" s="20" t="s">
        <v>39</v>
      </c>
      <c r="I8" s="31" t="s">
        <v>78</v>
      </c>
      <c r="J8" s="20" t="s">
        <v>37</v>
      </c>
      <c r="K8" s="20">
        <v>1</v>
      </c>
      <c r="L8" s="40" t="s">
        <v>435</v>
      </c>
      <c r="M8" s="20" t="s">
        <v>12</v>
      </c>
      <c r="N8" s="48"/>
      <c r="O8" s="20" t="s">
        <v>37</v>
      </c>
      <c r="P8" s="38" t="s">
        <v>438</v>
      </c>
    </row>
    <row r="9" spans="1:16" s="8" customFormat="1">
      <c r="A9" s="20">
        <f t="shared" si="0"/>
        <v>4</v>
      </c>
      <c r="B9" s="39" t="s">
        <v>95</v>
      </c>
      <c r="C9" s="24" t="s">
        <v>87</v>
      </c>
      <c r="D9" s="38" t="s">
        <v>37</v>
      </c>
      <c r="E9" s="53" t="s">
        <v>38</v>
      </c>
      <c r="F9" s="38" t="s">
        <v>37</v>
      </c>
      <c r="G9" s="62" t="s">
        <v>109</v>
      </c>
      <c r="H9" s="38" t="s">
        <v>39</v>
      </c>
      <c r="I9" s="24" t="s">
        <v>87</v>
      </c>
      <c r="J9" s="38" t="s">
        <v>37</v>
      </c>
      <c r="K9" s="41">
        <v>1</v>
      </c>
      <c r="L9" s="40" t="s">
        <v>435</v>
      </c>
      <c r="M9" s="20" t="s">
        <v>12</v>
      </c>
      <c r="N9" s="54"/>
      <c r="O9" s="38" t="s">
        <v>37</v>
      </c>
      <c r="P9" s="38" t="s">
        <v>438</v>
      </c>
    </row>
    <row r="10" spans="1:16" s="64" customFormat="1" ht="31">
      <c r="A10" s="20">
        <f t="shared" si="0"/>
        <v>5</v>
      </c>
      <c r="B10" s="52" t="s">
        <v>71</v>
      </c>
      <c r="C10" s="98" t="s">
        <v>137</v>
      </c>
      <c r="D10" s="56" t="s">
        <v>53</v>
      </c>
      <c r="E10" s="98" t="s">
        <v>138</v>
      </c>
      <c r="F10" s="56" t="s">
        <v>53</v>
      </c>
      <c r="G10" s="60" t="s">
        <v>139</v>
      </c>
      <c r="H10" s="98" t="s">
        <v>140</v>
      </c>
      <c r="I10" s="98" t="s">
        <v>141</v>
      </c>
      <c r="J10" s="56" t="s">
        <v>53</v>
      </c>
      <c r="K10" s="38">
        <v>1</v>
      </c>
      <c r="L10" s="40" t="s">
        <v>435</v>
      </c>
      <c r="M10" s="20" t="s">
        <v>12</v>
      </c>
      <c r="N10" s="48"/>
      <c r="O10" s="65" t="s">
        <v>58</v>
      </c>
      <c r="P10" s="38" t="s">
        <v>91</v>
      </c>
    </row>
    <row r="11" spans="1:16" s="64" customFormat="1" ht="31">
      <c r="A11" s="20">
        <f t="shared" si="0"/>
        <v>6</v>
      </c>
      <c r="B11" s="52" t="s">
        <v>72</v>
      </c>
      <c r="C11" s="98" t="s">
        <v>142</v>
      </c>
      <c r="D11" s="56" t="s">
        <v>53</v>
      </c>
      <c r="E11" s="98" t="s">
        <v>143</v>
      </c>
      <c r="F11" s="56" t="s">
        <v>53</v>
      </c>
      <c r="G11" s="60" t="s">
        <v>144</v>
      </c>
      <c r="H11" s="98" t="s">
        <v>145</v>
      </c>
      <c r="I11" s="98" t="s">
        <v>146</v>
      </c>
      <c r="J11" s="56" t="s">
        <v>53</v>
      </c>
      <c r="K11" s="24">
        <v>3</v>
      </c>
      <c r="L11" s="40" t="s">
        <v>435</v>
      </c>
      <c r="M11" s="20" t="s">
        <v>12</v>
      </c>
      <c r="N11" s="48"/>
      <c r="O11" s="65" t="s">
        <v>58</v>
      </c>
      <c r="P11" s="38" t="s">
        <v>91</v>
      </c>
    </row>
    <row r="12" spans="1:16">
      <c r="A12" s="20">
        <f t="shared" si="0"/>
        <v>7</v>
      </c>
      <c r="B12" s="33" t="s">
        <v>74</v>
      </c>
      <c r="C12" s="31" t="s">
        <v>88</v>
      </c>
      <c r="D12" s="20" t="s">
        <v>35</v>
      </c>
      <c r="E12" s="38" t="s">
        <v>53</v>
      </c>
      <c r="F12" s="20" t="s">
        <v>12</v>
      </c>
      <c r="G12" s="34" t="s">
        <v>89</v>
      </c>
      <c r="H12" s="31" t="s">
        <v>39</v>
      </c>
      <c r="I12" s="31" t="s">
        <v>88</v>
      </c>
      <c r="J12" s="20" t="s">
        <v>12</v>
      </c>
      <c r="K12" s="20">
        <v>1</v>
      </c>
      <c r="L12" s="40" t="s">
        <v>435</v>
      </c>
      <c r="M12" s="20" t="s">
        <v>12</v>
      </c>
      <c r="N12" s="63" t="s">
        <v>90</v>
      </c>
      <c r="O12" s="30" t="s">
        <v>103</v>
      </c>
      <c r="P12" s="38" t="s">
        <v>438</v>
      </c>
    </row>
    <row r="13" spans="1:16">
      <c r="A13" s="20">
        <f t="shared" si="0"/>
        <v>8</v>
      </c>
      <c r="B13" s="33" t="s">
        <v>40</v>
      </c>
      <c r="C13" s="31" t="s">
        <v>273</v>
      </c>
      <c r="D13" s="20" t="s">
        <v>35</v>
      </c>
      <c r="E13" s="38" t="s">
        <v>53</v>
      </c>
      <c r="F13" s="20" t="s">
        <v>12</v>
      </c>
      <c r="G13" s="34" t="s">
        <v>257</v>
      </c>
      <c r="H13" s="31" t="s">
        <v>91</v>
      </c>
      <c r="I13" s="31" t="s">
        <v>273</v>
      </c>
      <c r="J13" s="20" t="s">
        <v>12</v>
      </c>
      <c r="K13" s="31">
        <v>1</v>
      </c>
      <c r="L13" s="40" t="s">
        <v>435</v>
      </c>
      <c r="M13" s="20" t="s">
        <v>12</v>
      </c>
      <c r="N13" s="63" t="s">
        <v>92</v>
      </c>
      <c r="O13" s="30" t="s">
        <v>103</v>
      </c>
      <c r="P13" s="38" t="s">
        <v>91</v>
      </c>
    </row>
    <row r="14" spans="1:16" s="7" customFormat="1">
      <c r="A14" s="20">
        <f t="shared" si="0"/>
        <v>9</v>
      </c>
      <c r="B14" s="33" t="s">
        <v>41</v>
      </c>
      <c r="C14" s="24" t="s">
        <v>55</v>
      </c>
      <c r="D14" s="38" t="s">
        <v>53</v>
      </c>
      <c r="E14" s="38" t="s">
        <v>53</v>
      </c>
      <c r="F14" s="38" t="s">
        <v>53</v>
      </c>
      <c r="G14" s="60" t="s">
        <v>315</v>
      </c>
      <c r="H14" s="38" t="s">
        <v>56</v>
      </c>
      <c r="I14" s="24" t="s">
        <v>55</v>
      </c>
      <c r="J14" s="38" t="s">
        <v>12</v>
      </c>
      <c r="K14" s="24">
        <v>4</v>
      </c>
      <c r="L14" s="40" t="s">
        <v>435</v>
      </c>
      <c r="M14" s="20" t="s">
        <v>12</v>
      </c>
      <c r="N14" s="44" t="s">
        <v>93</v>
      </c>
      <c r="O14" s="30" t="s">
        <v>103</v>
      </c>
      <c r="P14" s="38" t="s">
        <v>438</v>
      </c>
    </row>
    <row r="15" spans="1:16" s="7" customFormat="1">
      <c r="A15" s="20">
        <f t="shared" si="0"/>
        <v>10</v>
      </c>
      <c r="B15" s="33" t="s">
        <v>42</v>
      </c>
      <c r="C15" s="24" t="s">
        <v>57</v>
      </c>
      <c r="D15" s="38" t="s">
        <v>35</v>
      </c>
      <c r="E15" s="38" t="s">
        <v>53</v>
      </c>
      <c r="F15" s="38" t="s">
        <v>35</v>
      </c>
      <c r="G15" s="60" t="s">
        <v>316</v>
      </c>
      <c r="H15" s="38" t="s">
        <v>94</v>
      </c>
      <c r="I15" s="24" t="s">
        <v>57</v>
      </c>
      <c r="J15" s="38" t="s">
        <v>7</v>
      </c>
      <c r="K15" s="24">
        <v>1</v>
      </c>
      <c r="L15" s="40" t="s">
        <v>435</v>
      </c>
      <c r="M15" s="20" t="s">
        <v>12</v>
      </c>
      <c r="N15" s="44" t="s">
        <v>93</v>
      </c>
      <c r="O15" s="30" t="s">
        <v>103</v>
      </c>
      <c r="P15" s="38" t="s">
        <v>438</v>
      </c>
    </row>
    <row r="18" spans="2:3">
      <c r="B18" s="1" t="s">
        <v>45</v>
      </c>
      <c r="C18" s="10" t="s">
        <v>46</v>
      </c>
    </row>
    <row r="19" spans="2:3">
      <c r="B19" s="16"/>
      <c r="C19" s="14" t="s">
        <v>47</v>
      </c>
    </row>
    <row r="20" spans="2:3">
      <c r="B20" s="16"/>
      <c r="C20" s="18" t="s">
        <v>48</v>
      </c>
    </row>
    <row r="21" spans="2:3">
      <c r="C21" s="19" t="s">
        <v>67</v>
      </c>
    </row>
    <row r="22" spans="2:3" ht="46.5">
      <c r="C22" s="45" t="s">
        <v>68</v>
      </c>
    </row>
  </sheetData>
  <autoFilter ref="A5:P5" xr:uid="{5F6A431C-F7A9-4C0B-B841-AEFC835647F1}"/>
  <mergeCells count="4">
    <mergeCell ref="A1:M1"/>
    <mergeCell ref="A2:M2"/>
    <mergeCell ref="A3:B3"/>
    <mergeCell ref="A4:B4"/>
  </mergeCells>
  <phoneticPr fontId="16" type="noConversion"/>
  <conditionalFormatting sqref="A23:F1048576">
    <cfRule type="containsText" dxfId="47" priority="67" operator="containsText" text="TBD">
      <formula>NOT(ISERROR(SEARCH("TBD",A23)))</formula>
    </cfRule>
  </conditionalFormatting>
  <conditionalFormatting sqref="A1:M4 A5:K6 A7:A15">
    <cfRule type="containsText" dxfId="46" priority="55" operator="containsText" text="TBD">
      <formula>NOT(ISERROR(SEARCH("TBD",A1)))</formula>
    </cfRule>
  </conditionalFormatting>
  <conditionalFormatting sqref="B10:K15">
    <cfRule type="containsText" dxfId="45" priority="10" operator="containsText" text="TBD">
      <formula>NOT(ISERROR(SEARCH("TBD",B10)))</formula>
    </cfRule>
  </conditionalFormatting>
  <conditionalFormatting sqref="C3">
    <cfRule type="cellIs" dxfId="44" priority="54" operator="equal">
      <formula>"NA"</formula>
    </cfRule>
  </conditionalFormatting>
  <conditionalFormatting sqref="C6">
    <cfRule type="cellIs" dxfId="43" priority="15" operator="equal">
      <formula>"NA"</formula>
    </cfRule>
  </conditionalFormatting>
  <conditionalFormatting sqref="C7">
    <cfRule type="containsText" dxfId="42" priority="11" operator="containsText" text="TBD">
      <formula>NOT(ISERROR(SEARCH("TBD",C7)))</formula>
    </cfRule>
  </conditionalFormatting>
  <conditionalFormatting sqref="C8:C9">
    <cfRule type="cellIs" dxfId="41" priority="50" operator="equal">
      <formula>"NA"</formula>
    </cfRule>
  </conditionalFormatting>
  <conditionalFormatting sqref="C16:C17">
    <cfRule type="containsText" dxfId="40" priority="45" operator="containsText" text="TBD">
      <formula>NOT(ISERROR(SEARCH("TBD",C16)))</formula>
    </cfRule>
    <cfRule type="cellIs" dxfId="39" priority="46" operator="equal">
      <formula>"NA"</formula>
    </cfRule>
  </conditionalFormatting>
  <conditionalFormatting sqref="C16:C21 C9">
    <cfRule type="containsText" dxfId="38" priority="47" operator="containsText" text="TBD">
      <formula>NOT(ISERROR(SEARCH("TBD",C9)))</formula>
    </cfRule>
  </conditionalFormatting>
  <conditionalFormatting sqref="C8:D8">
    <cfRule type="containsText" dxfId="37" priority="53" operator="containsText" text="TBD">
      <formula>NOT(ISERROR(SEARCH("TBD",C8)))</formula>
    </cfRule>
  </conditionalFormatting>
  <conditionalFormatting sqref="C9:F9">
    <cfRule type="containsText" dxfId="36" priority="51" operator="containsText" text="TBD">
      <formula>NOT(ISERROR(SEARCH("TBD",C9)))</formula>
    </cfRule>
  </conditionalFormatting>
  <conditionalFormatting sqref="D7:F7 B7:B9">
    <cfRule type="containsText" dxfId="35" priority="16" operator="containsText" text="TBD">
      <formula>NOT(ISERROR(SEARCH("TBD",B7)))</formula>
    </cfRule>
  </conditionalFormatting>
  <conditionalFormatting sqref="D16:F22 G16:M1048576">
    <cfRule type="containsText" dxfId="34" priority="48" operator="containsText" text="TBD">
      <formula>NOT(ISERROR(SEARCH("TBD",D16)))</formula>
    </cfRule>
  </conditionalFormatting>
  <conditionalFormatting sqref="E5:E6 H5:I6">
    <cfRule type="cellIs" dxfId="33" priority="62" operator="equal">
      <formula>"NA"</formula>
    </cfRule>
  </conditionalFormatting>
  <conditionalFormatting sqref="E7">
    <cfRule type="containsText" dxfId="32" priority="14" operator="containsText" text="NA">
      <formula>NOT(ISERROR(SEARCH("NA",E7)))</formula>
    </cfRule>
  </conditionalFormatting>
  <conditionalFormatting sqref="E8">
    <cfRule type="containsText" dxfId="31" priority="9" operator="containsText" text="TBD">
      <formula>NOT(ISERROR(SEARCH("TBD",E8)))</formula>
    </cfRule>
  </conditionalFormatting>
  <conditionalFormatting sqref="E9">
    <cfRule type="cellIs" dxfId="30" priority="60" operator="equal">
      <formula>"NA"</formula>
    </cfRule>
  </conditionalFormatting>
  <conditionalFormatting sqref="E16:E17 H16:I17 H8:I9">
    <cfRule type="cellIs" dxfId="29" priority="49" operator="equal">
      <formula>"NA"</formula>
    </cfRule>
  </conditionalFormatting>
  <conditionalFormatting sqref="F8:K8">
    <cfRule type="containsText" dxfId="28" priority="52" operator="containsText" text="TBD">
      <formula>NOT(ISERROR(SEARCH("TBD",F8)))</formula>
    </cfRule>
  </conditionalFormatting>
  <conditionalFormatting sqref="G7">
    <cfRule type="containsText" dxfId="27" priority="12" operator="containsText" text="TBD">
      <formula>NOT(ISERROR(SEARCH("TBD",G7)))</formula>
    </cfRule>
  </conditionalFormatting>
  <conditionalFormatting sqref="G9:K9">
    <cfRule type="containsText" dxfId="26" priority="25" operator="containsText" text="TBD">
      <formula>NOT(ISERROR(SEARCH("TBD",G9)))</formula>
    </cfRule>
  </conditionalFormatting>
  <conditionalFormatting sqref="H7">
    <cfRule type="containsText" dxfId="25" priority="19" operator="containsText" text="NA">
      <formula>NOT(ISERROR(SEARCH("NA",H7)))</formula>
    </cfRule>
    <cfRule type="containsText" dxfId="24" priority="20" operator="containsText" text="TBD">
      <formula>NOT(ISERROR(SEARCH("TBD",H7)))</formula>
    </cfRule>
  </conditionalFormatting>
  <conditionalFormatting sqref="I6:I7">
    <cfRule type="cellIs" dxfId="23" priority="17" operator="equal">
      <formula>"NA"</formula>
    </cfRule>
  </conditionalFormatting>
  <conditionalFormatting sqref="I7:K7">
    <cfRule type="containsText" dxfId="22" priority="18" operator="containsText" text="TBD">
      <formula>NOT(ISERROR(SEARCH("TBD",I7)))</formula>
    </cfRule>
  </conditionalFormatting>
  <conditionalFormatting sqref="L5:M15">
    <cfRule type="containsText" dxfId="21" priority="1" operator="containsText" text="TBD">
      <formula>NOT(ISERROR(SEARCH("TBD",L5)))</formula>
    </cfRule>
  </conditionalFormatting>
  <conditionalFormatting sqref="N10:N11 A16:B22">
    <cfRule type="containsText" dxfId="20" priority="44" operator="containsText" text="TBD">
      <formula>NOT(ISERROR(SEARCH("TBD",A10)))</formula>
    </cfRule>
  </conditionalFormatting>
  <conditionalFormatting sqref="O1:O1048576">
    <cfRule type="containsText" dxfId="19" priority="3" operator="containsText" text="TBD">
      <formula>NOT(ISERROR(SEARCH("TBD",O1)))</formula>
    </cfRule>
  </conditionalFormatting>
  <pageMargins left="0.7" right="0.7" top="0.75" bottom="0.75" header="0.3" footer="0.3"/>
  <pageSetup paperSize="9" orientation="portrait" horizontalDpi="1200" verticalDpi="12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113E8-E720-4173-B7E0-4C054218CB4D}">
  <sheetPr>
    <tabColor rgb="FF0070C0"/>
  </sheetPr>
  <dimension ref="A1:P37"/>
  <sheetViews>
    <sheetView topLeftCell="G1" zoomScale="85" zoomScaleNormal="85" workbookViewId="0">
      <pane ySplit="5" topLeftCell="A6" activePane="bottomLeft" state="frozen"/>
      <selection activeCell="I44" sqref="I44"/>
      <selection pane="bottomLeft" activeCell="N27" sqref="N27"/>
    </sheetView>
  </sheetViews>
  <sheetFormatPr defaultColWidth="9" defaultRowHeight="15.5"/>
  <cols>
    <col min="1" max="1" width="9.36328125" style="6" bestFit="1" customWidth="1"/>
    <col min="2" max="2" width="8.36328125" style="6" bestFit="1" customWidth="1"/>
    <col min="3" max="3" width="27.36328125" style="6" bestFit="1" customWidth="1"/>
    <col min="4" max="4" width="21.90625" style="6" bestFit="1" customWidth="1"/>
    <col min="5" max="5" width="16.90625" style="6" bestFit="1" customWidth="1"/>
    <col min="6" max="6" width="13.6328125" style="6" customWidth="1"/>
    <col min="7" max="7" width="85.7265625" style="6" customWidth="1"/>
    <col min="8" max="8" width="16.90625" style="6" customWidth="1"/>
    <col min="9" max="9" width="27.36328125" style="6" bestFit="1" customWidth="1"/>
    <col min="10" max="10" width="16.90625" style="6" bestFit="1" customWidth="1"/>
    <col min="11" max="11" width="13.08984375" style="6" bestFit="1" customWidth="1"/>
    <col min="12" max="13" width="13.08984375" style="6" customWidth="1"/>
    <col min="14" max="14" width="41.453125" style="6" bestFit="1" customWidth="1"/>
    <col min="15" max="15" width="14.36328125" style="7" bestFit="1" customWidth="1"/>
    <col min="16" max="16" width="13.7265625" style="6" bestFit="1" customWidth="1"/>
    <col min="17" max="17" width="9" style="6" customWidth="1"/>
    <col min="18" max="16384" width="9" style="6"/>
  </cols>
  <sheetData>
    <row r="1" spans="1:16">
      <c r="A1" s="177" t="s">
        <v>8</v>
      </c>
      <c r="B1" s="178"/>
      <c r="C1" s="178"/>
      <c r="D1" s="178"/>
      <c r="E1" s="178"/>
      <c r="F1" s="178"/>
      <c r="G1" s="178"/>
      <c r="H1" s="178"/>
      <c r="I1" s="178"/>
      <c r="J1" s="178"/>
      <c r="K1" s="178"/>
      <c r="L1" s="178"/>
      <c r="M1" s="178"/>
      <c r="O1" s="6"/>
    </row>
    <row r="2" spans="1:16">
      <c r="A2" s="177" t="s">
        <v>9</v>
      </c>
      <c r="B2" s="177"/>
      <c r="C2" s="177"/>
      <c r="D2" s="177"/>
      <c r="E2" s="177"/>
      <c r="F2" s="177"/>
      <c r="G2" s="177"/>
      <c r="H2" s="177"/>
      <c r="I2" s="177"/>
      <c r="J2" s="177"/>
      <c r="K2" s="177"/>
      <c r="L2" s="177"/>
      <c r="M2" s="177"/>
      <c r="O2" s="6"/>
    </row>
    <row r="3" spans="1:16" s="47" customFormat="1">
      <c r="A3" s="173" t="s">
        <v>10</v>
      </c>
      <c r="B3" s="173"/>
      <c r="C3" s="22" t="str">
        <f>C6</f>
        <v>1A72BSP00-600-GMR</v>
      </c>
      <c r="D3" s="25" t="s">
        <v>11</v>
      </c>
      <c r="E3" s="21" t="s">
        <v>12</v>
      </c>
      <c r="F3" s="25"/>
      <c r="G3" s="25"/>
      <c r="H3" s="25"/>
      <c r="I3" s="25"/>
      <c r="J3" s="25"/>
      <c r="K3" s="25"/>
      <c r="L3" s="25"/>
      <c r="M3" s="25"/>
      <c r="N3" s="8"/>
      <c r="O3" s="25"/>
    </row>
    <row r="4" spans="1:16" s="8" customFormat="1">
      <c r="A4" s="173" t="s">
        <v>14</v>
      </c>
      <c r="B4" s="173"/>
      <c r="C4" s="35" t="str">
        <f>E6</f>
        <v>54-100090</v>
      </c>
      <c r="D4" s="25" t="s">
        <v>15</v>
      </c>
      <c r="E4" s="21" t="s">
        <v>12</v>
      </c>
      <c r="F4" s="25" t="s">
        <v>16</v>
      </c>
      <c r="G4" s="62" t="s">
        <v>363</v>
      </c>
      <c r="H4" s="25"/>
      <c r="I4" s="25"/>
      <c r="J4" s="25"/>
      <c r="K4" s="25"/>
      <c r="L4" s="25"/>
      <c r="M4" s="25"/>
      <c r="N4" s="37"/>
      <c r="O4" s="21"/>
    </row>
    <row r="5" spans="1:16" s="23" customFormat="1" ht="31">
      <c r="A5" s="22" t="s">
        <v>82</v>
      </c>
      <c r="B5" s="22" t="s">
        <v>18</v>
      </c>
      <c r="C5" s="22" t="s">
        <v>19</v>
      </c>
      <c r="D5" s="22" t="s">
        <v>20</v>
      </c>
      <c r="E5" s="22" t="s">
        <v>21</v>
      </c>
      <c r="F5" s="22" t="s">
        <v>22</v>
      </c>
      <c r="G5" s="22" t="s">
        <v>23</v>
      </c>
      <c r="H5" s="22" t="s">
        <v>24</v>
      </c>
      <c r="I5" s="22" t="s">
        <v>25</v>
      </c>
      <c r="J5" s="22" t="s">
        <v>26</v>
      </c>
      <c r="K5" s="22" t="s">
        <v>27</v>
      </c>
      <c r="L5" s="22" t="s">
        <v>434</v>
      </c>
      <c r="M5" s="22" t="s">
        <v>436</v>
      </c>
      <c r="N5" s="22" t="s">
        <v>28</v>
      </c>
      <c r="O5" s="22" t="s">
        <v>62</v>
      </c>
      <c r="P5" s="22" t="s">
        <v>437</v>
      </c>
    </row>
    <row r="6" spans="1:16" s="8" customFormat="1">
      <c r="A6" s="38">
        <f>ROW(A6)-5</f>
        <v>1</v>
      </c>
      <c r="B6" s="52" t="s">
        <v>63</v>
      </c>
      <c r="C6" s="24" t="s">
        <v>362</v>
      </c>
      <c r="D6" s="38" t="s">
        <v>12</v>
      </c>
      <c r="E6" s="53" t="s">
        <v>410</v>
      </c>
      <c r="F6" s="38" t="s">
        <v>12</v>
      </c>
      <c r="G6" s="62" t="s">
        <v>364</v>
      </c>
      <c r="H6" s="38" t="s">
        <v>31</v>
      </c>
      <c r="I6" s="24" t="str">
        <f>C6</f>
        <v>1A72BSP00-600-GMR</v>
      </c>
      <c r="J6" s="38" t="s">
        <v>12</v>
      </c>
      <c r="K6" s="41">
        <v>1</v>
      </c>
      <c r="L6" s="40" t="s">
        <v>435</v>
      </c>
      <c r="M6" s="20" t="s">
        <v>12</v>
      </c>
      <c r="N6" s="54" t="s">
        <v>32</v>
      </c>
      <c r="O6" s="38" t="s">
        <v>37</v>
      </c>
      <c r="P6" s="38" t="s">
        <v>438</v>
      </c>
    </row>
    <row r="7" spans="1:16" s="55" customFormat="1">
      <c r="A7" s="38">
        <f t="shared" ref="A7:A31" si="0">ROW(A7)-5</f>
        <v>2</v>
      </c>
      <c r="B7" s="78" t="s">
        <v>33</v>
      </c>
      <c r="C7" s="24" t="s">
        <v>126</v>
      </c>
      <c r="D7" s="38" t="s">
        <v>37</v>
      </c>
      <c r="E7" s="43" t="s">
        <v>287</v>
      </c>
      <c r="F7" s="38" t="s">
        <v>37</v>
      </c>
      <c r="G7" s="44" t="s">
        <v>185</v>
      </c>
      <c r="H7" s="43" t="s">
        <v>83</v>
      </c>
      <c r="I7" s="42" t="s">
        <v>260</v>
      </c>
      <c r="J7" s="38" t="s">
        <v>37</v>
      </c>
      <c r="K7" s="79">
        <v>1</v>
      </c>
      <c r="L7" s="40" t="s">
        <v>435</v>
      </c>
      <c r="M7" s="20" t="s">
        <v>12</v>
      </c>
      <c r="N7" s="80"/>
      <c r="O7" s="38" t="s">
        <v>59</v>
      </c>
      <c r="P7" s="38" t="s">
        <v>91</v>
      </c>
    </row>
    <row r="8" spans="1:16" s="55" customFormat="1">
      <c r="A8" s="38">
        <f t="shared" si="0"/>
        <v>3</v>
      </c>
      <c r="B8" s="78" t="s">
        <v>49</v>
      </c>
      <c r="C8" s="24" t="s">
        <v>217</v>
      </c>
      <c r="D8" s="38" t="s">
        <v>37</v>
      </c>
      <c r="E8" s="43" t="s">
        <v>160</v>
      </c>
      <c r="F8" s="38" t="s">
        <v>37</v>
      </c>
      <c r="G8" s="44" t="s">
        <v>159</v>
      </c>
      <c r="H8" s="42" t="s">
        <v>213</v>
      </c>
      <c r="I8" s="43" t="s">
        <v>161</v>
      </c>
      <c r="J8" s="38" t="s">
        <v>37</v>
      </c>
      <c r="K8" s="79">
        <v>1</v>
      </c>
      <c r="L8" s="40" t="s">
        <v>435</v>
      </c>
      <c r="M8" s="20" t="s">
        <v>12</v>
      </c>
      <c r="N8" s="80"/>
      <c r="O8" s="38" t="s">
        <v>61</v>
      </c>
      <c r="P8" s="38" t="s">
        <v>91</v>
      </c>
    </row>
    <row r="9" spans="1:16" s="16" customFormat="1">
      <c r="A9" s="38">
        <f t="shared" si="0"/>
        <v>4</v>
      </c>
      <c r="B9" s="33" t="s">
        <v>50</v>
      </c>
      <c r="C9" s="42" t="s">
        <v>129</v>
      </c>
      <c r="D9" s="38" t="s">
        <v>30</v>
      </c>
      <c r="E9" s="43" t="s">
        <v>130</v>
      </c>
      <c r="F9" s="38" t="s">
        <v>12</v>
      </c>
      <c r="G9" s="96" t="s">
        <v>128</v>
      </c>
      <c r="H9" s="43" t="s">
        <v>43</v>
      </c>
      <c r="I9" s="43" t="s">
        <v>131</v>
      </c>
      <c r="J9" s="38" t="s">
        <v>12</v>
      </c>
      <c r="K9" s="38">
        <v>1</v>
      </c>
      <c r="L9" s="40" t="s">
        <v>435</v>
      </c>
      <c r="M9" s="20" t="s">
        <v>12</v>
      </c>
      <c r="N9" s="80" t="s">
        <v>84</v>
      </c>
      <c r="O9" s="20" t="s">
        <v>59</v>
      </c>
      <c r="P9" s="38" t="s">
        <v>91</v>
      </c>
    </row>
    <row r="10" spans="1:16" s="16" customFormat="1">
      <c r="A10" s="20">
        <f t="shared" si="0"/>
        <v>5</v>
      </c>
      <c r="B10" s="125" t="s">
        <v>366</v>
      </c>
      <c r="C10" s="71" t="s">
        <v>252</v>
      </c>
      <c r="D10" s="81" t="s">
        <v>30</v>
      </c>
      <c r="E10" s="43" t="s">
        <v>411</v>
      </c>
      <c r="F10" s="20" t="s">
        <v>12</v>
      </c>
      <c r="G10" s="34" t="s">
        <v>216</v>
      </c>
      <c r="H10" s="71" t="s">
        <v>246</v>
      </c>
      <c r="I10" s="71" t="s">
        <v>249</v>
      </c>
      <c r="J10" s="20" t="s">
        <v>12</v>
      </c>
      <c r="K10" s="77">
        <v>3</v>
      </c>
      <c r="L10" s="40" t="s">
        <v>435</v>
      </c>
      <c r="M10" s="20" t="s">
        <v>12</v>
      </c>
      <c r="N10" s="126" t="s">
        <v>376</v>
      </c>
      <c r="O10" s="20" t="s">
        <v>60</v>
      </c>
      <c r="P10" s="38" t="s">
        <v>91</v>
      </c>
    </row>
    <row r="11" spans="1:16" s="16" customFormat="1">
      <c r="A11" s="20">
        <f t="shared" si="0"/>
        <v>6</v>
      </c>
      <c r="B11" s="125"/>
      <c r="C11" s="71" t="s">
        <v>253</v>
      </c>
      <c r="D11" s="81" t="s">
        <v>30</v>
      </c>
      <c r="E11" s="43" t="s">
        <v>411</v>
      </c>
      <c r="F11" s="20" t="s">
        <v>12</v>
      </c>
      <c r="G11" s="34" t="s">
        <v>256</v>
      </c>
      <c r="H11" s="71" t="s">
        <v>254</v>
      </c>
      <c r="I11" s="71" t="s">
        <v>255</v>
      </c>
      <c r="J11" s="20" t="s">
        <v>12</v>
      </c>
      <c r="K11" s="77"/>
      <c r="L11" s="40" t="s">
        <v>435</v>
      </c>
      <c r="M11" s="20" t="s">
        <v>12</v>
      </c>
      <c r="N11" s="126"/>
      <c r="O11" s="20" t="s">
        <v>60</v>
      </c>
      <c r="P11" s="38" t="s">
        <v>91</v>
      </c>
    </row>
    <row r="12" spans="1:16" s="55" customFormat="1" ht="31">
      <c r="A12" s="38">
        <f t="shared" si="0"/>
        <v>7</v>
      </c>
      <c r="B12" s="78"/>
      <c r="C12" s="42" t="s">
        <v>388</v>
      </c>
      <c r="D12" s="56" t="s">
        <v>37</v>
      </c>
      <c r="E12" s="43" t="s">
        <v>411</v>
      </c>
      <c r="F12" s="38" t="s">
        <v>37</v>
      </c>
      <c r="G12" s="44" t="s">
        <v>378</v>
      </c>
      <c r="H12" s="42" t="s">
        <v>77</v>
      </c>
      <c r="I12" s="42" t="s">
        <v>377</v>
      </c>
      <c r="J12" s="38" t="s">
        <v>37</v>
      </c>
      <c r="K12" s="118"/>
      <c r="L12" s="40" t="s">
        <v>435</v>
      </c>
      <c r="M12" s="20" t="s">
        <v>12</v>
      </c>
      <c r="N12" s="80" t="s">
        <v>391</v>
      </c>
      <c r="O12" s="38" t="s">
        <v>60</v>
      </c>
      <c r="P12" s="38" t="s">
        <v>91</v>
      </c>
    </row>
    <row r="13" spans="1:16" s="16" customFormat="1">
      <c r="A13" s="20">
        <f t="shared" si="0"/>
        <v>8</v>
      </c>
      <c r="B13" s="125" t="s">
        <v>367</v>
      </c>
      <c r="C13" s="71" t="s">
        <v>170</v>
      </c>
      <c r="D13" s="81" t="s">
        <v>30</v>
      </c>
      <c r="E13" s="43" t="s">
        <v>413</v>
      </c>
      <c r="F13" s="20" t="s">
        <v>12</v>
      </c>
      <c r="G13" s="145" t="s">
        <v>281</v>
      </c>
      <c r="H13" s="71" t="s">
        <v>186</v>
      </c>
      <c r="I13" s="71" t="s">
        <v>169</v>
      </c>
      <c r="J13" s="20" t="s">
        <v>12</v>
      </c>
      <c r="K13" s="20">
        <v>1</v>
      </c>
      <c r="L13" s="40" t="s">
        <v>435</v>
      </c>
      <c r="M13" s="20" t="s">
        <v>12</v>
      </c>
      <c r="N13" s="126"/>
      <c r="O13" s="20" t="s">
        <v>60</v>
      </c>
      <c r="P13" s="38" t="s">
        <v>438</v>
      </c>
    </row>
    <row r="14" spans="1:16" s="16" customFormat="1">
      <c r="A14" s="20">
        <f t="shared" si="0"/>
        <v>9</v>
      </c>
      <c r="B14" s="125" t="s">
        <v>269</v>
      </c>
      <c r="C14" s="71" t="s">
        <v>219</v>
      </c>
      <c r="D14" s="81" t="s">
        <v>30</v>
      </c>
      <c r="E14" s="151" t="s">
        <v>412</v>
      </c>
      <c r="F14" s="20" t="s">
        <v>12</v>
      </c>
      <c r="G14" s="145" t="s">
        <v>280</v>
      </c>
      <c r="H14" s="71" t="s">
        <v>186</v>
      </c>
      <c r="I14" s="71" t="s">
        <v>218</v>
      </c>
      <c r="J14" s="20" t="s">
        <v>12</v>
      </c>
      <c r="K14" s="31">
        <v>2</v>
      </c>
      <c r="L14" s="40" t="s">
        <v>435</v>
      </c>
      <c r="M14" s="20" t="s">
        <v>12</v>
      </c>
      <c r="N14" s="126"/>
      <c r="O14" s="20" t="s">
        <v>276</v>
      </c>
      <c r="P14" s="38" t="s">
        <v>438</v>
      </c>
    </row>
    <row r="15" spans="1:16" ht="31">
      <c r="A15" s="20">
        <f t="shared" si="0"/>
        <v>10</v>
      </c>
      <c r="B15" s="125" t="s">
        <v>240</v>
      </c>
      <c r="C15" s="147" t="s">
        <v>359</v>
      </c>
      <c r="D15" s="142" t="s">
        <v>37</v>
      </c>
      <c r="E15" s="128" t="s">
        <v>415</v>
      </c>
      <c r="F15" s="148" t="s">
        <v>37</v>
      </c>
      <c r="G15" s="149" t="s">
        <v>360</v>
      </c>
      <c r="H15" s="147" t="s">
        <v>261</v>
      </c>
      <c r="I15" s="147" t="s">
        <v>356</v>
      </c>
      <c r="J15" s="146" t="s">
        <v>37</v>
      </c>
      <c r="K15" s="73">
        <v>4</v>
      </c>
      <c r="L15" s="40" t="s">
        <v>435</v>
      </c>
      <c r="M15" s="20" t="s">
        <v>12</v>
      </c>
      <c r="N15" s="66" t="s">
        <v>361</v>
      </c>
      <c r="O15" s="30" t="s">
        <v>60</v>
      </c>
      <c r="P15" s="38" t="s">
        <v>438</v>
      </c>
    </row>
    <row r="16" spans="1:16">
      <c r="A16" s="38">
        <f t="shared" si="0"/>
        <v>11</v>
      </c>
      <c r="B16" s="78"/>
      <c r="C16" s="141" t="s">
        <v>382</v>
      </c>
      <c r="D16" s="30" t="s">
        <v>37</v>
      </c>
      <c r="E16" s="128" t="s">
        <v>415</v>
      </c>
      <c r="F16" s="143" t="s">
        <v>37</v>
      </c>
      <c r="G16" s="144" t="s">
        <v>389</v>
      </c>
      <c r="H16" s="141" t="s">
        <v>380</v>
      </c>
      <c r="I16" s="141" t="s">
        <v>381</v>
      </c>
      <c r="J16" s="120" t="s">
        <v>37</v>
      </c>
      <c r="K16" s="41"/>
      <c r="L16" s="40" t="s">
        <v>435</v>
      </c>
      <c r="M16" s="20" t="s">
        <v>12</v>
      </c>
      <c r="N16" s="66"/>
      <c r="O16" s="30" t="s">
        <v>60</v>
      </c>
      <c r="P16" s="38" t="s">
        <v>438</v>
      </c>
    </row>
    <row r="17" spans="1:16">
      <c r="A17" s="20">
        <f t="shared" si="0"/>
        <v>12</v>
      </c>
      <c r="B17" s="125" t="s">
        <v>272</v>
      </c>
      <c r="C17" s="147" t="s">
        <v>263</v>
      </c>
      <c r="D17" s="142" t="s">
        <v>12</v>
      </c>
      <c r="E17" s="127" t="s">
        <v>294</v>
      </c>
      <c r="F17" s="148" t="s">
        <v>12</v>
      </c>
      <c r="G17" s="149" t="s">
        <v>265</v>
      </c>
      <c r="H17" s="147" t="s">
        <v>261</v>
      </c>
      <c r="I17" s="147" t="s">
        <v>338</v>
      </c>
      <c r="J17" s="146" t="s">
        <v>12</v>
      </c>
      <c r="K17" s="73">
        <v>4</v>
      </c>
      <c r="L17" s="40" t="s">
        <v>435</v>
      </c>
      <c r="M17" s="20" t="s">
        <v>12</v>
      </c>
      <c r="N17" s="121"/>
      <c r="O17" s="30" t="s">
        <v>276</v>
      </c>
      <c r="P17" s="38" t="s">
        <v>438</v>
      </c>
    </row>
    <row r="18" spans="1:16">
      <c r="A18" s="20">
        <f t="shared" si="0"/>
        <v>13</v>
      </c>
      <c r="B18" s="125" t="s">
        <v>368</v>
      </c>
      <c r="C18" s="20" t="s">
        <v>264</v>
      </c>
      <c r="D18" s="119" t="s">
        <v>12</v>
      </c>
      <c r="E18" s="127" t="s">
        <v>295</v>
      </c>
      <c r="F18" s="85" t="s">
        <v>12</v>
      </c>
      <c r="G18" s="32" t="s">
        <v>290</v>
      </c>
      <c r="H18" s="20" t="s">
        <v>261</v>
      </c>
      <c r="I18" s="20" t="s">
        <v>262</v>
      </c>
      <c r="J18" s="146" t="s">
        <v>12</v>
      </c>
      <c r="K18" s="76">
        <v>4</v>
      </c>
      <c r="L18" s="40" t="s">
        <v>435</v>
      </c>
      <c r="M18" s="20" t="s">
        <v>12</v>
      </c>
      <c r="N18" s="121"/>
      <c r="O18" s="30" t="s">
        <v>276</v>
      </c>
      <c r="P18" s="38" t="s">
        <v>438</v>
      </c>
    </row>
    <row r="19" spans="1:16">
      <c r="A19" s="20">
        <f t="shared" si="0"/>
        <v>14</v>
      </c>
      <c r="B19" s="125" t="s">
        <v>369</v>
      </c>
      <c r="C19" s="20" t="s">
        <v>288</v>
      </c>
      <c r="D19" s="119" t="s">
        <v>12</v>
      </c>
      <c r="E19" s="127" t="s">
        <v>296</v>
      </c>
      <c r="F19" s="85" t="s">
        <v>12</v>
      </c>
      <c r="G19" s="32" t="s">
        <v>289</v>
      </c>
      <c r="H19" s="20" t="s">
        <v>261</v>
      </c>
      <c r="I19" s="20" t="s">
        <v>291</v>
      </c>
      <c r="J19" s="146" t="s">
        <v>12</v>
      </c>
      <c r="K19" s="73">
        <v>3</v>
      </c>
      <c r="L19" s="40" t="s">
        <v>435</v>
      </c>
      <c r="M19" s="20" t="s">
        <v>12</v>
      </c>
      <c r="N19" s="121"/>
      <c r="O19" s="30" t="s">
        <v>276</v>
      </c>
      <c r="P19" s="38" t="s">
        <v>438</v>
      </c>
    </row>
    <row r="20" spans="1:16">
      <c r="A20" s="38">
        <f t="shared" si="0"/>
        <v>15</v>
      </c>
      <c r="B20" s="78"/>
      <c r="C20" s="38" t="s">
        <v>385</v>
      </c>
      <c r="D20" s="119" t="s">
        <v>37</v>
      </c>
      <c r="E20" s="152" t="s">
        <v>420</v>
      </c>
      <c r="F20" s="84" t="s">
        <v>37</v>
      </c>
      <c r="G20" s="60" t="s">
        <v>383</v>
      </c>
      <c r="H20" s="38" t="s">
        <v>380</v>
      </c>
      <c r="I20" s="38" t="s">
        <v>384</v>
      </c>
      <c r="J20" s="120" t="s">
        <v>37</v>
      </c>
      <c r="K20" s="41"/>
      <c r="L20" s="40" t="s">
        <v>435</v>
      </c>
      <c r="M20" s="20" t="s">
        <v>12</v>
      </c>
      <c r="N20" s="121"/>
      <c r="O20" s="30" t="s">
        <v>60</v>
      </c>
      <c r="P20" s="38" t="s">
        <v>438</v>
      </c>
    </row>
    <row r="21" spans="1:16">
      <c r="A21" s="20">
        <f t="shared" si="0"/>
        <v>16</v>
      </c>
      <c r="B21" s="125" t="s">
        <v>348</v>
      </c>
      <c r="C21" s="24" t="s">
        <v>346</v>
      </c>
      <c r="D21" s="119" t="s">
        <v>12</v>
      </c>
      <c r="E21" s="153" t="s">
        <v>417</v>
      </c>
      <c r="F21" s="84" t="s">
        <v>12</v>
      </c>
      <c r="G21" s="60" t="s">
        <v>266</v>
      </c>
      <c r="H21" s="38" t="s">
        <v>261</v>
      </c>
      <c r="I21" s="38" t="s">
        <v>342</v>
      </c>
      <c r="J21" s="120" t="s">
        <v>12</v>
      </c>
      <c r="K21" s="41">
        <v>6</v>
      </c>
      <c r="L21" s="40" t="s">
        <v>435</v>
      </c>
      <c r="M21" s="20" t="s">
        <v>12</v>
      </c>
      <c r="N21" s="121"/>
      <c r="O21" s="30" t="s">
        <v>276</v>
      </c>
      <c r="P21" s="38" t="s">
        <v>438</v>
      </c>
    </row>
    <row r="22" spans="1:16" ht="31">
      <c r="A22" s="20">
        <f t="shared" si="0"/>
        <v>17</v>
      </c>
      <c r="B22" s="155" t="s">
        <v>349</v>
      </c>
      <c r="C22" s="156" t="s">
        <v>292</v>
      </c>
      <c r="D22" s="157" t="s">
        <v>12</v>
      </c>
      <c r="E22" s="45" t="s">
        <v>297</v>
      </c>
      <c r="F22" s="158" t="s">
        <v>12</v>
      </c>
      <c r="G22" s="159" t="s">
        <v>293</v>
      </c>
      <c r="H22" s="156" t="s">
        <v>77</v>
      </c>
      <c r="I22" s="156" t="s">
        <v>339</v>
      </c>
      <c r="J22" s="156" t="s">
        <v>12</v>
      </c>
      <c r="K22" s="156">
        <v>1</v>
      </c>
      <c r="L22" s="40" t="s">
        <v>435</v>
      </c>
      <c r="M22" s="20" t="s">
        <v>12</v>
      </c>
      <c r="N22" s="161" t="s">
        <v>425</v>
      </c>
      <c r="O22" s="160" t="s">
        <v>276</v>
      </c>
      <c r="P22" s="38" t="s">
        <v>438</v>
      </c>
    </row>
    <row r="23" spans="1:16">
      <c r="A23" s="38">
        <f t="shared" si="0"/>
        <v>18</v>
      </c>
      <c r="B23" s="78"/>
      <c r="C23" s="140" t="s">
        <v>424</v>
      </c>
      <c r="D23" s="119" t="s">
        <v>12</v>
      </c>
      <c r="E23" s="128" t="s">
        <v>38</v>
      </c>
      <c r="F23" s="84" t="s">
        <v>12</v>
      </c>
      <c r="G23" s="60" t="s">
        <v>293</v>
      </c>
      <c r="H23" s="38" t="s">
        <v>77</v>
      </c>
      <c r="I23" s="38" t="s">
        <v>423</v>
      </c>
      <c r="J23" s="38" t="s">
        <v>12</v>
      </c>
      <c r="K23" s="38"/>
      <c r="L23" s="40" t="s">
        <v>435</v>
      </c>
      <c r="M23" s="20" t="s">
        <v>12</v>
      </c>
      <c r="N23" s="121"/>
      <c r="O23" s="30" t="s">
        <v>276</v>
      </c>
      <c r="P23" s="38" t="s">
        <v>438</v>
      </c>
    </row>
    <row r="24" spans="1:16">
      <c r="A24" s="38">
        <f t="shared" si="0"/>
        <v>19</v>
      </c>
      <c r="B24" s="125" t="s">
        <v>350</v>
      </c>
      <c r="C24" s="90" t="s">
        <v>285</v>
      </c>
      <c r="D24" s="30" t="s">
        <v>12</v>
      </c>
      <c r="E24" s="153" t="s">
        <v>418</v>
      </c>
      <c r="F24" s="24" t="s">
        <v>282</v>
      </c>
      <c r="G24" s="60" t="s">
        <v>267</v>
      </c>
      <c r="H24" s="38" t="s">
        <v>254</v>
      </c>
      <c r="I24" s="24" t="s">
        <v>286</v>
      </c>
      <c r="J24" s="38" t="s">
        <v>12</v>
      </c>
      <c r="K24" s="41">
        <v>1</v>
      </c>
      <c r="L24" s="40" t="s">
        <v>435</v>
      </c>
      <c r="M24" s="20" t="s">
        <v>12</v>
      </c>
      <c r="N24" s="121"/>
      <c r="O24" s="30" t="s">
        <v>277</v>
      </c>
      <c r="P24" s="38" t="s">
        <v>438</v>
      </c>
    </row>
    <row r="25" spans="1:16" s="7" customFormat="1">
      <c r="A25" s="38">
        <f t="shared" si="0"/>
        <v>20</v>
      </c>
      <c r="B25" s="125" t="s">
        <v>351</v>
      </c>
      <c r="C25" s="20" t="s">
        <v>298</v>
      </c>
      <c r="D25" s="20" t="s">
        <v>7</v>
      </c>
      <c r="E25" s="20" t="s">
        <v>7</v>
      </c>
      <c r="F25" s="20" t="s">
        <v>7</v>
      </c>
      <c r="G25" s="32" t="s">
        <v>299</v>
      </c>
      <c r="H25" s="20" t="s">
        <v>300</v>
      </c>
      <c r="I25" s="20" t="s">
        <v>301</v>
      </c>
      <c r="J25" s="20" t="s">
        <v>7</v>
      </c>
      <c r="K25" s="123">
        <v>50</v>
      </c>
      <c r="L25" s="40" t="s">
        <v>435</v>
      </c>
      <c r="M25" s="20" t="s">
        <v>12</v>
      </c>
      <c r="N25" s="20"/>
      <c r="O25" s="20" t="s">
        <v>302</v>
      </c>
      <c r="P25" s="38" t="s">
        <v>438</v>
      </c>
    </row>
    <row r="26" spans="1:16" s="7" customFormat="1">
      <c r="A26" s="38">
        <f t="shared" si="0"/>
        <v>21</v>
      </c>
      <c r="B26" s="122"/>
      <c r="C26" s="20" t="s">
        <v>303</v>
      </c>
      <c r="D26" s="20" t="s">
        <v>7</v>
      </c>
      <c r="E26" s="20" t="s">
        <v>7</v>
      </c>
      <c r="F26" s="20" t="s">
        <v>7</v>
      </c>
      <c r="G26" s="32" t="s">
        <v>304</v>
      </c>
      <c r="H26" s="20" t="s">
        <v>305</v>
      </c>
      <c r="I26" s="20" t="s">
        <v>306</v>
      </c>
      <c r="J26" s="20" t="s">
        <v>7</v>
      </c>
      <c r="K26" s="123"/>
      <c r="L26" s="40" t="s">
        <v>435</v>
      </c>
      <c r="M26" s="20" t="s">
        <v>12</v>
      </c>
      <c r="N26" s="20"/>
      <c r="O26" s="20" t="s">
        <v>307</v>
      </c>
      <c r="P26" s="38" t="s">
        <v>438</v>
      </c>
    </row>
    <row r="27" spans="1:16" s="7" customFormat="1">
      <c r="A27" s="38">
        <f t="shared" si="0"/>
        <v>22</v>
      </c>
      <c r="B27" s="122"/>
      <c r="C27" s="20" t="s">
        <v>308</v>
      </c>
      <c r="D27" s="20" t="s">
        <v>35</v>
      </c>
      <c r="E27" s="20" t="s">
        <v>35</v>
      </c>
      <c r="F27" s="20" t="s">
        <v>35</v>
      </c>
      <c r="G27" s="32" t="s">
        <v>304</v>
      </c>
      <c r="H27" s="20" t="s">
        <v>309</v>
      </c>
      <c r="I27" s="20" t="s">
        <v>310</v>
      </c>
      <c r="J27" s="20" t="s">
        <v>35</v>
      </c>
      <c r="K27" s="123"/>
      <c r="L27" s="40" t="s">
        <v>435</v>
      </c>
      <c r="M27" s="20" t="s">
        <v>12</v>
      </c>
      <c r="N27" s="20"/>
      <c r="O27" s="20" t="s">
        <v>302</v>
      </c>
      <c r="P27" s="38" t="s">
        <v>438</v>
      </c>
    </row>
    <row r="28" spans="1:16" s="7" customFormat="1">
      <c r="A28" s="38">
        <f t="shared" si="0"/>
        <v>23</v>
      </c>
      <c r="B28" s="122" t="s">
        <v>370</v>
      </c>
      <c r="C28" s="76" t="s">
        <v>311</v>
      </c>
      <c r="D28" s="20" t="s">
        <v>7</v>
      </c>
      <c r="E28" s="20" t="s">
        <v>35</v>
      </c>
      <c r="F28" s="20" t="s">
        <v>7</v>
      </c>
      <c r="G28" s="32" t="s">
        <v>312</v>
      </c>
      <c r="H28" s="20" t="s">
        <v>309</v>
      </c>
      <c r="I28" s="76" t="s">
        <v>313</v>
      </c>
      <c r="J28" s="20" t="s">
        <v>7</v>
      </c>
      <c r="K28" s="123">
        <v>50</v>
      </c>
      <c r="L28" s="40" t="s">
        <v>435</v>
      </c>
      <c r="M28" s="20" t="s">
        <v>12</v>
      </c>
      <c r="N28" s="20"/>
      <c r="O28" s="20" t="s">
        <v>302</v>
      </c>
      <c r="P28" s="38" t="s">
        <v>438</v>
      </c>
    </row>
    <row r="29" spans="1:16" s="7" customFormat="1">
      <c r="A29" s="38">
        <f t="shared" si="0"/>
        <v>24</v>
      </c>
      <c r="B29" s="122"/>
      <c r="C29" s="76" t="s">
        <v>314</v>
      </c>
      <c r="D29" s="20" t="s">
        <v>7</v>
      </c>
      <c r="E29" s="20" t="s">
        <v>35</v>
      </c>
      <c r="F29" s="20" t="s">
        <v>7</v>
      </c>
      <c r="G29" s="32" t="s">
        <v>312</v>
      </c>
      <c r="H29" s="20" t="s">
        <v>305</v>
      </c>
      <c r="I29" s="76" t="s">
        <v>314</v>
      </c>
      <c r="J29" s="20" t="s">
        <v>7</v>
      </c>
      <c r="K29" s="123"/>
      <c r="L29" s="40" t="s">
        <v>435</v>
      </c>
      <c r="M29" s="20" t="s">
        <v>12</v>
      </c>
      <c r="N29" s="20"/>
      <c r="O29" s="20" t="s">
        <v>302</v>
      </c>
      <c r="P29" s="38" t="s">
        <v>438</v>
      </c>
    </row>
    <row r="30" spans="1:16">
      <c r="A30" s="38">
        <f t="shared" si="0"/>
        <v>25</v>
      </c>
      <c r="B30" s="124" t="s">
        <v>371</v>
      </c>
      <c r="C30" s="20" t="s">
        <v>52</v>
      </c>
      <c r="D30" s="30" t="s">
        <v>12</v>
      </c>
      <c r="E30" s="20" t="s">
        <v>35</v>
      </c>
      <c r="F30" s="20" t="s">
        <v>12</v>
      </c>
      <c r="G30" s="32" t="s">
        <v>86</v>
      </c>
      <c r="H30" s="20" t="s">
        <v>31</v>
      </c>
      <c r="I30" s="20" t="s">
        <v>52</v>
      </c>
      <c r="J30" s="20" t="s">
        <v>12</v>
      </c>
      <c r="K30" s="73">
        <v>42</v>
      </c>
      <c r="L30" s="40" t="s">
        <v>435</v>
      </c>
      <c r="M30" s="20" t="s">
        <v>12</v>
      </c>
      <c r="N30" s="121"/>
      <c r="O30" s="30" t="s">
        <v>103</v>
      </c>
      <c r="P30" s="38" t="s">
        <v>438</v>
      </c>
    </row>
    <row r="31" spans="1:16">
      <c r="A31" s="38">
        <f t="shared" si="0"/>
        <v>26</v>
      </c>
      <c r="B31" s="124" t="s">
        <v>372</v>
      </c>
      <c r="C31" s="20" t="s">
        <v>54</v>
      </c>
      <c r="D31" s="30" t="s">
        <v>12</v>
      </c>
      <c r="E31" s="20" t="s">
        <v>35</v>
      </c>
      <c r="F31" s="20" t="s">
        <v>12</v>
      </c>
      <c r="G31" s="32" t="s">
        <v>317</v>
      </c>
      <c r="H31" s="20" t="s">
        <v>31</v>
      </c>
      <c r="I31" s="20" t="s">
        <v>54</v>
      </c>
      <c r="J31" s="20" t="s">
        <v>12</v>
      </c>
      <c r="K31" s="20">
        <v>15</v>
      </c>
      <c r="L31" s="40" t="s">
        <v>435</v>
      </c>
      <c r="M31" s="20" t="s">
        <v>12</v>
      </c>
      <c r="N31" s="121"/>
      <c r="O31" s="30" t="s">
        <v>103</v>
      </c>
      <c r="P31" s="38" t="s">
        <v>438</v>
      </c>
    </row>
    <row r="32" spans="1:16">
      <c r="A32" s="8"/>
      <c r="C32" s="8"/>
      <c r="D32" s="57"/>
      <c r="E32" s="57"/>
      <c r="F32" s="57"/>
      <c r="G32" s="58"/>
      <c r="H32" s="5"/>
      <c r="I32" s="59"/>
      <c r="J32" s="59"/>
      <c r="O32" s="57"/>
    </row>
    <row r="33" spans="1:15">
      <c r="A33" s="16"/>
      <c r="B33" s="1" t="s">
        <v>45</v>
      </c>
      <c r="C33" s="10" t="s">
        <v>46</v>
      </c>
      <c r="D33" s="17"/>
      <c r="E33" s="16"/>
      <c r="F33" s="16"/>
      <c r="G33" s="4"/>
      <c r="H33" s="16"/>
      <c r="I33" s="16"/>
      <c r="J33" s="16"/>
      <c r="O33" s="16"/>
    </row>
    <row r="34" spans="1:15">
      <c r="A34" s="16"/>
      <c r="B34" s="16"/>
      <c r="C34" s="14" t="s">
        <v>47</v>
      </c>
      <c r="D34" s="16"/>
      <c r="E34" s="16"/>
      <c r="F34" s="16"/>
      <c r="G34" s="15"/>
      <c r="H34" s="16"/>
      <c r="I34" s="16"/>
      <c r="J34" s="16"/>
      <c r="O34" s="16"/>
    </row>
    <row r="35" spans="1:15">
      <c r="A35" s="16"/>
      <c r="B35" s="16"/>
      <c r="C35" s="18" t="s">
        <v>48</v>
      </c>
      <c r="D35" s="16"/>
      <c r="E35" s="16"/>
      <c r="F35" s="16"/>
      <c r="G35" s="15"/>
      <c r="H35" s="16"/>
      <c r="I35" s="16"/>
      <c r="J35" s="16"/>
      <c r="O35" s="16"/>
    </row>
    <row r="36" spans="1:15">
      <c r="C36" s="19" t="s">
        <v>67</v>
      </c>
      <c r="G36" s="17"/>
      <c r="O36" s="6"/>
    </row>
    <row r="37" spans="1:15" ht="46.5">
      <c r="C37" s="45" t="s">
        <v>68</v>
      </c>
      <c r="D37" s="17"/>
      <c r="G37" s="17"/>
      <c r="K37" s="57"/>
      <c r="L37" s="57"/>
      <c r="M37" s="57"/>
      <c r="O37" s="6"/>
    </row>
  </sheetData>
  <autoFilter ref="A5:P31" xr:uid="{1B8113E8-E720-4173-B7E0-4C054218CB4D}"/>
  <mergeCells count="4">
    <mergeCell ref="A1:M1"/>
    <mergeCell ref="A2:M2"/>
    <mergeCell ref="A3:B3"/>
    <mergeCell ref="A4:B4"/>
  </mergeCells>
  <phoneticPr fontId="16" type="noConversion"/>
  <conditionalFormatting sqref="A10:D22 A32:J32 A33:M1048576">
    <cfRule type="containsText" dxfId="18" priority="18" operator="containsText" text="TBD">
      <formula>NOT(ISERROR(SEARCH("TBD",A10)))</formula>
    </cfRule>
  </conditionalFormatting>
  <conditionalFormatting sqref="A23:E23">
    <cfRule type="containsText" dxfId="17" priority="8" operator="containsText" text="TBD">
      <formula>NOT(ISERROR(SEARCH("TBD",A23)))</formula>
    </cfRule>
  </conditionalFormatting>
  <conditionalFormatting sqref="A1:M4 A5:K9">
    <cfRule type="containsText" dxfId="16" priority="12" operator="containsText" text="TBD">
      <formula>NOT(ISERROR(SEARCH("TBD",A1)))</formula>
    </cfRule>
  </conditionalFormatting>
  <conditionalFormatting sqref="B30:K31">
    <cfRule type="containsText" dxfId="15" priority="11" operator="containsText" text="TBD">
      <formula>NOT(ISERROR(SEARCH("TBD",B30)))</formula>
    </cfRule>
  </conditionalFormatting>
  <conditionalFormatting sqref="C25:K25 N25:O31 B26:K29 B30:D31 F30:K31">
    <cfRule type="containsText" dxfId="14" priority="23" operator="containsText" text="TBD">
      <formula>NOT(ISERROR(SEARCH("TBD",B25)))</formula>
    </cfRule>
  </conditionalFormatting>
  <conditionalFormatting sqref="D24:E24">
    <cfRule type="containsText" dxfId="13" priority="14" operator="containsText" text="TBD">
      <formula>NOT(ISERROR(SEARCH("TBD",D24)))</formula>
    </cfRule>
  </conditionalFormatting>
  <conditionalFormatting sqref="E10:E16">
    <cfRule type="containsText" dxfId="12" priority="15" operator="containsText" text="TBD">
      <formula>NOT(ISERROR(SEARCH("TBD",E10)))</formula>
    </cfRule>
  </conditionalFormatting>
  <conditionalFormatting sqref="E21">
    <cfRule type="containsText" dxfId="11" priority="13" operator="containsText" text="TBD">
      <formula>NOT(ISERROR(SEARCH("TBD",E21)))</formula>
    </cfRule>
  </conditionalFormatting>
  <conditionalFormatting sqref="F10:K23">
    <cfRule type="containsText" dxfId="10" priority="10" operator="containsText" text="TBD">
      <formula>NOT(ISERROR(SEARCH("TBD",F10)))</formula>
    </cfRule>
  </conditionalFormatting>
  <conditionalFormatting sqref="G24:K24 B24:B25 A24:A31">
    <cfRule type="containsText" dxfId="9" priority="25" operator="containsText" text="TBD">
      <formula>NOT(ISERROR(SEARCH("TBD",A24)))</formula>
    </cfRule>
  </conditionalFormatting>
  <conditionalFormatting sqref="L5:M31">
    <cfRule type="containsText" dxfId="8" priority="1" operator="containsText" text="TBD">
      <formula>NOT(ISERROR(SEARCH("TBD",L5)))</formula>
    </cfRule>
  </conditionalFormatting>
  <conditionalFormatting sqref="O1:O24">
    <cfRule type="containsText" dxfId="7" priority="3" operator="containsText" text="TBD">
      <formula>NOT(ISERROR(SEARCH("TBD",O1)))</formula>
    </cfRule>
  </conditionalFormatting>
  <conditionalFormatting sqref="O30:O1048576">
    <cfRule type="containsText" dxfId="6" priority="4" operator="containsText" text="TBD">
      <formula>NOT(ISERROR(SEARCH("TBD",O30)))</formula>
    </cfRule>
  </conditionalFormatting>
  <pageMargins left="0.7" right="0.7" top="0.75" bottom="0.75" header="0.3" footer="0.3"/>
  <pageSetup paperSize="9" orientation="portrait"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AAD2-6A0A-49F6-B18E-CE40AD2971AA}">
  <sheetPr>
    <tabColor rgb="FFFFC000"/>
  </sheetPr>
  <dimension ref="A1:P15"/>
  <sheetViews>
    <sheetView zoomScale="70" zoomScaleNormal="70" workbookViewId="0">
      <pane ySplit="3" topLeftCell="A4" activePane="bottomLeft" state="frozen"/>
      <selection activeCell="I44" sqref="I44"/>
      <selection pane="bottomLeft" activeCell="J21" sqref="J21"/>
    </sheetView>
  </sheetViews>
  <sheetFormatPr defaultColWidth="9" defaultRowHeight="15.5"/>
  <cols>
    <col min="1" max="1" width="9.36328125" style="6" bestFit="1" customWidth="1"/>
    <col min="2" max="2" width="8.36328125" style="6" bestFit="1" customWidth="1"/>
    <col min="3" max="3" width="23.08984375" style="6" bestFit="1" customWidth="1"/>
    <col min="4" max="4" width="21.90625" style="6" bestFit="1" customWidth="1"/>
    <col min="5" max="5" width="16.90625" style="6" bestFit="1" customWidth="1"/>
    <col min="6" max="6" width="13.6328125" style="6" bestFit="1" customWidth="1"/>
    <col min="7" max="7" width="70.6328125" style="6" customWidth="1"/>
    <col min="8" max="8" width="22.36328125" style="6" customWidth="1"/>
    <col min="9" max="9" width="20.26953125" style="6" bestFit="1" customWidth="1"/>
    <col min="10" max="10" width="16.90625" style="6" bestFit="1" customWidth="1"/>
    <col min="11" max="11" width="13.08984375" style="6" bestFit="1" customWidth="1"/>
    <col min="12" max="13" width="13.08984375" style="6" customWidth="1"/>
    <col min="14" max="14" width="18.90625" style="6" customWidth="1"/>
    <col min="15" max="15" width="13.6328125" style="7" bestFit="1" customWidth="1"/>
    <col min="16" max="16" width="12.453125" style="6" bestFit="1" customWidth="1"/>
    <col min="17" max="16384" width="9" style="6"/>
  </cols>
  <sheetData>
    <row r="1" spans="1:16">
      <c r="A1" s="177" t="s">
        <v>8</v>
      </c>
      <c r="B1" s="178"/>
      <c r="C1" s="178"/>
      <c r="D1" s="178"/>
      <c r="E1" s="178"/>
      <c r="F1" s="178"/>
      <c r="G1" s="178"/>
      <c r="H1" s="178"/>
      <c r="I1" s="178"/>
      <c r="J1" s="178"/>
      <c r="K1" s="178"/>
      <c r="L1" s="178"/>
      <c r="M1" s="178"/>
      <c r="N1" s="20"/>
      <c r="O1" s="20"/>
      <c r="P1" s="20"/>
    </row>
    <row r="2" spans="1:16">
      <c r="A2" s="177" t="s">
        <v>9</v>
      </c>
      <c r="B2" s="177"/>
      <c r="C2" s="177"/>
      <c r="D2" s="177"/>
      <c r="E2" s="177"/>
      <c r="F2" s="177"/>
      <c r="G2" s="177"/>
      <c r="H2" s="177"/>
      <c r="I2" s="177"/>
      <c r="J2" s="177"/>
      <c r="K2" s="177"/>
      <c r="L2" s="177"/>
      <c r="M2" s="177"/>
      <c r="N2" s="20"/>
      <c r="O2" s="20"/>
      <c r="P2" s="20"/>
    </row>
    <row r="3" spans="1:16" s="8" customFormat="1">
      <c r="A3" s="173" t="s">
        <v>10</v>
      </c>
      <c r="B3" s="173"/>
      <c r="C3" s="46" t="str">
        <f>C6</f>
        <v>1A72D6F00-600-G</v>
      </c>
      <c r="D3" s="25" t="s">
        <v>11</v>
      </c>
      <c r="E3" s="21" t="s">
        <v>12</v>
      </c>
      <c r="F3" s="25" t="s">
        <v>13</v>
      </c>
      <c r="G3" s="25"/>
      <c r="H3" s="25"/>
      <c r="I3" s="25"/>
      <c r="J3" s="25"/>
      <c r="K3" s="25"/>
      <c r="L3" s="25"/>
      <c r="M3" s="25"/>
      <c r="N3" s="38"/>
      <c r="O3" s="21"/>
      <c r="P3" s="38"/>
    </row>
    <row r="4" spans="1:16" s="8" customFormat="1">
      <c r="A4" s="173" t="s">
        <v>14</v>
      </c>
      <c r="B4" s="173"/>
      <c r="C4" s="35" t="str">
        <f>E6</f>
        <v>15-102135</v>
      </c>
      <c r="D4" s="25" t="s">
        <v>15</v>
      </c>
      <c r="E4" s="21" t="s">
        <v>12</v>
      </c>
      <c r="F4" s="25" t="s">
        <v>16</v>
      </c>
      <c r="G4" s="34" t="s">
        <v>328</v>
      </c>
      <c r="H4" s="25"/>
      <c r="I4" s="25"/>
      <c r="J4" s="25"/>
      <c r="K4" s="25"/>
      <c r="L4" s="25"/>
      <c r="M4" s="25"/>
      <c r="N4" s="88"/>
      <c r="O4" s="21"/>
      <c r="P4" s="38"/>
    </row>
    <row r="5" spans="1:16" s="23" customFormat="1" ht="31">
      <c r="A5" s="22" t="s">
        <v>17</v>
      </c>
      <c r="B5" s="22" t="s">
        <v>18</v>
      </c>
      <c r="C5" s="22" t="s">
        <v>19</v>
      </c>
      <c r="D5" s="22" t="s">
        <v>20</v>
      </c>
      <c r="E5" s="22" t="s">
        <v>21</v>
      </c>
      <c r="F5" s="22" t="s">
        <v>22</v>
      </c>
      <c r="G5" s="22" t="s">
        <v>23</v>
      </c>
      <c r="H5" s="22" t="s">
        <v>24</v>
      </c>
      <c r="I5" s="22" t="s">
        <v>25</v>
      </c>
      <c r="J5" s="22" t="s">
        <v>26</v>
      </c>
      <c r="K5" s="22" t="s">
        <v>27</v>
      </c>
      <c r="L5" s="22" t="s">
        <v>434</v>
      </c>
      <c r="M5" s="22" t="s">
        <v>436</v>
      </c>
      <c r="N5" s="22" t="s">
        <v>28</v>
      </c>
      <c r="O5" s="22" t="s">
        <v>62</v>
      </c>
      <c r="P5" s="22" t="s">
        <v>437</v>
      </c>
    </row>
    <row r="6" spans="1:16">
      <c r="A6" s="20">
        <f>ROW(A6)-5</f>
        <v>1</v>
      </c>
      <c r="B6" s="33" t="s">
        <v>29</v>
      </c>
      <c r="C6" s="31" t="s">
        <v>329</v>
      </c>
      <c r="D6" s="20" t="s">
        <v>35</v>
      </c>
      <c r="E6" s="31" t="s">
        <v>403</v>
      </c>
      <c r="F6" s="20" t="s">
        <v>12</v>
      </c>
      <c r="G6" s="34" t="s">
        <v>328</v>
      </c>
      <c r="H6" s="20" t="s">
        <v>31</v>
      </c>
      <c r="I6" s="31" t="str">
        <f>C6</f>
        <v>1A72D6F00-600-G</v>
      </c>
      <c r="J6" s="20" t="s">
        <v>12</v>
      </c>
      <c r="K6" s="20">
        <v>1</v>
      </c>
      <c r="L6" s="40" t="s">
        <v>435</v>
      </c>
      <c r="M6" s="20" t="s">
        <v>12</v>
      </c>
      <c r="N6" s="97"/>
      <c r="O6" s="20" t="s">
        <v>30</v>
      </c>
      <c r="P6" s="38" t="s">
        <v>438</v>
      </c>
    </row>
    <row r="7" spans="1:16">
      <c r="A7" s="38">
        <f>ROW(A7)-5</f>
        <v>2</v>
      </c>
      <c r="B7" s="33" t="s">
        <v>33</v>
      </c>
      <c r="C7" s="31" t="s">
        <v>153</v>
      </c>
      <c r="D7" s="20" t="s">
        <v>37</v>
      </c>
      <c r="E7" s="20" t="s">
        <v>404</v>
      </c>
      <c r="F7" s="20" t="s">
        <v>37</v>
      </c>
      <c r="G7" s="34" t="s">
        <v>152</v>
      </c>
      <c r="H7" s="20" t="s">
        <v>151</v>
      </c>
      <c r="I7" s="31" t="s">
        <v>150</v>
      </c>
      <c r="J7" s="20" t="s">
        <v>37</v>
      </c>
      <c r="K7" s="20">
        <v>1</v>
      </c>
      <c r="L7" s="40" t="s">
        <v>435</v>
      </c>
      <c r="M7" s="20" t="s">
        <v>12</v>
      </c>
      <c r="N7" s="20"/>
      <c r="O7" s="20" t="s">
        <v>374</v>
      </c>
      <c r="P7" s="20" t="s">
        <v>441</v>
      </c>
    </row>
    <row r="8" spans="1:16">
      <c r="A8" s="20">
        <f t="shared" ref="A8:A15" si="0">ROW(A8)-5</f>
        <v>3</v>
      </c>
      <c r="B8" s="39" t="s">
        <v>70</v>
      </c>
      <c r="C8" s="31" t="s">
        <v>78</v>
      </c>
      <c r="D8" s="20" t="s">
        <v>37</v>
      </c>
      <c r="E8" s="31" t="s">
        <v>405</v>
      </c>
      <c r="F8" s="20" t="s">
        <v>37</v>
      </c>
      <c r="G8" s="32" t="s">
        <v>79</v>
      </c>
      <c r="H8" s="20" t="s">
        <v>39</v>
      </c>
      <c r="I8" s="31" t="s">
        <v>78</v>
      </c>
      <c r="J8" s="20" t="s">
        <v>37</v>
      </c>
      <c r="K8" s="20">
        <v>1</v>
      </c>
      <c r="L8" s="40" t="s">
        <v>435</v>
      </c>
      <c r="M8" s="20" t="s">
        <v>12</v>
      </c>
      <c r="N8" s="48"/>
      <c r="O8" s="20" t="s">
        <v>37</v>
      </c>
      <c r="P8" s="38" t="s">
        <v>438</v>
      </c>
    </row>
    <row r="9" spans="1:16">
      <c r="A9" s="38">
        <f t="shared" si="0"/>
        <v>4</v>
      </c>
      <c r="B9" s="33" t="s">
        <v>50</v>
      </c>
      <c r="C9" s="31" t="s">
        <v>373</v>
      </c>
      <c r="D9" s="20" t="s">
        <v>12</v>
      </c>
      <c r="E9" s="20" t="s">
        <v>410</v>
      </c>
      <c r="F9" s="20" t="s">
        <v>12</v>
      </c>
      <c r="G9" s="34" t="s">
        <v>364</v>
      </c>
      <c r="H9" s="20" t="s">
        <v>221</v>
      </c>
      <c r="I9" s="31" t="str">
        <f>C9</f>
        <v>1A72BSP00-600-GMR</v>
      </c>
      <c r="J9" s="20" t="s">
        <v>12</v>
      </c>
      <c r="K9" s="20">
        <v>1</v>
      </c>
      <c r="L9" s="40" t="s">
        <v>435</v>
      </c>
      <c r="M9" s="20" t="s">
        <v>12</v>
      </c>
      <c r="N9" s="20"/>
      <c r="O9" s="20" t="s">
        <v>30</v>
      </c>
      <c r="P9" s="38" t="s">
        <v>438</v>
      </c>
    </row>
    <row r="10" spans="1:16" s="64" customFormat="1" ht="31">
      <c r="A10" s="20">
        <f t="shared" si="0"/>
        <v>5</v>
      </c>
      <c r="B10" s="52" t="s">
        <v>71</v>
      </c>
      <c r="C10" s="98" t="s">
        <v>137</v>
      </c>
      <c r="D10" s="56" t="s">
        <v>53</v>
      </c>
      <c r="E10" s="98" t="s">
        <v>138</v>
      </c>
      <c r="F10" s="56" t="s">
        <v>53</v>
      </c>
      <c r="G10" s="60" t="s">
        <v>139</v>
      </c>
      <c r="H10" s="98" t="s">
        <v>140</v>
      </c>
      <c r="I10" s="98" t="s">
        <v>141</v>
      </c>
      <c r="J10" s="56" t="s">
        <v>53</v>
      </c>
      <c r="K10" s="38">
        <v>1</v>
      </c>
      <c r="L10" s="40" t="s">
        <v>435</v>
      </c>
      <c r="M10" s="20" t="s">
        <v>12</v>
      </c>
      <c r="N10" s="48"/>
      <c r="O10" s="65" t="s">
        <v>58</v>
      </c>
      <c r="P10" s="20" t="s">
        <v>441</v>
      </c>
    </row>
    <row r="11" spans="1:16" s="64" customFormat="1" ht="31">
      <c r="A11" s="20">
        <f t="shared" si="0"/>
        <v>6</v>
      </c>
      <c r="B11" s="52" t="s">
        <v>72</v>
      </c>
      <c r="C11" s="98" t="s">
        <v>142</v>
      </c>
      <c r="D11" s="56" t="s">
        <v>53</v>
      </c>
      <c r="E11" s="98" t="s">
        <v>143</v>
      </c>
      <c r="F11" s="56" t="s">
        <v>53</v>
      </c>
      <c r="G11" s="60" t="s">
        <v>144</v>
      </c>
      <c r="H11" s="98" t="s">
        <v>145</v>
      </c>
      <c r="I11" s="98" t="s">
        <v>146</v>
      </c>
      <c r="J11" s="56" t="s">
        <v>53</v>
      </c>
      <c r="K11" s="24">
        <v>3</v>
      </c>
      <c r="L11" s="40" t="s">
        <v>435</v>
      </c>
      <c r="M11" s="20" t="s">
        <v>12</v>
      </c>
      <c r="N11" s="48"/>
      <c r="O11" s="65" t="s">
        <v>241</v>
      </c>
      <c r="P11" s="20" t="s">
        <v>441</v>
      </c>
    </row>
    <row r="12" spans="1:16">
      <c r="A12" s="20">
        <f t="shared" si="0"/>
        <v>7</v>
      </c>
      <c r="B12" s="33" t="s">
        <v>74</v>
      </c>
      <c r="C12" s="31" t="s">
        <v>88</v>
      </c>
      <c r="D12" s="20" t="s">
        <v>35</v>
      </c>
      <c r="E12" s="20" t="s">
        <v>35</v>
      </c>
      <c r="F12" s="20" t="s">
        <v>12</v>
      </c>
      <c r="G12" s="34" t="s">
        <v>89</v>
      </c>
      <c r="H12" s="31" t="s">
        <v>39</v>
      </c>
      <c r="I12" s="31" t="s">
        <v>88</v>
      </c>
      <c r="J12" s="20" t="s">
        <v>12</v>
      </c>
      <c r="K12" s="20">
        <v>1</v>
      </c>
      <c r="L12" s="40" t="s">
        <v>435</v>
      </c>
      <c r="M12" s="20" t="s">
        <v>12</v>
      </c>
      <c r="N12" s="63" t="s">
        <v>90</v>
      </c>
      <c r="O12" s="30" t="s">
        <v>103</v>
      </c>
      <c r="P12" s="38" t="s">
        <v>438</v>
      </c>
    </row>
    <row r="13" spans="1:16">
      <c r="A13" s="20">
        <f t="shared" si="0"/>
        <v>8</v>
      </c>
      <c r="B13" s="33" t="s">
        <v>40</v>
      </c>
      <c r="C13" s="31" t="s">
        <v>273</v>
      </c>
      <c r="D13" s="20" t="s">
        <v>35</v>
      </c>
      <c r="E13" s="20" t="s">
        <v>35</v>
      </c>
      <c r="F13" s="20" t="s">
        <v>12</v>
      </c>
      <c r="G13" s="34" t="s">
        <v>257</v>
      </c>
      <c r="H13" s="31" t="s">
        <v>91</v>
      </c>
      <c r="I13" s="31" t="s">
        <v>273</v>
      </c>
      <c r="J13" s="20" t="s">
        <v>12</v>
      </c>
      <c r="K13" s="31">
        <v>1</v>
      </c>
      <c r="L13" s="40" t="s">
        <v>435</v>
      </c>
      <c r="M13" s="20" t="s">
        <v>12</v>
      </c>
      <c r="N13" s="63" t="s">
        <v>92</v>
      </c>
      <c r="O13" s="30" t="s">
        <v>103</v>
      </c>
      <c r="P13" s="20" t="s">
        <v>441</v>
      </c>
    </row>
    <row r="14" spans="1:16" s="7" customFormat="1">
      <c r="A14" s="20">
        <f t="shared" si="0"/>
        <v>9</v>
      </c>
      <c r="B14" s="33" t="s">
        <v>41</v>
      </c>
      <c r="C14" s="24" t="s">
        <v>55</v>
      </c>
      <c r="D14" s="38" t="s">
        <v>53</v>
      </c>
      <c r="E14" s="20" t="s">
        <v>35</v>
      </c>
      <c r="F14" s="38" t="s">
        <v>53</v>
      </c>
      <c r="G14" s="60" t="s">
        <v>315</v>
      </c>
      <c r="H14" s="38" t="s">
        <v>56</v>
      </c>
      <c r="I14" s="24" t="s">
        <v>55</v>
      </c>
      <c r="J14" s="38" t="s">
        <v>12</v>
      </c>
      <c r="K14" s="24">
        <v>4</v>
      </c>
      <c r="L14" s="40" t="s">
        <v>435</v>
      </c>
      <c r="M14" s="20" t="s">
        <v>12</v>
      </c>
      <c r="N14" s="44" t="s">
        <v>93</v>
      </c>
      <c r="O14" s="30" t="s">
        <v>103</v>
      </c>
      <c r="P14" s="38" t="s">
        <v>438</v>
      </c>
    </row>
    <row r="15" spans="1:16" s="7" customFormat="1">
      <c r="A15" s="20">
        <f t="shared" si="0"/>
        <v>10</v>
      </c>
      <c r="B15" s="33" t="s">
        <v>42</v>
      </c>
      <c r="C15" s="24" t="s">
        <v>57</v>
      </c>
      <c r="D15" s="38" t="s">
        <v>35</v>
      </c>
      <c r="E15" s="20" t="s">
        <v>35</v>
      </c>
      <c r="F15" s="38" t="s">
        <v>35</v>
      </c>
      <c r="G15" s="60" t="s">
        <v>316</v>
      </c>
      <c r="H15" s="38" t="s">
        <v>94</v>
      </c>
      <c r="I15" s="24" t="s">
        <v>57</v>
      </c>
      <c r="J15" s="38" t="s">
        <v>7</v>
      </c>
      <c r="K15" s="24">
        <v>1</v>
      </c>
      <c r="L15" s="40" t="s">
        <v>435</v>
      </c>
      <c r="M15" s="20" t="s">
        <v>12</v>
      </c>
      <c r="N15" s="44" t="s">
        <v>93</v>
      </c>
      <c r="O15" s="30" t="s">
        <v>103</v>
      </c>
      <c r="P15" s="38" t="s">
        <v>438</v>
      </c>
    </row>
  </sheetData>
  <autoFilter ref="A5:P15" xr:uid="{B625AAD2-6A0A-49F6-B18E-CE40AD2971AA}"/>
  <mergeCells count="4">
    <mergeCell ref="A1:M1"/>
    <mergeCell ref="A2:M2"/>
    <mergeCell ref="A3:B3"/>
    <mergeCell ref="A4:B4"/>
  </mergeCells>
  <phoneticPr fontId="16" type="noConversion"/>
  <conditionalFormatting sqref="A1:M15">
    <cfRule type="containsText" dxfId="5" priority="3" operator="containsText" text="TBD">
      <formula>NOT(ISERROR(SEARCH("TBD",A1)))</formula>
    </cfRule>
  </conditionalFormatting>
  <conditionalFormatting sqref="A18:M1048576">
    <cfRule type="containsText" dxfId="4" priority="20" operator="containsText" text="TBD">
      <formula>NOT(ISERROR(SEARCH("TBD",A18)))</formula>
    </cfRule>
  </conditionalFormatting>
  <conditionalFormatting sqref="O1:O15">
    <cfRule type="containsText" dxfId="3" priority="1" operator="containsText" text="TBD">
      <formula>NOT(ISERROR(SEARCH("TBD",O1)))</formula>
    </cfRule>
  </conditionalFormatting>
  <conditionalFormatting sqref="O18:O1048576">
    <cfRule type="containsText" dxfId="2" priority="2" operator="containsText" text="TBD">
      <formula>NOT(ISERROR(SEARCH("TBD",O18)))</formula>
    </cfRule>
  </conditionalFormatting>
  <pageMargins left="0.7" right="0.7" top="0.75" bottom="0.75" header="0.3" footer="0.3"/>
  <pageSetup paperSize="9" orientation="portrait" horizontalDpi="1200" verticalDpi="12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C237-2AE0-4C82-8FE3-E56EE2672220}">
  <sheetPr>
    <tabColor rgb="FF92D050"/>
  </sheetPr>
  <dimension ref="A1:P18"/>
  <sheetViews>
    <sheetView zoomScale="70" zoomScaleNormal="70" workbookViewId="0">
      <pane ySplit="1" topLeftCell="A2" activePane="bottomLeft" state="frozen"/>
      <selection activeCell="I44" sqref="I44"/>
      <selection pane="bottomLeft" activeCell="P22" sqref="P22"/>
    </sheetView>
  </sheetViews>
  <sheetFormatPr defaultColWidth="9" defaultRowHeight="15.5"/>
  <cols>
    <col min="1" max="1" width="6.08984375" style="6" bestFit="1" customWidth="1"/>
    <col min="2" max="2" width="8.90625" style="6" customWidth="1"/>
    <col min="3" max="3" width="22.90625" style="6" customWidth="1"/>
    <col min="4" max="4" width="19.7265625" style="6" customWidth="1"/>
    <col min="5" max="5" width="24.08984375" style="6" customWidth="1"/>
    <col min="6" max="6" width="12.453125" style="6" customWidth="1"/>
    <col min="7" max="7" width="61.26953125" style="6" customWidth="1"/>
    <col min="8" max="8" width="26.90625" style="6" customWidth="1"/>
    <col min="9" max="9" width="27.08984375" style="6" customWidth="1"/>
    <col min="10" max="10" width="12.90625" style="6" customWidth="1"/>
    <col min="11" max="11" width="9.08984375" style="6" bestFit="1" customWidth="1"/>
    <col min="12" max="13" width="9.08984375" style="6" customWidth="1"/>
    <col min="14" max="14" width="8.36328125" style="51" bestFit="1" customWidth="1"/>
    <col min="15" max="15" width="15.08984375" style="7" bestFit="1" customWidth="1"/>
    <col min="16" max="16" width="12.453125" style="6" bestFit="1" customWidth="1"/>
    <col min="17" max="16384" width="9" style="6"/>
  </cols>
  <sheetData>
    <row r="1" spans="1:16" s="47" customFormat="1">
      <c r="A1" s="173" t="s">
        <v>10</v>
      </c>
      <c r="B1" s="173"/>
      <c r="C1" s="46" t="str">
        <f>C4</f>
        <v>TEMP-S000227652</v>
      </c>
      <c r="D1" s="25" t="s">
        <v>11</v>
      </c>
      <c r="E1" s="21" t="s">
        <v>12</v>
      </c>
      <c r="F1" s="25"/>
      <c r="G1" s="25"/>
      <c r="H1" s="25"/>
      <c r="I1" s="25"/>
      <c r="J1" s="25"/>
      <c r="K1" s="25"/>
      <c r="L1" s="25"/>
      <c r="M1" s="25"/>
      <c r="N1" s="38"/>
      <c r="O1" s="25"/>
    </row>
    <row r="2" spans="1:16" s="8" customFormat="1">
      <c r="A2" s="173" t="s">
        <v>14</v>
      </c>
      <c r="B2" s="173"/>
      <c r="C2" s="35" t="str">
        <f>E4</f>
        <v>NA</v>
      </c>
      <c r="D2" s="25" t="s">
        <v>15</v>
      </c>
      <c r="E2" s="21" t="s">
        <v>12</v>
      </c>
      <c r="F2" s="25" t="s">
        <v>16</v>
      </c>
      <c r="G2" s="69" t="s">
        <v>234</v>
      </c>
      <c r="H2" s="25"/>
      <c r="I2" s="25"/>
      <c r="J2" s="25"/>
      <c r="K2" s="25"/>
      <c r="L2" s="25"/>
      <c r="M2" s="25"/>
      <c r="N2" s="88"/>
      <c r="O2" s="21"/>
    </row>
    <row r="3" spans="1:16" s="23" customFormat="1" ht="31">
      <c r="A3" s="22" t="s">
        <v>17</v>
      </c>
      <c r="B3" s="22" t="s">
        <v>18</v>
      </c>
      <c r="C3" s="22" t="s">
        <v>19</v>
      </c>
      <c r="D3" s="22" t="s">
        <v>20</v>
      </c>
      <c r="E3" s="22" t="s">
        <v>21</v>
      </c>
      <c r="F3" s="22" t="s">
        <v>22</v>
      </c>
      <c r="G3" s="22" t="s">
        <v>23</v>
      </c>
      <c r="H3" s="22" t="s">
        <v>24</v>
      </c>
      <c r="I3" s="22" t="s">
        <v>25</v>
      </c>
      <c r="J3" s="22" t="s">
        <v>26</v>
      </c>
      <c r="K3" s="22" t="s">
        <v>27</v>
      </c>
      <c r="L3" s="22" t="s">
        <v>434</v>
      </c>
      <c r="M3" s="22" t="s">
        <v>436</v>
      </c>
      <c r="N3" s="70" t="s">
        <v>28</v>
      </c>
      <c r="O3" s="22" t="s">
        <v>62</v>
      </c>
      <c r="P3" s="22" t="s">
        <v>437</v>
      </c>
    </row>
    <row r="4" spans="1:16" s="8" customFormat="1">
      <c r="A4" s="20">
        <v>1</v>
      </c>
      <c r="B4" s="75" t="s">
        <v>63</v>
      </c>
      <c r="C4" s="24" t="s">
        <v>239</v>
      </c>
      <c r="D4" s="38" t="s">
        <v>35</v>
      </c>
      <c r="E4" s="38" t="s">
        <v>30</v>
      </c>
      <c r="F4" s="65" t="s">
        <v>12</v>
      </c>
      <c r="G4" s="44" t="s">
        <v>235</v>
      </c>
      <c r="H4" s="20" t="s">
        <v>221</v>
      </c>
      <c r="I4" s="20" t="str">
        <f>C4</f>
        <v>TEMP-S000227652</v>
      </c>
      <c r="J4" s="84" t="s">
        <v>12</v>
      </c>
      <c r="K4" s="38">
        <v>1</v>
      </c>
      <c r="L4" s="40" t="s">
        <v>435</v>
      </c>
      <c r="M4" s="20" t="s">
        <v>12</v>
      </c>
      <c r="N4" s="88"/>
      <c r="O4" s="38" t="s">
        <v>30</v>
      </c>
      <c r="P4" s="38" t="s">
        <v>438</v>
      </c>
    </row>
    <row r="5" spans="1:16" s="8" customFormat="1">
      <c r="A5" s="20"/>
      <c r="B5" s="75" t="s">
        <v>394</v>
      </c>
      <c r="C5" s="24" t="s">
        <v>400</v>
      </c>
      <c r="D5" s="38" t="s">
        <v>35</v>
      </c>
      <c r="E5" s="38" t="s">
        <v>34</v>
      </c>
      <c r="F5" s="65" t="s">
        <v>12</v>
      </c>
      <c r="G5" s="44" t="s">
        <v>396</v>
      </c>
      <c r="H5" s="31" t="s">
        <v>274</v>
      </c>
      <c r="I5" s="31" t="s">
        <v>398</v>
      </c>
      <c r="J5" s="84" t="s">
        <v>12</v>
      </c>
      <c r="K5" s="38">
        <v>1</v>
      </c>
      <c r="L5" s="40" t="s">
        <v>435</v>
      </c>
      <c r="M5" s="20" t="s">
        <v>12</v>
      </c>
      <c r="N5" s="88"/>
      <c r="O5" s="38" t="s">
        <v>102</v>
      </c>
      <c r="P5" s="20" t="s">
        <v>91</v>
      </c>
    </row>
    <row r="6" spans="1:16" s="8" customFormat="1">
      <c r="A6" s="20"/>
      <c r="B6" s="75" t="s">
        <v>395</v>
      </c>
      <c r="C6" s="24" t="s">
        <v>401</v>
      </c>
      <c r="D6" s="38" t="s">
        <v>35</v>
      </c>
      <c r="E6" s="38" t="s">
        <v>34</v>
      </c>
      <c r="F6" s="65" t="s">
        <v>12</v>
      </c>
      <c r="G6" s="44" t="s">
        <v>397</v>
      </c>
      <c r="H6" s="31" t="s">
        <v>274</v>
      </c>
      <c r="I6" s="31" t="s">
        <v>399</v>
      </c>
      <c r="J6" s="84" t="s">
        <v>12</v>
      </c>
      <c r="K6" s="38">
        <v>1</v>
      </c>
      <c r="L6" s="40" t="s">
        <v>435</v>
      </c>
      <c r="M6" s="20" t="s">
        <v>12</v>
      </c>
      <c r="N6" s="88"/>
      <c r="O6" s="38" t="s">
        <v>102</v>
      </c>
      <c r="P6" s="20" t="s">
        <v>91</v>
      </c>
    </row>
    <row r="7" spans="1:16" s="8" customFormat="1">
      <c r="A7" s="20">
        <v>4</v>
      </c>
      <c r="B7" s="75" t="s">
        <v>95</v>
      </c>
      <c r="C7" s="24" t="s">
        <v>222</v>
      </c>
      <c r="D7" s="38" t="s">
        <v>35</v>
      </c>
      <c r="E7" s="38" t="s">
        <v>34</v>
      </c>
      <c r="F7" s="65" t="s">
        <v>12</v>
      </c>
      <c r="G7" s="44" t="s">
        <v>223</v>
      </c>
      <c r="H7" s="31" t="s">
        <v>274</v>
      </c>
      <c r="I7" s="20" t="s">
        <v>224</v>
      </c>
      <c r="J7" s="84" t="s">
        <v>12</v>
      </c>
      <c r="K7" s="38">
        <v>1</v>
      </c>
      <c r="L7" s="40" t="s">
        <v>435</v>
      </c>
      <c r="M7" s="20" t="s">
        <v>12</v>
      </c>
      <c r="N7" s="88"/>
      <c r="O7" s="38" t="s">
        <v>102</v>
      </c>
      <c r="P7" s="20" t="s">
        <v>91</v>
      </c>
    </row>
    <row r="8" spans="1:16" s="8" customFormat="1">
      <c r="A8" s="20">
        <v>5</v>
      </c>
      <c r="B8" s="75" t="s">
        <v>236</v>
      </c>
      <c r="C8" s="24" t="s">
        <v>225</v>
      </c>
      <c r="D8" s="38" t="s">
        <v>35</v>
      </c>
      <c r="E8" s="38" t="s">
        <v>34</v>
      </c>
      <c r="F8" s="65" t="s">
        <v>12</v>
      </c>
      <c r="G8" s="44" t="s">
        <v>226</v>
      </c>
      <c r="H8" s="31" t="s">
        <v>274</v>
      </c>
      <c r="I8" s="20" t="s">
        <v>227</v>
      </c>
      <c r="J8" s="84" t="s">
        <v>12</v>
      </c>
      <c r="K8" s="38">
        <v>1</v>
      </c>
      <c r="L8" s="40" t="s">
        <v>435</v>
      </c>
      <c r="M8" s="20" t="s">
        <v>12</v>
      </c>
      <c r="N8" s="88"/>
      <c r="O8" s="38" t="s">
        <v>102</v>
      </c>
      <c r="P8" s="20" t="s">
        <v>91</v>
      </c>
    </row>
    <row r="9" spans="1:16" s="8" customFormat="1">
      <c r="A9" s="20">
        <v>6</v>
      </c>
      <c r="B9" s="75" t="s">
        <v>237</v>
      </c>
      <c r="C9" s="24" t="s">
        <v>228</v>
      </c>
      <c r="D9" s="38" t="s">
        <v>35</v>
      </c>
      <c r="E9" s="38" t="s">
        <v>34</v>
      </c>
      <c r="F9" s="65" t="s">
        <v>12</v>
      </c>
      <c r="G9" s="44" t="s">
        <v>229</v>
      </c>
      <c r="H9" s="31" t="s">
        <v>274</v>
      </c>
      <c r="I9" s="20" t="s">
        <v>230</v>
      </c>
      <c r="J9" s="84" t="s">
        <v>12</v>
      </c>
      <c r="K9" s="38">
        <v>1</v>
      </c>
      <c r="L9" s="40" t="s">
        <v>435</v>
      </c>
      <c r="M9" s="20" t="s">
        <v>12</v>
      </c>
      <c r="N9" s="88"/>
      <c r="O9" s="38" t="s">
        <v>102</v>
      </c>
      <c r="P9" s="20" t="s">
        <v>91</v>
      </c>
    </row>
    <row r="10" spans="1:16" s="8" customFormat="1">
      <c r="A10" s="20">
        <v>7</v>
      </c>
      <c r="B10" s="75" t="s">
        <v>238</v>
      </c>
      <c r="C10" s="24" t="s">
        <v>231</v>
      </c>
      <c r="D10" s="38" t="s">
        <v>35</v>
      </c>
      <c r="E10" s="38" t="s">
        <v>34</v>
      </c>
      <c r="F10" s="65" t="s">
        <v>12</v>
      </c>
      <c r="G10" s="44" t="s">
        <v>232</v>
      </c>
      <c r="H10" s="31" t="s">
        <v>274</v>
      </c>
      <c r="I10" s="20" t="s">
        <v>233</v>
      </c>
      <c r="J10" s="84" t="s">
        <v>12</v>
      </c>
      <c r="K10" s="38">
        <v>1</v>
      </c>
      <c r="L10" s="40" t="s">
        <v>435</v>
      </c>
      <c r="M10" s="20" t="s">
        <v>12</v>
      </c>
      <c r="N10" s="88"/>
      <c r="O10" s="38" t="s">
        <v>102</v>
      </c>
      <c r="P10" s="20" t="s">
        <v>91</v>
      </c>
    </row>
    <row r="11" spans="1:16" s="8" customFormat="1">
      <c r="A11" s="6"/>
      <c r="B11" s="91"/>
      <c r="C11" s="23"/>
      <c r="G11" s="92"/>
      <c r="H11" s="6"/>
      <c r="I11" s="6"/>
      <c r="N11" s="37"/>
    </row>
    <row r="12" spans="1:16">
      <c r="B12" s="4"/>
      <c r="C12" s="2"/>
      <c r="G12" s="49"/>
      <c r="H12" s="2"/>
      <c r="I12" s="2"/>
      <c r="N12" s="50"/>
      <c r="O12" s="6"/>
    </row>
    <row r="13" spans="1:16">
      <c r="B13" s="4"/>
      <c r="C13" s="2"/>
      <c r="G13" s="49"/>
      <c r="H13" s="2"/>
      <c r="I13" s="2"/>
      <c r="N13" s="50"/>
      <c r="O13" s="6"/>
    </row>
    <row r="14" spans="1:16">
      <c r="A14" s="16"/>
      <c r="B14" s="1" t="s">
        <v>45</v>
      </c>
      <c r="C14" s="10" t="s">
        <v>46</v>
      </c>
      <c r="D14" s="17"/>
      <c r="E14" s="16"/>
      <c r="F14" s="16"/>
      <c r="G14" s="4"/>
      <c r="H14" s="16"/>
      <c r="I14" s="16"/>
      <c r="J14" s="16"/>
      <c r="N14" s="6"/>
      <c r="O14" s="16"/>
    </row>
    <row r="15" spans="1:16">
      <c r="A15" s="16"/>
      <c r="B15" s="16"/>
      <c r="C15" s="14" t="s">
        <v>47</v>
      </c>
      <c r="D15" s="16"/>
      <c r="E15" s="16"/>
      <c r="F15" s="16"/>
      <c r="G15" s="15"/>
      <c r="H15" s="16"/>
      <c r="I15" s="16"/>
      <c r="J15" s="16"/>
      <c r="N15" s="6"/>
      <c r="O15" s="16"/>
    </row>
    <row r="16" spans="1:16">
      <c r="A16" s="16"/>
      <c r="B16" s="16"/>
      <c r="C16" s="18" t="s">
        <v>48</v>
      </c>
      <c r="D16" s="16"/>
      <c r="E16" s="16"/>
      <c r="F16" s="16"/>
      <c r="G16" s="15"/>
      <c r="H16" s="16"/>
      <c r="I16" s="16"/>
      <c r="J16" s="16"/>
      <c r="N16" s="6"/>
      <c r="O16" s="16"/>
    </row>
    <row r="17" spans="3:15">
      <c r="C17" s="19" t="s">
        <v>67</v>
      </c>
      <c r="G17" s="17"/>
      <c r="N17" s="6"/>
      <c r="O17" s="6"/>
    </row>
    <row r="18" spans="3:15" ht="62">
      <c r="C18" s="45" t="s">
        <v>68</v>
      </c>
      <c r="D18" s="17"/>
      <c r="G18" s="17"/>
      <c r="N18" s="6"/>
      <c r="O18" s="6"/>
    </row>
  </sheetData>
  <autoFilter ref="A3:P3" xr:uid="{D7B2C237-2AE0-4C82-8FE3-E56EE2672220}"/>
  <mergeCells count="2">
    <mergeCell ref="A1:B1"/>
    <mergeCell ref="A2:B2"/>
  </mergeCells>
  <phoneticPr fontId="16" type="noConversion"/>
  <conditionalFormatting sqref="A1:M1048576">
    <cfRule type="containsText" dxfId="1" priority="2" operator="containsText" text="TBD">
      <formula>NOT(ISERROR(SEARCH("TBD",A1)))</formula>
    </cfRule>
  </conditionalFormatting>
  <conditionalFormatting sqref="O1:O1048576">
    <cfRule type="containsText" dxfId="0" priority="1" operator="containsText" text="TBD">
      <formula>NOT(ISERROR(SEARCH("TBD",O1)))</formula>
    </cfRule>
  </conditionalFormatting>
  <pageMargins left="0.7" right="0.7" top="0.75" bottom="0.75" header="0.3" footer="0.3"/>
  <pageSetup paperSize="9" orientation="portrait" horizontalDpi="1200" verticalDpi="1200" r:id="rId1"/>
</worksheet>
</file>

<file path=docMetadata/LabelInfo.xml><?xml version="1.0" encoding="utf-8"?>
<clbl:labelList xmlns:clbl="http://schemas.microsoft.com/office/2020/mipLabelMetadata">
  <clbl:label id="{44ccf059-af5d-4b92-932d-3690a1231c55}" enabled="1" method="Standard" siteId="{cb3d8dcd-2ed2-4bad-89a5-e0a7195fb6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ASSY PN List</vt:lpstr>
      <vt:lpstr>Change History</vt:lpstr>
      <vt:lpstr>Server Chassis-MGX</vt:lpstr>
      <vt:lpstr>Server Chassis_Sun-Ref</vt:lpstr>
      <vt:lpstr>Rack n PWR Sub</vt:lpstr>
      <vt:lpstr>Network Sub</vt:lpstr>
      <vt:lpstr>L11 Rack-MGX</vt:lpstr>
      <vt:lpstr>L11 Rack_Sun-Ref</vt:lpstr>
      <vt:lpstr>Network Sub-MR</vt:lpstr>
      <vt:lpstr>L11 Rack-MGX-MR</vt:lpstr>
      <vt:lpstr>RMF Ph-assy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2025-03-20T06:13:26Z</dcterms:modified>
  <cp:category/>
  <cp:contentStatus/>
</cp:coreProperties>
</file>