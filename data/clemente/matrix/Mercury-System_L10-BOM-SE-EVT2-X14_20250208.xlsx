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defaultThemeVersion="124226"/>
  <xr:revisionPtr revIDLastSave="0" documentId="13_ncr:1_{EC34EF6A-97E1-4C64-9CA8-8FFDB35B40FB}" xr6:coauthVersionLast="47" xr6:coauthVersionMax="47" xr10:uidLastSave="{00000000-0000-0000-0000-000000000000}"/>
  <bookViews>
    <workbookView xWindow="-120" yWindow="-120" windowWidth="38640" windowHeight="21120" tabRatio="891" xr2:uid="{00000000-000D-0000-FFFF-FFFF00000000}"/>
  </bookViews>
  <sheets>
    <sheet name="Change History" sheetId="96" r:id="rId1"/>
    <sheet name="L10 Compute Tray _MGX-OCP" sheetId="145" r:id="rId2"/>
    <sheet name="L10 Compute Tray _Sun Ref." sheetId="147" r:id="rId3"/>
    <sheet name="L Thermal Matrix" sheetId="151" r:id="rId4"/>
    <sheet name="TIM Packs" sheetId="150" r:id="rId5"/>
    <sheet name="FRU" sheetId="148" r:id="rId6"/>
    <sheet name="Meta GB200" sheetId="143" state="hidden" r:id="rId7"/>
  </sheets>
  <definedNames>
    <definedName name="_xlnm._FilterDatabase" localSheetId="3" hidden="1">'L Thermal Matrix'!$A$5:$M$10</definedName>
    <definedName name="_xlnm._FilterDatabase" localSheetId="1" hidden="1">'L10 Compute Tray _MGX-OCP'!$A$5:$L$81</definedName>
    <definedName name="_xlnm._FilterDatabase" localSheetId="2" hidden="1">'L10 Compute Tray _Sun Ref.'!$A$5:$L$43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6" i="148" l="1"/>
  <c r="I60" i="148"/>
  <c r="G58" i="148"/>
  <c r="C58" i="148"/>
  <c r="I49" i="148"/>
  <c r="G47" i="148"/>
  <c r="C47" i="148"/>
  <c r="I38" i="148"/>
  <c r="C36" i="148"/>
  <c r="G15" i="148" l="1"/>
  <c r="I17" i="148"/>
  <c r="C15" i="148"/>
  <c r="A81" i="147"/>
  <c r="A80" i="147"/>
  <c r="A80" i="145"/>
  <c r="A79" i="145"/>
  <c r="A52" i="147" l="1"/>
  <c r="A51" i="147" l="1"/>
  <c r="A51" i="145"/>
  <c r="A38" i="147" l="1"/>
  <c r="A35" i="147"/>
  <c r="A38" i="145"/>
  <c r="A35" i="145"/>
  <c r="A48" i="145"/>
  <c r="A48" i="147"/>
  <c r="A46" i="145"/>
  <c r="A46" i="147"/>
  <c r="A50" i="147"/>
  <c r="A49" i="147"/>
  <c r="A50" i="145"/>
  <c r="A49" i="145"/>
  <c r="A47" i="147"/>
  <c r="A47" i="145"/>
  <c r="A45" i="147"/>
  <c r="A45" i="145"/>
  <c r="A32" i="147" l="1"/>
  <c r="A32" i="145"/>
  <c r="A31" i="147"/>
  <c r="A30" i="147"/>
  <c r="A31" i="145"/>
  <c r="A30" i="145"/>
  <c r="A25" i="147"/>
  <c r="A25" i="145"/>
  <c r="A57" i="147"/>
  <c r="A56" i="147"/>
  <c r="A55" i="147"/>
  <c r="A56" i="145"/>
  <c r="A55" i="145"/>
  <c r="A54" i="145"/>
  <c r="I26" i="151"/>
  <c r="G4" i="151"/>
  <c r="G24" i="151"/>
  <c r="C24" i="151"/>
  <c r="C23" i="151"/>
  <c r="I16" i="151"/>
  <c r="C14" i="151"/>
  <c r="C13" i="151"/>
  <c r="I6" i="151"/>
  <c r="C4" i="151"/>
  <c r="C3" i="151"/>
  <c r="A29" i="147" l="1"/>
  <c r="A44" i="147"/>
  <c r="A42" i="147"/>
  <c r="A29" i="145"/>
  <c r="A44" i="145"/>
  <c r="A42" i="145"/>
  <c r="A58" i="147"/>
  <c r="A6" i="150"/>
  <c r="A20" i="150"/>
  <c r="A19" i="150"/>
  <c r="A18" i="150"/>
  <c r="A17" i="150"/>
  <c r="A16" i="150"/>
  <c r="A15" i="150"/>
  <c r="A14" i="150"/>
  <c r="A13" i="150"/>
  <c r="A12" i="150"/>
  <c r="A11" i="150"/>
  <c r="A10" i="150"/>
  <c r="A9" i="150"/>
  <c r="A8" i="150"/>
  <c r="A7" i="150"/>
  <c r="G4" i="150"/>
  <c r="C4" i="150"/>
  <c r="C3" i="150"/>
  <c r="A9" i="148"/>
  <c r="A8" i="148"/>
  <c r="A7" i="148"/>
  <c r="A10" i="148"/>
  <c r="I6" i="148"/>
  <c r="A6" i="148"/>
  <c r="G4" i="148"/>
  <c r="C4" i="148"/>
  <c r="A77" i="145"/>
  <c r="A78" i="147"/>
  <c r="A37" i="147" l="1"/>
  <c r="A37" i="145"/>
  <c r="G4" i="145" l="1"/>
  <c r="A24" i="147"/>
  <c r="A57" i="145"/>
  <c r="A24" i="145"/>
  <c r="G4" i="147" l="1"/>
  <c r="A82" i="147"/>
  <c r="A77" i="147"/>
  <c r="A76" i="147"/>
  <c r="A75" i="147"/>
  <c r="A74" i="147"/>
  <c r="A73" i="147"/>
  <c r="A72" i="147"/>
  <c r="A71" i="147"/>
  <c r="A70" i="147"/>
  <c r="A69" i="147"/>
  <c r="A68" i="147"/>
  <c r="A67" i="147"/>
  <c r="A66" i="147"/>
  <c r="A65" i="147"/>
  <c r="A64" i="147"/>
  <c r="A63" i="147"/>
  <c r="A62" i="147"/>
  <c r="A61" i="147"/>
  <c r="A60" i="147"/>
  <c r="A59" i="147"/>
  <c r="A54" i="147"/>
  <c r="A53" i="147"/>
  <c r="A43" i="147"/>
  <c r="A41" i="147"/>
  <c r="A40" i="147"/>
  <c r="A39" i="147"/>
  <c r="A36" i="147"/>
  <c r="A34" i="147"/>
  <c r="A33" i="147"/>
  <c r="A28" i="147"/>
  <c r="A27" i="147"/>
  <c r="A26" i="147"/>
  <c r="A23" i="147"/>
  <c r="A22" i="147"/>
  <c r="A21" i="147"/>
  <c r="I20" i="147"/>
  <c r="A20" i="147"/>
  <c r="A19" i="147"/>
  <c r="A18" i="147"/>
  <c r="A17" i="147"/>
  <c r="A16" i="147"/>
  <c r="A15" i="147"/>
  <c r="A14" i="147"/>
  <c r="A13" i="147"/>
  <c r="A12" i="147"/>
  <c r="A11" i="147"/>
  <c r="A10" i="147"/>
  <c r="A9" i="147"/>
  <c r="A8" i="147"/>
  <c r="A7" i="147"/>
  <c r="I6" i="147"/>
  <c r="A6" i="147"/>
  <c r="C4" i="147"/>
  <c r="C3" i="147"/>
  <c r="A41" i="145"/>
  <c r="A28" i="145"/>
  <c r="A33" i="145"/>
  <c r="A34" i="145"/>
  <c r="A36" i="145"/>
  <c r="A39" i="145"/>
  <c r="A40" i="145"/>
  <c r="A43" i="145"/>
  <c r="A52" i="145"/>
  <c r="A53" i="145"/>
  <c r="A58" i="145"/>
  <c r="A59" i="145"/>
  <c r="A60" i="145"/>
  <c r="A61" i="145"/>
  <c r="A62" i="145"/>
  <c r="A63" i="145"/>
  <c r="A64" i="145"/>
  <c r="A65" i="145"/>
  <c r="A66" i="145"/>
  <c r="A67" i="145"/>
  <c r="A68" i="145"/>
  <c r="A69" i="145"/>
  <c r="A70" i="145"/>
  <c r="A71" i="145"/>
  <c r="A72" i="145"/>
  <c r="A73" i="145"/>
  <c r="A74" i="145"/>
  <c r="A75" i="145"/>
  <c r="A76" i="145"/>
  <c r="A81" i="145"/>
  <c r="A27" i="145" l="1"/>
  <c r="A26" i="145"/>
  <c r="A21" i="145" l="1"/>
  <c r="A7" i="145" l="1"/>
  <c r="A23" i="145"/>
  <c r="I22" i="145" l="1"/>
  <c r="I20" i="145"/>
  <c r="A18" i="145"/>
  <c r="A19" i="145"/>
  <c r="A12" i="145"/>
  <c r="A13" i="145"/>
  <c r="A14" i="145"/>
  <c r="A15" i="145"/>
  <c r="A16" i="145"/>
  <c r="A22" i="145" l="1"/>
  <c r="A20" i="145"/>
  <c r="A17" i="145"/>
  <c r="A11" i="145"/>
  <c r="A10" i="145"/>
  <c r="A9" i="145"/>
  <c r="A8" i="145"/>
  <c r="I6" i="145"/>
  <c r="A6" i="145"/>
  <c r="C4" i="145"/>
  <c r="C3" i="145"/>
</calcChain>
</file>

<file path=xl/sharedStrings.xml><?xml version="1.0" encoding="utf-8"?>
<sst xmlns="http://schemas.openxmlformats.org/spreadsheetml/2006/main" count="2721" uniqueCount="693">
  <si>
    <t>BILL OF MATERIAL</t>
  </si>
  <si>
    <t>FOXCONN PN Rev.:</t>
    <phoneticPr fontId="9" type="noConversion"/>
  </si>
  <si>
    <t>Item</t>
  </si>
  <si>
    <t>Lev</t>
  </si>
  <si>
    <t>Manufacture PN Rev.</t>
    <phoneticPr fontId="9" type="noConversion"/>
  </si>
  <si>
    <t>Update</t>
  </si>
  <si>
    <t>Delete</t>
  </si>
  <si>
    <t xml:space="preserve">FOXCONN PN: </t>
    <phoneticPr fontId="9" type="noConversion"/>
  </si>
  <si>
    <t>Customer PN:</t>
    <phoneticPr fontId="9" type="noConversion"/>
  </si>
  <si>
    <t>Customer PN Rev.:</t>
    <phoneticPr fontId="9" type="noConversion"/>
  </si>
  <si>
    <t>Description:</t>
    <phoneticPr fontId="10" type="noConversion"/>
  </si>
  <si>
    <t>FOXCONN PN</t>
    <phoneticPr fontId="9" type="noConversion"/>
  </si>
  <si>
    <t>FOXCONN PN Rev.</t>
    <phoneticPr fontId="9" type="noConversion"/>
  </si>
  <si>
    <t>Customer PN Rev.</t>
    <phoneticPr fontId="9" type="noConversion"/>
  </si>
  <si>
    <t>NA</t>
    <phoneticPr fontId="10" type="noConversion"/>
  </si>
  <si>
    <t>Remark</t>
    <phoneticPr fontId="9" type="noConversion"/>
  </si>
  <si>
    <t>TBD</t>
    <phoneticPr fontId="13" type="noConversion"/>
  </si>
  <si>
    <t>NA</t>
    <phoneticPr fontId="13" type="noConversion"/>
  </si>
  <si>
    <t>Description</t>
    <phoneticPr fontId="10" type="noConversion"/>
  </si>
  <si>
    <t>Manufacture PN</t>
    <phoneticPr fontId="7" type="noConversion"/>
  </si>
  <si>
    <t>FOXCONN/EPD2</t>
    <phoneticPr fontId="10" type="noConversion"/>
  </si>
  <si>
    <t>FOXCONN TECHNOLOGY GROUP</t>
    <phoneticPr fontId="7" type="noConversion"/>
  </si>
  <si>
    <t>Quantity</t>
    <phoneticPr fontId="7" type="noConversion"/>
  </si>
  <si>
    <t>Rev.</t>
    <phoneticPr fontId="9" type="noConversion"/>
  </si>
  <si>
    <t>Date</t>
  </si>
  <si>
    <t>Contents and update items</t>
  </si>
  <si>
    <t>ECO No.</t>
    <phoneticPr fontId="9" type="noConversion"/>
  </si>
  <si>
    <t>Author</t>
  </si>
  <si>
    <t>Change History</t>
    <phoneticPr fontId="9" type="noConversion"/>
  </si>
  <si>
    <t>1</t>
    <phoneticPr fontId="18" type="noConversion"/>
  </si>
  <si>
    <t>NA</t>
    <phoneticPr fontId="18" type="noConversion"/>
  </si>
  <si>
    <t>Manufacture</t>
    <phoneticPr fontId="18" type="noConversion"/>
  </si>
  <si>
    <t>NA</t>
    <phoneticPr fontId="9" type="noConversion"/>
  </si>
  <si>
    <t>RCO</t>
    <phoneticPr fontId="18" type="noConversion"/>
  </si>
  <si>
    <t>TBD</t>
    <phoneticPr fontId="18" type="noConversion"/>
  </si>
  <si>
    <t>Customer PN</t>
    <phoneticPr fontId="7" type="noConversion"/>
  </si>
  <si>
    <t>0</t>
    <phoneticPr fontId="10" type="noConversion"/>
  </si>
  <si>
    <t>2</t>
    <phoneticPr fontId="18" type="noConversion"/>
  </si>
  <si>
    <t>7</t>
    <phoneticPr fontId="18" type="noConversion"/>
  </si>
  <si>
    <t>Amphenol</t>
  </si>
  <si>
    <t>Nvidia</t>
  </si>
  <si>
    <t>PCBA</t>
  </si>
  <si>
    <t>PCBA</t>
    <phoneticPr fontId="44" type="noConversion"/>
  </si>
  <si>
    <t>E1.S SSD</t>
  </si>
  <si>
    <t>Mechanical</t>
  </si>
  <si>
    <t>Cables</t>
  </si>
  <si>
    <t>22</t>
  </si>
  <si>
    <t>23</t>
  </si>
  <si>
    <t>24</t>
  </si>
  <si>
    <t>Category</t>
    <phoneticPr fontId="9" type="noConversion"/>
  </si>
  <si>
    <t>Thermal</t>
    <phoneticPr fontId="18" type="noConversion"/>
  </si>
  <si>
    <t>FOXCONN/EPD2</t>
  </si>
  <si>
    <t>Removefortemporary</t>
  </si>
  <si>
    <t>Old material 
Don't place new PO, only consuming inventory</t>
    <phoneticPr fontId="13" type="noConversion"/>
  </si>
  <si>
    <t>25</t>
  </si>
  <si>
    <t>26</t>
  </si>
  <si>
    <t>27</t>
  </si>
  <si>
    <t>Sunon</t>
  </si>
  <si>
    <t>CX-7 OCP3.0 TSFF NIC with 400Gbit/s</t>
    <phoneticPr fontId="18" type="noConversion"/>
  </si>
  <si>
    <t>HMC Module for GB300(Optional)</t>
    <phoneticPr fontId="18" type="noConversion"/>
  </si>
  <si>
    <t>Description</t>
    <phoneticPr fontId="47" type="noConversion"/>
  </si>
  <si>
    <t>LC-04540-03-GP2S1</t>
  </si>
  <si>
    <t>LC-04540-03-GP2S3</t>
  </si>
  <si>
    <t>LC-04541-03-GP2S1</t>
  </si>
  <si>
    <t>LC-04541-03-GP2S3</t>
  </si>
  <si>
    <t>TEMP-S000221559</t>
  </si>
  <si>
    <t>TEMP-S000221560</t>
  </si>
  <si>
    <t>TEMP-S000221561</t>
  </si>
  <si>
    <t>TEMP-S000221562</t>
  </si>
  <si>
    <t>CMPN</t>
  </si>
  <si>
    <t>HHPN</t>
    <phoneticPr fontId="47" type="noConversion"/>
  </si>
  <si>
    <t>Matrix</t>
    <phoneticPr fontId="47" type="noConversion"/>
  </si>
  <si>
    <t>allocate</t>
    <phoneticPr fontId="47" type="noConversion"/>
  </si>
  <si>
    <t>CPL</t>
    <phoneticPr fontId="47" type="noConversion"/>
  </si>
  <si>
    <t>LC-04824-01-GP2S1</t>
  </si>
  <si>
    <t>DVT2 GB200 Meta SS Inner Manifold Left_Parker</t>
    <phoneticPr fontId="47" type="noConversion"/>
  </si>
  <si>
    <t>TEMP-S000221550</t>
  </si>
  <si>
    <t>LC-04825-01-GP2S1</t>
  </si>
  <si>
    <t>DVT2 GB200 Meta SS Inner Manifold Right_Parker</t>
    <phoneticPr fontId="47" type="noConversion"/>
  </si>
  <si>
    <t>TEMP-S000221552</t>
  </si>
  <si>
    <t>LC-04826-01-GP2S1</t>
  </si>
  <si>
    <t>DVT2 GB200 Meta SS Cold Plate Left_Parker</t>
    <phoneticPr fontId="47" type="noConversion"/>
  </si>
  <si>
    <t>TEMP-S000221555</t>
  </si>
  <si>
    <t>LC-04827-01-GP2S1</t>
  </si>
  <si>
    <t>DVT2 GB200 Meta SS Cold Plate Right_Parker</t>
    <phoneticPr fontId="47" type="noConversion"/>
  </si>
  <si>
    <t>TEMP-S000221556</t>
  </si>
  <si>
    <t>LC-04822-01-GP2S1</t>
  </si>
  <si>
    <t>DVT2 GB200 Meta SS Inner Manifold Left_Danfoss</t>
    <phoneticPr fontId="47" type="noConversion"/>
  </si>
  <si>
    <t>TEMP-S000221542</t>
    <phoneticPr fontId="47" type="noConversion"/>
  </si>
  <si>
    <t>LC-04823-01-GP2S1</t>
  </si>
  <si>
    <t>DVT2 GB200 Meta SS Inner Manifold Right_Danfoss</t>
    <phoneticPr fontId="47" type="noConversion"/>
  </si>
  <si>
    <t>TEMP-S000221544</t>
    <phoneticPr fontId="47" type="noConversion"/>
  </si>
  <si>
    <t>LC-04820-01-GP2S1</t>
  </si>
  <si>
    <t>DVT2 GB200 Meta SS Cold Plate Left_Danfoss</t>
    <phoneticPr fontId="47" type="noConversion"/>
  </si>
  <si>
    <t>TEMP-S000221557</t>
  </si>
  <si>
    <t>LC-04821-01-GP2S1</t>
  </si>
  <si>
    <t>DVT2 GB200 Meta SS Cold Plate Right_Danfoss</t>
    <phoneticPr fontId="47" type="noConversion"/>
  </si>
  <si>
    <t>TEMP-S000221558</t>
  </si>
  <si>
    <t>LC-04837-01-GP2S1</t>
  </si>
  <si>
    <t>DVT2 GB200 Meta SS Inner Manifold Left_CPC-Parker</t>
    <phoneticPr fontId="47" type="noConversion"/>
  </si>
  <si>
    <t>TEMP-S000221548</t>
  </si>
  <si>
    <t>LC-04838-01-GP2S1</t>
  </si>
  <si>
    <t>DVT2 GB200 Meta SS Inner Manifold Right_CPC-Parker</t>
    <phoneticPr fontId="47" type="noConversion"/>
  </si>
  <si>
    <t>TEMP-S000221554</t>
  </si>
  <si>
    <t>LC-04835-01-GP2S1</t>
  </si>
  <si>
    <t>DVT2 GB200 Meta SS Inner Manifold Left_CPC-Danfoss</t>
    <phoneticPr fontId="47" type="noConversion"/>
  </si>
  <si>
    <t>TEMP-S000221545</t>
  </si>
  <si>
    <t>LC-04836-01-GP2S1</t>
  </si>
  <si>
    <t>DVT2 GB200 Meta SS Inner Manifold Right_CPC-Danfoss</t>
    <phoneticPr fontId="47" type="noConversion"/>
  </si>
  <si>
    <t>TEMP-S000221553</t>
  </si>
  <si>
    <t>LC-04820-01-GP2S1</t>
    <phoneticPr fontId="47" type="noConversion"/>
  </si>
  <si>
    <t>RMF</t>
    <phoneticPr fontId="47" type="noConversion"/>
  </si>
  <si>
    <t>DVT2 GB200 Meta Cold RMF_UQDB04 CPC</t>
    <phoneticPr fontId="47" type="noConversion"/>
  </si>
  <si>
    <t>DVT2 GB200 Meta Cold RMF_UQDB04 Danfoss</t>
    <phoneticPr fontId="47" type="noConversion"/>
  </si>
  <si>
    <t>DVT2 GB200 Meta Hot RMF_UQDB04 CPC</t>
    <phoneticPr fontId="47" type="noConversion"/>
  </si>
  <si>
    <t>DVT2 GB200 Meta Hot RMF_UQDB04 Danfoss</t>
    <phoneticPr fontId="47" type="noConversion"/>
  </si>
  <si>
    <t>黃底為重複料件</t>
    <phoneticPr fontId="47" type="noConversion"/>
  </si>
  <si>
    <t>3</t>
    <phoneticPr fontId="18" type="noConversion"/>
  </si>
  <si>
    <t>4</t>
    <phoneticPr fontId="18" type="noConversion"/>
  </si>
  <si>
    <t>5</t>
    <phoneticPr fontId="18" type="noConversion"/>
  </si>
  <si>
    <t>6</t>
    <phoneticPr fontId="18" type="noConversion"/>
  </si>
  <si>
    <t>40</t>
  </si>
  <si>
    <t>41</t>
  </si>
  <si>
    <t>42</t>
  </si>
  <si>
    <t>43</t>
  </si>
  <si>
    <t>9</t>
    <phoneticPr fontId="18" type="noConversion"/>
  </si>
  <si>
    <t>X01</t>
    <phoneticPr fontId="9" type="noConversion"/>
  </si>
  <si>
    <t>NA</t>
  </si>
  <si>
    <t>NA</t>
    <phoneticPr fontId="18" type="noConversion"/>
  </si>
  <si>
    <t>Label</t>
    <phoneticPr fontId="18" type="noConversion"/>
  </si>
  <si>
    <t>Jessy Chang</t>
    <phoneticPr fontId="9" type="noConversion"/>
  </si>
  <si>
    <t>12</t>
    <phoneticPr fontId="18" type="noConversion"/>
  </si>
  <si>
    <t>1A72BSJ00-600-G</t>
  </si>
  <si>
    <t>E1.S 2TB 9mm E1.S boot drive under CPU1_Samsung</t>
    <phoneticPr fontId="18" type="noConversion"/>
  </si>
  <si>
    <t>E1.S 2TB 9mm E1.S boot drive under CPU1_Micron</t>
    <phoneticPr fontId="18" type="noConversion"/>
  </si>
  <si>
    <t>E1.S 2TB 9mm E1.S boot drive under CPU1_KIOXIA</t>
    <phoneticPr fontId="18" type="noConversion"/>
  </si>
  <si>
    <t>MZTL61T9HFJA-00AFB</t>
  </si>
  <si>
    <t>Samsung</t>
  </si>
  <si>
    <t>Samsung</t>
    <phoneticPr fontId="18" type="noConversion"/>
  </si>
  <si>
    <t>Micron</t>
  </si>
  <si>
    <t>KIOXIA</t>
  </si>
  <si>
    <t>MTFDKBT1T9TFR-1BC4DABVA</t>
  </si>
  <si>
    <t>KXDZDRJJ1T92</t>
  </si>
  <si>
    <t>WD</t>
  </si>
  <si>
    <t>MZOL67T6HBLC-00AFB</t>
  </si>
  <si>
    <t>WUS6A7676PJP8X7</t>
  </si>
  <si>
    <t>MTFDLBU7T6THC-1BK4FABVA</t>
  </si>
  <si>
    <t>8</t>
    <phoneticPr fontId="18" type="noConversion"/>
  </si>
  <si>
    <t>1A72BTE00-600-G</t>
  </si>
  <si>
    <t>1A72BTF00-600-G</t>
  </si>
  <si>
    <t>1A72BTG00-600-G</t>
  </si>
  <si>
    <t>1A72BT500-600-G</t>
  </si>
  <si>
    <t>1A72BTH00-600-G</t>
  </si>
  <si>
    <t>1A72BTC00-600-G</t>
  </si>
  <si>
    <t>1A72BTD00-600-G</t>
  </si>
  <si>
    <t>Cooler Master</t>
    <phoneticPr fontId="18" type="noConversion"/>
  </si>
  <si>
    <t>Meta</t>
    <phoneticPr fontId="10" type="noConversion"/>
  </si>
  <si>
    <t>39</t>
  </si>
  <si>
    <t>44</t>
  </si>
  <si>
    <t>45</t>
  </si>
  <si>
    <t>47</t>
  </si>
  <si>
    <t>PCBA</t>
    <phoneticPr fontId="18" type="noConversion"/>
  </si>
  <si>
    <t>Initial release</t>
    <phoneticPr fontId="9" type="noConversion"/>
  </si>
  <si>
    <t>1A72BTF00-600-G</t>
    <phoneticPr fontId="18" type="noConversion"/>
  </si>
  <si>
    <t>Mercury_OSFP_Board[EVT_X01]</t>
    <phoneticPr fontId="18" type="noConversion"/>
  </si>
  <si>
    <t>1A72BTJ00-600-G</t>
    <phoneticPr fontId="18" type="noConversion"/>
  </si>
  <si>
    <t>CBL, E1.S Y cable</t>
  </si>
  <si>
    <t>CBL, E1.S Backplane MCIO Y cable 2</t>
    <phoneticPr fontId="18" type="noConversion"/>
  </si>
  <si>
    <t>CBL, OSFP sideband cable 1</t>
  </si>
  <si>
    <t>CBL, Front IO board SlimSAS cable</t>
  </si>
  <si>
    <t>CBL, E1.S Backplane Power cable</t>
  </si>
  <si>
    <t>CBL, E1.S Backplane MCIO Y cable 1</t>
  </si>
  <si>
    <t>CBL, OSFP PWR cable</t>
  </si>
  <si>
    <t>CBL, OSFP sideband cable 2</t>
    <phoneticPr fontId="18" type="noConversion"/>
  </si>
  <si>
    <t>CBL, Leakage sensor cable-1</t>
  </si>
  <si>
    <t>CBL, Leakage sensor cable-2</t>
  </si>
  <si>
    <t>10</t>
    <phoneticPr fontId="18" type="noConversion"/>
  </si>
  <si>
    <t>11</t>
    <phoneticPr fontId="18" type="noConversion"/>
  </si>
  <si>
    <t>13</t>
    <phoneticPr fontId="18" type="noConversion"/>
  </si>
  <si>
    <t>46</t>
  </si>
  <si>
    <t>X02</t>
    <phoneticPr fontId="9" type="noConversion"/>
  </si>
  <si>
    <t>Thomas Yeh</t>
    <phoneticPr fontId="9" type="noConversion"/>
  </si>
  <si>
    <t>7J-3219-000</t>
  </si>
  <si>
    <t>Compute Tray_SCM 2.0 Sub Assy</t>
  </si>
  <si>
    <t>V</t>
    <phoneticPr fontId="9" type="noConversion"/>
  </si>
  <si>
    <r>
      <t xml:space="preserve">1. Update Customer Name to </t>
    </r>
    <r>
      <rPr>
        <b/>
        <sz val="11"/>
        <rFont val="Calibri"/>
        <family val="2"/>
      </rPr>
      <t xml:space="preserve">Maxwell </t>
    </r>
    <r>
      <rPr>
        <sz val="11"/>
        <rFont val="Calibri"/>
        <family val="2"/>
      </rPr>
      <t xml:space="preserve">and Project Name to </t>
    </r>
    <r>
      <rPr>
        <b/>
        <sz val="11"/>
        <rFont val="Calibri"/>
        <family val="2"/>
      </rPr>
      <t>Mercury.</t>
    </r>
    <r>
      <rPr>
        <sz val="11"/>
        <rFont val="Calibri"/>
        <family val="2"/>
      </rPr>
      <t xml:space="preserve"> Base on Customer's Security Protocal (PM Edison, 12/20, Mail)
2. Update E1.S SSD Description (Need Customer to Confirm)
3. Base on GB200 Build Matrix Structure, Update BOM Structure:
    a. Add SCM Sub Assy, Put BSM and TPM in L10 BOM
    b. Separate Cordelia and CX8 Mezzanine card into 2 Parts
4. Update Cable List
5. Update Asset Label HHPN</t>
    </r>
    <phoneticPr fontId="9" type="noConversion"/>
  </si>
  <si>
    <t>Mercury_E1S_Backplane[EVT_X01]</t>
    <phoneticPr fontId="18" type="noConversion"/>
  </si>
  <si>
    <t>Mercury_Front_IO_Board[EVT_X01]</t>
    <phoneticPr fontId="18" type="noConversion"/>
  </si>
  <si>
    <t>Mercury_FAN-L[EVT_X01]</t>
    <phoneticPr fontId="18" type="noConversion"/>
  </si>
  <si>
    <t>Mercury_FAN-R[EVT_X01]</t>
    <phoneticPr fontId="18" type="noConversion"/>
  </si>
  <si>
    <t>Mercury-PDB Discrete[EVT_X01]</t>
    <phoneticPr fontId="45" type="noConversion"/>
  </si>
  <si>
    <t>Mercury-PDB Brick[EVT_X01]</t>
    <phoneticPr fontId="45" type="noConversion"/>
  </si>
  <si>
    <t>E1.S 8TB 25mm E1.S, 1x per GPU</t>
    <phoneticPr fontId="18" type="noConversion"/>
  </si>
  <si>
    <t>NV GB300 2CPU:4GPU Board</t>
    <phoneticPr fontId="18" type="noConversion"/>
  </si>
  <si>
    <t>CBL, Leakage sensor cable-3</t>
    <phoneticPr fontId="18" type="noConversion"/>
  </si>
  <si>
    <t>CBL, Leakage sensor cable-4</t>
    <phoneticPr fontId="18" type="noConversion"/>
  </si>
  <si>
    <t>2. DC-SCI cable</t>
    <phoneticPr fontId="18" type="noConversion"/>
  </si>
  <si>
    <t>3. DC-SCM2.0 cable</t>
    <phoneticPr fontId="18" type="noConversion"/>
  </si>
  <si>
    <t>4. NIC0 3-to-1 cable</t>
    <phoneticPr fontId="18" type="noConversion"/>
  </si>
  <si>
    <t>5.  NIC1 3-to-1 cable</t>
    <phoneticPr fontId="18" type="noConversion"/>
  </si>
  <si>
    <t>6. Front IO board SlimSAS</t>
    <phoneticPr fontId="18" type="noConversion"/>
  </si>
  <si>
    <t>7. E1S Backplane Power cable</t>
    <phoneticPr fontId="18" type="noConversion"/>
  </si>
  <si>
    <t>8. E1S Backplane MCIO Y cable 1</t>
    <phoneticPr fontId="18" type="noConversion"/>
  </si>
  <si>
    <t>9. E1S Backplane MCIO Y cable 2</t>
    <phoneticPr fontId="18" type="noConversion"/>
  </si>
  <si>
    <t>10. OSFP PWR cable</t>
    <phoneticPr fontId="18" type="noConversion"/>
  </si>
  <si>
    <t>11. OSFP sideband cable 1</t>
    <phoneticPr fontId="18" type="noConversion"/>
  </si>
  <si>
    <t>12. OSFP sideband cable 2</t>
    <phoneticPr fontId="18" type="noConversion"/>
  </si>
  <si>
    <t>13. E1S SSD Y cable</t>
    <phoneticPr fontId="18" type="noConversion"/>
  </si>
  <si>
    <t>14. Leakage sensor cable 1</t>
    <phoneticPr fontId="18" type="noConversion"/>
  </si>
  <si>
    <t>15. Leakage sensor cable 2</t>
    <phoneticPr fontId="18" type="noConversion"/>
  </si>
  <si>
    <t>16. Leakage sensor cable 3</t>
    <phoneticPr fontId="18" type="noConversion"/>
  </si>
  <si>
    <t>17. Leakage sensor cable 4</t>
    <phoneticPr fontId="18" type="noConversion"/>
  </si>
  <si>
    <t>CBL, HSC sideband cable</t>
    <phoneticPr fontId="18" type="noConversion"/>
  </si>
  <si>
    <t>Fan 4056</t>
    <phoneticPr fontId="18" type="noConversion"/>
  </si>
  <si>
    <t>AVC</t>
    <phoneticPr fontId="18" type="noConversion"/>
  </si>
  <si>
    <t>TEMP-S000225519</t>
    <phoneticPr fontId="18" type="noConversion"/>
  </si>
  <si>
    <t>TEMP-S000225520</t>
    <phoneticPr fontId="18" type="noConversion"/>
  </si>
  <si>
    <t>DFPQ0456B2GY081</t>
    <phoneticPr fontId="18" type="noConversion"/>
  </si>
  <si>
    <t>XG40561BX-1Q991-S9W</t>
    <phoneticPr fontId="18" type="noConversion"/>
  </si>
  <si>
    <t>18. Hotswap sideband cable</t>
    <phoneticPr fontId="18" type="noConversion"/>
  </si>
  <si>
    <t>675-24480-0000-ES1</t>
    <phoneticPr fontId="18" type="noConversion"/>
  </si>
  <si>
    <t>699-24764-0004-ES1</t>
    <phoneticPr fontId="18" type="noConversion"/>
  </si>
  <si>
    <t>TEMP-S000225738</t>
    <phoneticPr fontId="18" type="noConversion"/>
  </si>
  <si>
    <t>TEMP-S000225740</t>
  </si>
  <si>
    <t>TEMP-S000225741</t>
  </si>
  <si>
    <t>TEMP-S000225742</t>
  </si>
  <si>
    <t>TEMP-S000225743</t>
  </si>
  <si>
    <t>TEMP-S000225744</t>
  </si>
  <si>
    <t>TEMP-S000225745</t>
  </si>
  <si>
    <t>TEMP-S000225746</t>
  </si>
  <si>
    <t>38</t>
  </si>
  <si>
    <r>
      <t xml:space="preserve">1. </t>
    </r>
    <r>
      <rPr>
        <b/>
        <sz val="11"/>
        <color rgb="FFFF0000"/>
        <rFont val="Calibri"/>
        <family val="2"/>
      </rPr>
      <t>Remove SCM Sub Assy Page</t>
    </r>
    <r>
      <rPr>
        <sz val="11"/>
        <rFont val="Calibri"/>
        <family val="2"/>
      </rPr>
      <t xml:space="preserve">(Base on Build Matrix Structure), DC-SCM2.0 now includes </t>
    </r>
    <r>
      <rPr>
        <b/>
        <sz val="11"/>
        <rFont val="Calibri"/>
        <family val="2"/>
      </rPr>
      <t>2xTPM, 1xBSM and 1xSensor Board</t>
    </r>
    <r>
      <rPr>
        <sz val="11"/>
        <rFont val="Calibri"/>
        <family val="2"/>
      </rPr>
      <t xml:space="preserve"> in L6
2. Update Thermal Part, Nvidia Consign Part Information(HHPN+MPN)
3. Update E1.S SSD Part, DIMM Part HHPN
4. Remove Asset Label MPN (HHPN is not MPN)
5. Update Cable List Information and Adjust Level (Base on Cable List Ref from HW), Add </t>
    </r>
    <r>
      <rPr>
        <b/>
        <sz val="11"/>
        <rFont val="Calibri"/>
        <family val="2"/>
      </rPr>
      <t>HSC(Hotswap) Sideband Cable</t>
    </r>
    <r>
      <rPr>
        <sz val="11"/>
        <rFont val="Calibri"/>
        <family val="2"/>
      </rPr>
      <t xml:space="preserve">
6. Update Label Description
Ref:
</t>
    </r>
    <r>
      <rPr>
        <b/>
        <sz val="11"/>
        <rFont val="Calibri"/>
        <family val="2"/>
      </rPr>
      <t>Mercury_Cable_List_20241226_R001.xlsx</t>
    </r>
    <phoneticPr fontId="9" type="noConversion"/>
  </si>
  <si>
    <t>X03</t>
    <phoneticPr fontId="9" type="noConversion"/>
  </si>
  <si>
    <t>X04</t>
    <phoneticPr fontId="9" type="noConversion"/>
  </si>
  <si>
    <t>LBL, Asset Label, 0.95x0.2inch</t>
    <phoneticPr fontId="18" type="noConversion"/>
  </si>
  <si>
    <t>CBL, NIC1 3-to-1 Cable</t>
    <phoneticPr fontId="18" type="noConversion"/>
  </si>
  <si>
    <t>CBL, NIC0 3-to-1 Cable</t>
    <phoneticPr fontId="18" type="noConversion"/>
  </si>
  <si>
    <t>CBL, DC-SCM2.0 Cable</t>
    <phoneticPr fontId="18" type="noConversion"/>
  </si>
  <si>
    <t>CBL, DC-SCI Cable</t>
    <phoneticPr fontId="18" type="noConversion"/>
  </si>
  <si>
    <t>Dual CX-8 Mezzanine card</t>
    <phoneticPr fontId="18" type="noConversion"/>
  </si>
  <si>
    <t>HWHHW-BA88</t>
    <phoneticPr fontId="18" type="noConversion"/>
  </si>
  <si>
    <t>HGZ168-1229</t>
    <phoneticPr fontId="18" type="noConversion"/>
  </si>
  <si>
    <t>HGZ168-1230</t>
    <phoneticPr fontId="18" type="noConversion"/>
  </si>
  <si>
    <t>HGZ168-1231</t>
    <phoneticPr fontId="18" type="noConversion"/>
  </si>
  <si>
    <t>HGZ168-1232</t>
    <phoneticPr fontId="18" type="noConversion"/>
  </si>
  <si>
    <t>HSL38-4032</t>
    <phoneticPr fontId="18" type="noConversion"/>
  </si>
  <si>
    <t>HWHHW-BA89</t>
    <phoneticPr fontId="18" type="noConversion"/>
  </si>
  <si>
    <t>HMC74-C264</t>
    <phoneticPr fontId="18" type="noConversion"/>
  </si>
  <si>
    <t>HMC74-C265</t>
    <phoneticPr fontId="18" type="noConversion"/>
  </si>
  <si>
    <t>HWHHW-BA90</t>
    <phoneticPr fontId="18" type="noConversion"/>
  </si>
  <si>
    <t>HWHHW-BA91</t>
    <phoneticPr fontId="18" type="noConversion"/>
  </si>
  <si>
    <t>HWHHW-BA92</t>
    <phoneticPr fontId="18" type="noConversion"/>
  </si>
  <si>
    <t>HWHHW-BA93</t>
    <phoneticPr fontId="18" type="noConversion"/>
  </si>
  <si>
    <t>HWHHW-BA94</t>
    <phoneticPr fontId="18" type="noConversion"/>
  </si>
  <si>
    <t>HWHHW-BA95</t>
    <phoneticPr fontId="18" type="noConversion"/>
  </si>
  <si>
    <t>HWHHW-BA96</t>
    <phoneticPr fontId="18" type="noConversion"/>
  </si>
  <si>
    <t>TEMP-S000225990</t>
  </si>
  <si>
    <t>TEMP-S000225991</t>
    <phoneticPr fontId="18" type="noConversion"/>
  </si>
  <si>
    <t>TEMP-S000225992</t>
    <phoneticPr fontId="18" type="noConversion"/>
  </si>
  <si>
    <t>TEMP-S000225993</t>
    <phoneticPr fontId="18" type="noConversion"/>
  </si>
  <si>
    <t>TEMP-S000225994</t>
    <phoneticPr fontId="18" type="noConversion"/>
  </si>
  <si>
    <t>TEMP-S000225995</t>
    <phoneticPr fontId="18" type="noConversion"/>
  </si>
  <si>
    <t>TEMP-S000225996</t>
    <phoneticPr fontId="18" type="noConversion"/>
  </si>
  <si>
    <t>TEMP-S000225997</t>
    <phoneticPr fontId="18" type="noConversion"/>
  </si>
  <si>
    <t>TEMP-S000225998</t>
    <phoneticPr fontId="18" type="noConversion"/>
  </si>
  <si>
    <t>TEMP-S000226000</t>
    <phoneticPr fontId="18" type="noConversion"/>
  </si>
  <si>
    <t>TEMP-S000226001</t>
    <phoneticPr fontId="18" type="noConversion"/>
  </si>
  <si>
    <t>TEMP-S000226002</t>
  </si>
  <si>
    <t>TEMP-S000226003</t>
    <phoneticPr fontId="18" type="noConversion"/>
  </si>
  <si>
    <t>TEMP-S000226004</t>
    <phoneticPr fontId="18" type="noConversion"/>
  </si>
  <si>
    <t>TEMP-S000226005</t>
    <phoneticPr fontId="18" type="noConversion"/>
  </si>
  <si>
    <r>
      <t xml:space="preserve">1. Update Cables' MPN and HHPN
2. Update </t>
    </r>
    <r>
      <rPr>
        <b/>
        <sz val="11"/>
        <rFont val="Calibri"/>
        <family val="2"/>
      </rPr>
      <t>Busbar Clip</t>
    </r>
    <r>
      <rPr>
        <sz val="11"/>
        <rFont val="Calibri"/>
        <family val="2"/>
      </rPr>
      <t xml:space="preserve"> Information
3. Change Power Cable Description(48V-&gt;54V, based on NV GB300 Description)</t>
    </r>
    <phoneticPr fontId="9" type="noConversion"/>
  </si>
  <si>
    <t>TEMP-S000226109</t>
  </si>
  <si>
    <t>TEMP-S000226110</t>
    <phoneticPr fontId="18" type="noConversion"/>
  </si>
  <si>
    <t>HWHHW-BB41</t>
  </si>
  <si>
    <t>HGZ56-0922</t>
  </si>
  <si>
    <t>X05</t>
    <phoneticPr fontId="9" type="noConversion"/>
  </si>
  <si>
    <t>CBL, 54V Power Cable</t>
    <phoneticPr fontId="18" type="noConversion"/>
  </si>
  <si>
    <t>1. 54V Power cable</t>
    <phoneticPr fontId="18" type="noConversion"/>
  </si>
  <si>
    <t>Inner Busbar</t>
    <phoneticPr fontId="18" type="noConversion"/>
  </si>
  <si>
    <t>48</t>
  </si>
  <si>
    <t>49</t>
  </si>
  <si>
    <t>50</t>
  </si>
  <si>
    <t>LGA Interposer</t>
    <phoneticPr fontId="18" type="noConversion"/>
  </si>
  <si>
    <t>Foxconn</t>
    <phoneticPr fontId="18" type="noConversion"/>
  </si>
  <si>
    <t>PL08517-12NN0-4H</t>
    <phoneticPr fontId="18" type="noConversion"/>
  </si>
  <si>
    <t>Interconnect (SMD) LGA interposer 851pin 0.867x1mm pitch</t>
    <phoneticPr fontId="18" type="noConversion"/>
  </si>
  <si>
    <t>for CX8 IO</t>
    <phoneticPr fontId="18" type="noConversion"/>
  </si>
  <si>
    <t>TEMP-S000226160</t>
    <phoneticPr fontId="18" type="noConversion"/>
  </si>
  <si>
    <t>16</t>
    <phoneticPr fontId="18" type="noConversion"/>
  </si>
  <si>
    <t>17</t>
    <phoneticPr fontId="18" type="noConversion"/>
  </si>
  <si>
    <t>18</t>
    <phoneticPr fontId="18" type="noConversion"/>
  </si>
  <si>
    <r>
      <t xml:space="preserve">1. Update </t>
    </r>
    <r>
      <rPr>
        <b/>
        <sz val="11"/>
        <rFont val="Calibri"/>
        <family val="2"/>
      </rPr>
      <t>LGA SOCAMM</t>
    </r>
    <r>
      <rPr>
        <sz val="11"/>
        <rFont val="Calibri"/>
        <family val="2"/>
      </rPr>
      <t xml:space="preserve"> and </t>
    </r>
    <r>
      <rPr>
        <b/>
        <sz val="11"/>
        <rFont val="Calibri"/>
        <family val="2"/>
      </rPr>
      <t>LGA Interposer</t>
    </r>
    <r>
      <rPr>
        <sz val="11"/>
        <rFont val="Calibri"/>
        <family val="2"/>
      </rPr>
      <t xml:space="preserve"> Information(Enya, 1/3, Mail)
2. Update Busbar Clip Category</t>
    </r>
    <phoneticPr fontId="9" type="noConversion"/>
  </si>
  <si>
    <t>X06</t>
    <phoneticPr fontId="9" type="noConversion"/>
  </si>
  <si>
    <t>F0N-MM0613GP000.prt</t>
  </si>
  <si>
    <t>Front IO Board Screw</t>
    <phoneticPr fontId="18" type="noConversion"/>
  </si>
  <si>
    <t>2A58B4100-000-GPK</t>
  </si>
  <si>
    <t>MGX-OCP Chassis</t>
    <phoneticPr fontId="18" type="noConversion"/>
  </si>
  <si>
    <t>01-E1S-MODULE-ASSY-MGX.asm</t>
  </si>
  <si>
    <t>9_SCREW-MINSAS-M2_RZS.prt</t>
  </si>
  <si>
    <t>2A583MF00-600-G</t>
  </si>
  <si>
    <t>01_E1-S_TLA_GB300-95.asm</t>
  </si>
  <si>
    <t>2_FAN-COVER-BACK_GBTH.prt</t>
  </si>
  <si>
    <t>Front Fan Cover</t>
    <phoneticPr fontId="18" type="noConversion"/>
  </si>
  <si>
    <t>Back Fan Cover</t>
    <phoneticPr fontId="18" type="noConversion"/>
  </si>
  <si>
    <t>2_FAN-COVER-FRONT_GBTH-META.prt</t>
  </si>
  <si>
    <t>9_SR-3DM-Z_OBN.prt</t>
  </si>
  <si>
    <t>9_SR-3DM-A_OBN.prt</t>
  </si>
  <si>
    <t>Fan Rubber</t>
    <phoneticPr fontId="18" type="noConversion"/>
  </si>
  <si>
    <t>Fan Nut</t>
    <phoneticPr fontId="18" type="noConversion"/>
  </si>
  <si>
    <t>7D118W400-600-G</t>
  </si>
  <si>
    <t>7D118W500-600-G</t>
  </si>
  <si>
    <t>Maxwell Mercury_L10 Compute Tray Assy_Sun-Ref</t>
    <phoneticPr fontId="18" type="noConversion"/>
  </si>
  <si>
    <t>37</t>
  </si>
  <si>
    <t>32</t>
    <phoneticPr fontId="18" type="noConversion"/>
  </si>
  <si>
    <t>Different with MGX-OCP</t>
    <phoneticPr fontId="18" type="noConversion"/>
  </si>
  <si>
    <t>Different with Sun Ref</t>
    <phoneticPr fontId="18" type="noConversion"/>
  </si>
  <si>
    <t>Sun-Ref Chassis</t>
    <phoneticPr fontId="18" type="noConversion"/>
  </si>
  <si>
    <t>01_COMPUTE-TRAY-ASSY_IQD-F.asm</t>
  </si>
  <si>
    <t>L10 Compute Tray _MGX-OCP</t>
    <phoneticPr fontId="9" type="noConversion"/>
  </si>
  <si>
    <t>15</t>
    <phoneticPr fontId="18" type="noConversion"/>
  </si>
  <si>
    <t>CX75343AMC-NEAC_FB</t>
  </si>
  <si>
    <t>14</t>
    <phoneticPr fontId="18" type="noConversion"/>
  </si>
  <si>
    <t>Mercury_MGX Ref_HSC Board[EVT_X01]</t>
  </si>
  <si>
    <t>TIM Pack</t>
    <phoneticPr fontId="18" type="noConversion"/>
  </si>
  <si>
    <t>TEMP-S000226360</t>
  </si>
  <si>
    <t>E1.S 9.5mm SSD Bracket</t>
    <phoneticPr fontId="18" type="noConversion"/>
  </si>
  <si>
    <t>E1.S 25mm SSD Bracket</t>
    <phoneticPr fontId="18" type="noConversion"/>
  </si>
  <si>
    <t>E1.S 25mm SSD Bracket Screw</t>
    <phoneticPr fontId="18" type="noConversion"/>
  </si>
  <si>
    <t>28</t>
    <phoneticPr fontId="18" type="noConversion"/>
  </si>
  <si>
    <t>29</t>
    <phoneticPr fontId="18" type="noConversion"/>
  </si>
  <si>
    <t>30</t>
    <phoneticPr fontId="18" type="noConversion"/>
  </si>
  <si>
    <r>
      <t xml:space="preserve">1. </t>
    </r>
    <r>
      <rPr>
        <sz val="11"/>
        <color rgb="FFFF0000"/>
        <rFont val="Calibri"/>
        <family val="2"/>
      </rPr>
      <t xml:space="preserve">Add </t>
    </r>
    <r>
      <rPr>
        <b/>
        <u/>
        <sz val="11"/>
        <color rgb="FFFF0000"/>
        <rFont val="Calibri"/>
        <family val="2"/>
      </rPr>
      <t>Sun Ref.</t>
    </r>
    <r>
      <rPr>
        <u/>
        <sz val="11"/>
        <color rgb="FFFF0000"/>
        <rFont val="Calibri"/>
        <family val="2"/>
      </rPr>
      <t xml:space="preserve"> </t>
    </r>
    <r>
      <rPr>
        <b/>
        <u/>
        <sz val="11"/>
        <color rgb="FFFF0000"/>
        <rFont val="Calibri"/>
        <family val="2"/>
      </rPr>
      <t>Page</t>
    </r>
    <r>
      <rPr>
        <sz val="11"/>
        <color rgb="FFFF0000"/>
        <rFont val="Calibri"/>
        <family val="2"/>
      </rPr>
      <t xml:space="preserve"> for EVT2 Sun(Maxwell GB200) Ref. Version
</t>
    </r>
    <r>
      <rPr>
        <sz val="11"/>
        <color theme="1"/>
        <rFont val="Calibri"/>
        <family val="2"/>
      </rPr>
      <t xml:space="preserve">2. Update </t>
    </r>
    <r>
      <rPr>
        <b/>
        <sz val="11"/>
        <color theme="1"/>
        <rFont val="Calibri"/>
        <family val="2"/>
      </rPr>
      <t>Mechanical Part</t>
    </r>
    <r>
      <rPr>
        <sz val="11"/>
        <color theme="1"/>
        <rFont val="Calibri"/>
        <family val="2"/>
      </rPr>
      <t xml:space="preserve"> Information
3. Add </t>
    </r>
    <r>
      <rPr>
        <b/>
        <sz val="11"/>
        <color theme="1"/>
        <rFont val="Calibri"/>
        <family val="2"/>
      </rPr>
      <t>SOCAMM</t>
    </r>
    <r>
      <rPr>
        <sz val="11"/>
        <color theme="1"/>
        <rFont val="Calibri"/>
        <family val="2"/>
      </rPr>
      <t xml:space="preserve"> Second Source</t>
    </r>
    <r>
      <rPr>
        <sz val="11"/>
        <color rgb="FFFF0000"/>
        <rFont val="Calibri"/>
        <family val="2"/>
      </rPr>
      <t xml:space="preserve">
</t>
    </r>
    <r>
      <rPr>
        <sz val="11"/>
        <color theme="1"/>
        <rFont val="Calibri"/>
        <family val="2"/>
      </rPr>
      <t xml:space="preserve">4. Add </t>
    </r>
    <r>
      <rPr>
        <b/>
        <sz val="11"/>
        <color theme="1"/>
        <rFont val="Calibri"/>
        <family val="2"/>
      </rPr>
      <t>HSC Board</t>
    </r>
    <r>
      <rPr>
        <sz val="11"/>
        <color theme="1"/>
        <rFont val="Calibri"/>
        <family val="2"/>
      </rPr>
      <t xml:space="preserve"> and </t>
    </r>
    <r>
      <rPr>
        <b/>
        <sz val="11"/>
        <color theme="1"/>
        <rFont val="Calibri"/>
        <family val="2"/>
      </rPr>
      <t>TIM Pack</t>
    </r>
    <r>
      <rPr>
        <sz val="11"/>
        <color theme="1"/>
        <rFont val="Calibri"/>
        <family val="2"/>
      </rPr>
      <t xml:space="preserve">
5. Add </t>
    </r>
    <r>
      <rPr>
        <b/>
        <sz val="11"/>
        <color theme="1"/>
        <rFont val="Calibri"/>
        <family val="2"/>
      </rPr>
      <t>CX7 NIC Card</t>
    </r>
    <r>
      <rPr>
        <sz val="11"/>
        <color theme="1"/>
        <rFont val="Calibri"/>
        <family val="2"/>
      </rPr>
      <t xml:space="preserve"> Information
6. Add </t>
    </r>
    <r>
      <rPr>
        <b/>
        <sz val="11"/>
        <color theme="1"/>
        <rFont val="Calibri"/>
        <family val="2"/>
      </rPr>
      <t>Asset Label</t>
    </r>
    <r>
      <rPr>
        <sz val="11"/>
        <color theme="1"/>
        <rFont val="Calibri"/>
        <family val="2"/>
      </rPr>
      <t xml:space="preserve"> MPN. Since Meta did not have MPN of asset label(confirmed by Meta), EPD2 agree that using HHPN as MPN to input in factory system, so EPD2 can do material preparing
</t>
    </r>
    <phoneticPr fontId="9" type="noConversion"/>
  </si>
  <si>
    <t>X07</t>
    <phoneticPr fontId="9" type="noConversion"/>
  </si>
  <si>
    <t>Maxwell Mercury_L10 Compute Tray Assy_MGX-OCP</t>
    <phoneticPr fontId="18" type="noConversion"/>
  </si>
  <si>
    <t>3. DC-SCM2.0 cable(Sun Ref)</t>
    <phoneticPr fontId="18" type="noConversion"/>
  </si>
  <si>
    <t>5.  NIC1 3-to-1 cable(Sun Ref)</t>
    <phoneticPr fontId="18" type="noConversion"/>
  </si>
  <si>
    <t>1A72CF400-600-G</t>
  </si>
  <si>
    <t>TEMP-S000225999</t>
    <phoneticPr fontId="18" type="noConversion"/>
  </si>
  <si>
    <t>1. Update HHPN
2. Update Sun Ref. Cable information
3. Update TIM Pack in Sun Ref. Page
4. Remove Busbar Cable second source</t>
    <phoneticPr fontId="9" type="noConversion"/>
  </si>
  <si>
    <t>X08</t>
    <phoneticPr fontId="9" type="noConversion"/>
  </si>
  <si>
    <t>1A72CF700-600-G</t>
    <phoneticPr fontId="18" type="noConversion"/>
  </si>
  <si>
    <t>CBL, NIC1 3-to-1 Cable(For Sun-Ref.)</t>
    <phoneticPr fontId="18" type="noConversion"/>
  </si>
  <si>
    <t>CBL, DC-SCM2.0 Cable(For Sun-Ref.)</t>
    <phoneticPr fontId="18" type="noConversion"/>
  </si>
  <si>
    <t>ES: 699-24764-0004-ES1
QS: 699-24764-0004-QS1
PS: 900-24764-0030-000</t>
    <phoneticPr fontId="18" type="noConversion"/>
  </si>
  <si>
    <t>1A72CHE00-600-G</t>
    <phoneticPr fontId="44" type="noConversion"/>
  </si>
  <si>
    <t>01_COMPUTE-TRAY-L5-ASSY_MGX.asm</t>
  </si>
  <si>
    <t>01_E1-S_HOLDER_GB300-95.asm</t>
  </si>
  <si>
    <t>1A72CEE00-600-G</t>
  </si>
  <si>
    <t>E1.S 9.5mm SSD Bracket Screw</t>
    <phoneticPr fontId="18" type="noConversion"/>
  </si>
  <si>
    <t>2A585KV00-600-G</t>
  </si>
  <si>
    <t>9_M2-5-D6_SBR.prt</t>
  </si>
  <si>
    <t>1B61GVS00-600-G</t>
  </si>
  <si>
    <t>1B61GVT00-600-G</t>
  </si>
  <si>
    <t>1A72CC900-600-G</t>
  </si>
  <si>
    <t>1. Update TIM PN
2. Update NV Part Information
3. Update Mechanical Part Information
4. Update Micron SOCAMM MfgPN
5. Add Assemblies Package for FRU
6. Update PCBA AAPN: Using ODM B Database(Enya, 1/15, Mail)</t>
    <phoneticPr fontId="9" type="noConversion"/>
  </si>
  <si>
    <t>SCM(TPM*2+BSM+Sensor)</t>
    <phoneticPr fontId="18" type="noConversion"/>
  </si>
  <si>
    <t>X09</t>
    <phoneticPr fontId="9" type="noConversion"/>
  </si>
  <si>
    <t>TEMP-S000227028</t>
    <phoneticPr fontId="18" type="noConversion"/>
  </si>
  <si>
    <t>692-9X88E-00CX-ES1</t>
    <phoneticPr fontId="18" type="noConversion"/>
  </si>
  <si>
    <t>1A72ALB00-600-G</t>
    <phoneticPr fontId="18" type="noConversion"/>
  </si>
  <si>
    <t>Catalina-E1.S Backplane [DVT-X01]</t>
    <phoneticPr fontId="18" type="noConversion"/>
  </si>
  <si>
    <t>1A72CK800-600-G</t>
    <phoneticPr fontId="18" type="noConversion"/>
  </si>
  <si>
    <t>Mercury_OSFP_GB200_Board[EVT_X01]</t>
    <phoneticPr fontId="18" type="noConversion"/>
  </si>
  <si>
    <r>
      <t xml:space="preserve">1. Add </t>
    </r>
    <r>
      <rPr>
        <b/>
        <sz val="11"/>
        <rFont val="Calibri"/>
        <family val="2"/>
      </rPr>
      <t>FRU BOM</t>
    </r>
    <phoneticPr fontId="9" type="noConversion"/>
  </si>
  <si>
    <t>FRU</t>
    <phoneticPr fontId="9" type="noConversion"/>
  </si>
  <si>
    <t>X10</t>
    <phoneticPr fontId="9" type="noConversion"/>
  </si>
  <si>
    <t>TIM Packs</t>
    <phoneticPr fontId="9" type="noConversion"/>
  </si>
  <si>
    <t>285-0965-000</t>
  </si>
  <si>
    <t>285-0326-000</t>
  </si>
  <si>
    <t>285-1423-000</t>
  </si>
  <si>
    <t>285-1422-000</t>
  </si>
  <si>
    <t>285-1426-000</t>
  </si>
  <si>
    <t>285-1438-000</t>
  </si>
  <si>
    <t>285-1424-000</t>
  </si>
  <si>
    <t>285-1439-000</t>
  </si>
  <si>
    <t>285-1416-000</t>
  </si>
  <si>
    <t>285-1417-000</t>
  </si>
  <si>
    <t>285-1419-000</t>
  </si>
  <si>
    <t>285-1112-000</t>
  </si>
  <si>
    <t>285-1357-000</t>
  </si>
  <si>
    <t>285-1432-000</t>
  </si>
  <si>
    <t>Honeywell</t>
  </si>
  <si>
    <t>ShinEtsu</t>
  </si>
  <si>
    <t>Laird</t>
  </si>
  <si>
    <t>Fujipoli</t>
  </si>
  <si>
    <t>3</t>
  </si>
  <si>
    <t>4</t>
  </si>
  <si>
    <t>5</t>
  </si>
  <si>
    <t>6</t>
  </si>
  <si>
    <t>7</t>
  </si>
  <si>
    <t>8</t>
  </si>
  <si>
    <t>9</t>
  </si>
  <si>
    <t>10</t>
  </si>
  <si>
    <t>11</t>
  </si>
  <si>
    <t>12</t>
  </si>
  <si>
    <t>13</t>
  </si>
  <si>
    <t>14</t>
  </si>
  <si>
    <t>TEMP-S000227142</t>
  </si>
  <si>
    <t>0</t>
    <phoneticPr fontId="18" type="noConversion"/>
  </si>
  <si>
    <t>SOCAMM Remote Cooler 40mm x 5mm</t>
    <phoneticPr fontId="18" type="noConversion"/>
  </si>
  <si>
    <t>HSC 50mm x 8mm</t>
    <phoneticPr fontId="18" type="noConversion"/>
  </si>
  <si>
    <t>SXM7 TTP Top TIM map 46mm x 42mm</t>
    <phoneticPr fontId="45" type="noConversion"/>
  </si>
  <si>
    <t>TTP Top Surface, 33mm x 35mm</t>
    <phoneticPr fontId="18" type="noConversion"/>
  </si>
  <si>
    <t>TTP Top Surface, 0.6 ml</t>
    <phoneticPr fontId="18" type="noConversion"/>
  </si>
  <si>
    <t>TTP Top Surface, 12mm x 32mm</t>
    <phoneticPr fontId="18" type="noConversion"/>
  </si>
  <si>
    <t>TTP Top Surface , 50mm x 6mm</t>
    <phoneticPr fontId="18" type="noConversion"/>
  </si>
  <si>
    <t>TTP Top Surface, 23.5mm x 5mm</t>
    <phoneticPr fontId="18" type="noConversion"/>
  </si>
  <si>
    <t>TTP Top Surface, 16mm x 14mm</t>
    <phoneticPr fontId="18" type="noConversion"/>
  </si>
  <si>
    <t>TTP Top Surface, 7mm x 14mm</t>
    <phoneticPr fontId="18" type="noConversion"/>
  </si>
  <si>
    <t>HSC, 14mm x 6mm</t>
    <phoneticPr fontId="18" type="noConversion"/>
  </si>
  <si>
    <t>SXM7 TTP Top TIM map, 49.5mm x 4mm</t>
    <phoneticPr fontId="45" type="noConversion"/>
  </si>
  <si>
    <t>SXM7 TTP Top TIM map, 28mm x 6mm</t>
    <phoneticPr fontId="45" type="noConversion"/>
  </si>
  <si>
    <t>0.6 ml</t>
  </si>
  <si>
    <t>7D118W400-600-G</t>
    <phoneticPr fontId="18" type="noConversion"/>
  </si>
  <si>
    <t>7D118W500-600-G</t>
    <phoneticPr fontId="18" type="noConversion"/>
  </si>
  <si>
    <t>TEMP-S000196236</t>
    <phoneticPr fontId="18" type="noConversion"/>
  </si>
  <si>
    <t>Pingood</t>
    <phoneticPr fontId="18" type="noConversion"/>
  </si>
  <si>
    <t>SR-3DM-NOB-Z</t>
    <phoneticPr fontId="18" type="noConversion"/>
  </si>
  <si>
    <t>SR-3DM-NOB-A</t>
    <phoneticPr fontId="18" type="noConversion"/>
  </si>
  <si>
    <t>TEMP-S000196235</t>
    <phoneticPr fontId="18" type="noConversion"/>
  </si>
  <si>
    <t>F0N-MM0613GP000.PRT</t>
  </si>
  <si>
    <t>Evergreen</t>
    <phoneticPr fontId="18" type="noConversion"/>
  </si>
  <si>
    <t>WI-HT-G67110A</t>
  </si>
  <si>
    <t>TEMP-S000224873</t>
  </si>
  <si>
    <t>19</t>
    <phoneticPr fontId="18" type="noConversion"/>
  </si>
  <si>
    <t>20</t>
    <phoneticPr fontId="18" type="noConversion"/>
  </si>
  <si>
    <t>21</t>
    <phoneticPr fontId="18" type="noConversion"/>
  </si>
  <si>
    <t>27</t>
    <phoneticPr fontId="18" type="noConversion"/>
  </si>
  <si>
    <t>22</t>
    <phoneticPr fontId="18" type="noConversion"/>
  </si>
  <si>
    <t>1A72CL900-600-G</t>
    <phoneticPr fontId="18" type="noConversion"/>
  </si>
  <si>
    <t>Fan Nut, SR-3DM-NOB-Z</t>
    <phoneticPr fontId="18" type="noConversion"/>
  </si>
  <si>
    <t>Fan knob, SR-3DM-NOB-A</t>
    <phoneticPr fontId="18" type="noConversion"/>
  </si>
  <si>
    <r>
      <t xml:space="preserve">1. </t>
    </r>
    <r>
      <rPr>
        <b/>
        <sz val="11"/>
        <color rgb="FFFF0000"/>
        <rFont val="Calibri"/>
        <family val="2"/>
      </rPr>
      <t>Add TIM Pack Sub BOM</t>
    </r>
    <r>
      <rPr>
        <sz val="11"/>
        <rFont val="Calibri"/>
        <family val="2"/>
      </rPr>
      <t xml:space="preserve">(Information from Thermal Eric, 1/16, SE/Thermal Teams)
2. Add </t>
    </r>
    <r>
      <rPr>
        <b/>
        <sz val="11"/>
        <rFont val="Calibri"/>
        <family val="2"/>
      </rPr>
      <t>Fan Rubber, Fan Nuts and FIO Screw</t>
    </r>
    <r>
      <rPr>
        <sz val="11"/>
        <rFont val="Calibri"/>
        <family val="2"/>
      </rPr>
      <t xml:space="preserve"> Second Sources (Local Source)
3. Manufacturer Update: </t>
    </r>
    <r>
      <rPr>
        <b/>
        <sz val="11"/>
        <rFont val="Calibri"/>
        <family val="2"/>
      </rPr>
      <t xml:space="preserve">EPD5 -&gt; Atemitech </t>
    </r>
    <r>
      <rPr>
        <sz val="11"/>
        <rFont val="Calibri"/>
        <family val="2"/>
      </rPr>
      <t>(Confrimed by MEPM Gavin, 1/16, SE/ME Teams)
4. Correct Lotus SOCAMM MfgPN(Confirm By Lotus Jesse, 1/15, Mail)</t>
    </r>
    <phoneticPr fontId="9" type="noConversion"/>
  </si>
  <si>
    <t>Atemitech</t>
    <phoneticPr fontId="18" type="noConversion"/>
  </si>
  <si>
    <t>X11</t>
    <phoneticPr fontId="9" type="noConversion"/>
  </si>
  <si>
    <t>Remark</t>
    <phoneticPr fontId="18" type="noConversion"/>
  </si>
  <si>
    <t>ODM-A Mfg</t>
    <phoneticPr fontId="18" type="noConversion"/>
  </si>
  <si>
    <t>ODM-A P/N
QPN</t>
    <phoneticPr fontId="18" type="noConversion"/>
  </si>
  <si>
    <t>Thermal</t>
    <phoneticPr fontId="10" type="noConversion"/>
  </si>
  <si>
    <t>1</t>
    <phoneticPr fontId="10" type="noConversion"/>
  </si>
  <si>
    <t>CoolerMaster</t>
  </si>
  <si>
    <t>Thremal</t>
    <phoneticPr fontId="10" type="noConversion"/>
  </si>
  <si>
    <t>Meta Catalina (GB200), CPL, Inner Manifold and Coldplate Sub ASSY - Matrix2</t>
  </si>
  <si>
    <t>Maxwell Mercury(GB300), CPL, Inner Manifold and Coldplate and SOCAMM HSK- CM</t>
    <phoneticPr fontId="18" type="noConversion"/>
  </si>
  <si>
    <t>Maxwell Mercury(GB300), CPL, Inner Manifold and Coldplate and SOCAMM HSK- AVC</t>
    <phoneticPr fontId="18" type="noConversion"/>
  </si>
  <si>
    <t>Maxwell Mercury(GB300), CPL, Inner Manifold and Coldplate and SOCAMM HSK-Auras</t>
    <phoneticPr fontId="18" type="noConversion"/>
  </si>
  <si>
    <t>Auras</t>
    <phoneticPr fontId="18" type="noConversion"/>
  </si>
  <si>
    <t>Meta GB300 EVT CPU cold plate - CM</t>
    <phoneticPr fontId="18" type="noConversion"/>
  </si>
  <si>
    <t>Meta GB300 EVT GPU cold plate - CM</t>
    <phoneticPr fontId="18" type="noConversion"/>
  </si>
  <si>
    <t>Meta GB300 EVT Inner manifold - CM</t>
    <phoneticPr fontId="18" type="noConversion"/>
  </si>
  <si>
    <t>Meta GB300 EVT SOCAMM HSK-L - CM</t>
    <phoneticPr fontId="18" type="noConversion"/>
  </si>
  <si>
    <t>Meta GB300 EVT SOCAMM HSK-R - CM</t>
    <phoneticPr fontId="18" type="noConversion"/>
  </si>
  <si>
    <t>Meta GB300 EVT CPU cold plate - AVC</t>
    <phoneticPr fontId="18" type="noConversion"/>
  </si>
  <si>
    <t>Meta GB300 EVT GPU cold plate - AVC</t>
    <phoneticPr fontId="18" type="noConversion"/>
  </si>
  <si>
    <t>Meta GB300 EVT Inner manifold - AVC</t>
    <phoneticPr fontId="18" type="noConversion"/>
  </si>
  <si>
    <t>Meta GB300 EVT SOCAMM HSK-L - AVC</t>
    <phoneticPr fontId="18" type="noConversion"/>
  </si>
  <si>
    <t>Meta GB300 EVT SOCAMM HSK-R - AVC</t>
    <phoneticPr fontId="18" type="noConversion"/>
  </si>
  <si>
    <t>Meta GB300 EVT CPU cold plate - Auras</t>
    <phoneticPr fontId="18" type="noConversion"/>
  </si>
  <si>
    <t>Meta GB300 EVT GPU cold plate - Auras</t>
  </si>
  <si>
    <t>Meta GB300 EVT Inner manifold - Auras</t>
  </si>
  <si>
    <t>Meta GB300 EVT SOCAMM HSK-L - Auras</t>
  </si>
  <si>
    <t>Meta GB300 EVT SOCAMM HSK-R - Auras</t>
  </si>
  <si>
    <t>CC-03850-01-GP3S1</t>
  </si>
  <si>
    <t>CC-03851-01-GP3S1</t>
  </si>
  <si>
    <t>754-24059-0006-000</t>
  </si>
  <si>
    <t>754-24059-0007-000</t>
  </si>
  <si>
    <t xml:space="preserve">SFA3740001-1 </t>
  </si>
  <si>
    <t xml:space="preserve">SFA3750001-1 </t>
  </si>
  <si>
    <t xml:space="preserve">SFA3760001-1 </t>
  </si>
  <si>
    <t>TEMP-S000227387</t>
  </si>
  <si>
    <t>TEMP-S000227388</t>
  </si>
  <si>
    <t>TEMP-S000227389</t>
  </si>
  <si>
    <t xml:space="preserve">SFA3720001-1 </t>
    <phoneticPr fontId="18" type="noConversion"/>
  </si>
  <si>
    <t>TEMP-S000227350</t>
  </si>
  <si>
    <t>0S53B00024</t>
  </si>
  <si>
    <t>TEMP-S000227613</t>
    <phoneticPr fontId="18" type="noConversion"/>
  </si>
  <si>
    <t>HPM HSC Board + PDB + Power Interconnect Assemblies Package</t>
    <phoneticPr fontId="18" type="noConversion"/>
  </si>
  <si>
    <t>TEMP-S000227634</t>
  </si>
  <si>
    <t>TEMP-S000227635</t>
  </si>
  <si>
    <t>HGZ168-1298</t>
    <phoneticPr fontId="18" type="noConversion"/>
  </si>
  <si>
    <t>HGZ168-1299</t>
    <phoneticPr fontId="18" type="noConversion"/>
  </si>
  <si>
    <t>TEMP-S000227636</t>
  </si>
  <si>
    <t>TEMP-S000227637</t>
  </si>
  <si>
    <t>Cordelia
ES: 675-24480-0000-ES1
QS: 675-24480-0000-QS1
PS: 935-24480-0001-000</t>
    <phoneticPr fontId="18" type="noConversion"/>
  </si>
  <si>
    <t>19. Busbar Cable</t>
    <phoneticPr fontId="18" type="noConversion"/>
  </si>
  <si>
    <t>TEMP-S000227634</t>
    <phoneticPr fontId="18" type="noConversion"/>
  </si>
  <si>
    <t>TEMP-S000227635</t>
    <phoneticPr fontId="18" type="noConversion"/>
  </si>
  <si>
    <t>FOXCONN/EPD2</t>
    <phoneticPr fontId="18" type="noConversion"/>
  </si>
  <si>
    <t>Maxwell Mercury(GB300), CPL, Inner Manifold and Coldplate and SOCAMM HSK- Auras</t>
    <phoneticPr fontId="18" type="noConversion"/>
  </si>
  <si>
    <t>05-100220</t>
  </si>
  <si>
    <t>05-100219</t>
  </si>
  <si>
    <t>09-100272</t>
    <phoneticPr fontId="18" type="noConversion"/>
  </si>
  <si>
    <t>09-100274</t>
    <phoneticPr fontId="18" type="noConversion"/>
  </si>
  <si>
    <t>09-100273</t>
    <phoneticPr fontId="18" type="noConversion"/>
  </si>
  <si>
    <t>09-100271</t>
    <phoneticPr fontId="18" type="noConversion"/>
  </si>
  <si>
    <t>L Thermal Matrix</t>
    <phoneticPr fontId="9" type="noConversion"/>
  </si>
  <si>
    <t>19-100593</t>
    <phoneticPr fontId="18" type="noConversion"/>
  </si>
  <si>
    <t>19-100594</t>
    <phoneticPr fontId="18" type="noConversion"/>
  </si>
  <si>
    <t>19-100591</t>
    <phoneticPr fontId="18" type="noConversion"/>
  </si>
  <si>
    <t>19-100592</t>
    <phoneticPr fontId="18" type="noConversion"/>
  </si>
  <si>
    <t>19-100595</t>
    <phoneticPr fontId="18" type="noConversion"/>
  </si>
  <si>
    <t>27-100382</t>
    <phoneticPr fontId="18" type="noConversion"/>
  </si>
  <si>
    <t>07-100610</t>
    <phoneticPr fontId="18" type="noConversion"/>
  </si>
  <si>
    <t>07-100611</t>
    <phoneticPr fontId="18" type="noConversion"/>
  </si>
  <si>
    <t>07-100612</t>
    <phoneticPr fontId="18" type="noConversion"/>
  </si>
  <si>
    <t>07-100613</t>
    <phoneticPr fontId="18" type="noConversion"/>
  </si>
  <si>
    <t>07-100614</t>
    <phoneticPr fontId="18" type="noConversion"/>
  </si>
  <si>
    <t>07-100615</t>
    <phoneticPr fontId="18" type="noConversion"/>
  </si>
  <si>
    <t>07-100616</t>
    <phoneticPr fontId="18" type="noConversion"/>
  </si>
  <si>
    <t>07-100617</t>
    <phoneticPr fontId="18" type="noConversion"/>
  </si>
  <si>
    <t>07-100618</t>
    <phoneticPr fontId="18" type="noConversion"/>
  </si>
  <si>
    <t>07-100619</t>
    <phoneticPr fontId="18" type="noConversion"/>
  </si>
  <si>
    <t>07-100620</t>
    <phoneticPr fontId="18" type="noConversion"/>
  </si>
  <si>
    <t>07-100621</t>
    <phoneticPr fontId="18" type="noConversion"/>
  </si>
  <si>
    <t>07-100622</t>
    <phoneticPr fontId="18" type="noConversion"/>
  </si>
  <si>
    <t>07-100623</t>
    <phoneticPr fontId="18" type="noConversion"/>
  </si>
  <si>
    <t>07-100624</t>
    <phoneticPr fontId="18" type="noConversion"/>
  </si>
  <si>
    <t>07-100625</t>
    <phoneticPr fontId="18" type="noConversion"/>
  </si>
  <si>
    <t>07-100626</t>
    <phoneticPr fontId="18" type="noConversion"/>
  </si>
  <si>
    <t>07-100627</t>
    <phoneticPr fontId="18" type="noConversion"/>
  </si>
  <si>
    <t>07-100628</t>
    <phoneticPr fontId="18" type="noConversion"/>
  </si>
  <si>
    <t>31</t>
    <phoneticPr fontId="18" type="noConversion"/>
  </si>
  <si>
    <t>X12</t>
    <phoneticPr fontId="9" type="noConversion"/>
  </si>
  <si>
    <t>TEMP-S000226891</t>
    <phoneticPr fontId="18" type="noConversion"/>
  </si>
  <si>
    <t>TEMP-S000227728</t>
    <phoneticPr fontId="18" type="noConversion"/>
  </si>
  <si>
    <t>TEMP-S000227729</t>
    <phoneticPr fontId="18" type="noConversion"/>
  </si>
  <si>
    <t>0S51B00114</t>
    <phoneticPr fontId="18" type="noConversion"/>
  </si>
  <si>
    <t>1A72BTB00-600-G</t>
    <phoneticPr fontId="18" type="noConversion"/>
  </si>
  <si>
    <t>Mercury_BSM[EVT_X01]</t>
    <phoneticPr fontId="18" type="noConversion"/>
  </si>
  <si>
    <t>Move From DC-SCM TLA</t>
    <phoneticPr fontId="18" type="noConversion"/>
  </si>
  <si>
    <t>NIC Card
MfgPN checking: 900-9X7AX-A54N-MC0</t>
    <phoneticPr fontId="18" type="noConversion"/>
  </si>
  <si>
    <t>2A58B4G00-000-G</t>
  </si>
  <si>
    <t>PDB Screw</t>
    <phoneticPr fontId="18" type="noConversion"/>
  </si>
  <si>
    <t>TEMP-S000224842</t>
  </si>
  <si>
    <t>TEMP-S000224862</t>
  </si>
  <si>
    <t>F0N-MS30050I330.prt</t>
  </si>
  <si>
    <t>PEM</t>
  </si>
  <si>
    <t>EVERGREEN</t>
  </si>
  <si>
    <t>G-108964-ZI</t>
  </si>
  <si>
    <t>WI-HT-G67115A</t>
  </si>
  <si>
    <t>F0N-MS30050I330.prt</t>
    <phoneticPr fontId="44" type="noConversion"/>
  </si>
  <si>
    <t>19-100506</t>
    <phoneticPr fontId="18" type="noConversion"/>
  </si>
  <si>
    <t>155-1080-000.A</t>
    <phoneticPr fontId="18" type="noConversion"/>
  </si>
  <si>
    <t>Screw Pan Head Torx Machine M4 x 0.7mm x 8mm Low Carbon Steel Black Zinc</t>
    <phoneticPr fontId="18" type="noConversion"/>
  </si>
  <si>
    <t>HSC M4 Screw</t>
    <phoneticPr fontId="18" type="noConversion"/>
  </si>
  <si>
    <t>TEMP-S000227920</t>
  </si>
  <si>
    <t>SCREW_PH_M3-L8_P2_BZ_STL</t>
  </si>
  <si>
    <t>155-0225-000</t>
    <phoneticPr fontId="18" type="noConversion"/>
  </si>
  <si>
    <t>McMaster</t>
    <phoneticPr fontId="18" type="noConversion"/>
  </si>
  <si>
    <t>Washer M4, LOCK</t>
  </si>
  <si>
    <t>91111A121</t>
  </si>
  <si>
    <t>TEMP-S000227922</t>
  </si>
  <si>
    <t>TEMP-S000227921</t>
  </si>
  <si>
    <t>MECHANICAL Washer FLAT WASHER, M4, 9mm OD</t>
  </si>
  <si>
    <t>TEMP-S000227923</t>
  </si>
  <si>
    <t>93475A230</t>
  </si>
  <si>
    <t>HSC M3 Screw</t>
    <phoneticPr fontId="18" type="noConversion"/>
  </si>
  <si>
    <t>Washer</t>
    <phoneticPr fontId="18" type="noConversion"/>
  </si>
  <si>
    <t>05-100221</t>
    <phoneticPr fontId="18" type="noConversion"/>
  </si>
  <si>
    <t>19-100597</t>
    <phoneticPr fontId="18" type="noConversion"/>
  </si>
  <si>
    <t>05-100223</t>
    <phoneticPr fontId="18" type="noConversion"/>
  </si>
  <si>
    <t>05-100224</t>
    <phoneticPr fontId="18" type="noConversion"/>
  </si>
  <si>
    <t>05-100222</t>
    <phoneticPr fontId="18" type="noConversion"/>
  </si>
  <si>
    <t>SCM(TPM*2+Sensor)</t>
    <phoneticPr fontId="18" type="noConversion"/>
  </si>
  <si>
    <t>X13</t>
    <phoneticPr fontId="9" type="noConversion"/>
  </si>
  <si>
    <t>CX8
ES: 692-9X88E-00CX-ES1
QS: 692-9X88E-00CX-QS1
PS: 900-9X88E-00CX-SP0</t>
    <phoneticPr fontId="18" type="noConversion"/>
  </si>
  <si>
    <t>Mercury_DC-SCM_2.0[EVT_X01], include 2xTPM + 1xSensor Board</t>
    <phoneticPr fontId="18" type="noConversion"/>
  </si>
  <si>
    <t>CBL, 54V Busbar Clip</t>
    <phoneticPr fontId="18" type="noConversion"/>
  </si>
  <si>
    <t>TEMP-S000227984</t>
    <phoneticPr fontId="18" type="noConversion"/>
  </si>
  <si>
    <t>TEMP-S000227985</t>
    <phoneticPr fontId="18" type="noConversion"/>
  </si>
  <si>
    <t>9_screw-hot-swap-m3l8</t>
  </si>
  <si>
    <t>9_screw-hot-swap-m4l8</t>
  </si>
  <si>
    <t>Hanwit</t>
    <phoneticPr fontId="18" type="noConversion"/>
  </si>
  <si>
    <t>EQ-32502-34F26A</t>
  </si>
  <si>
    <t>EQ-32502-34F23A</t>
  </si>
  <si>
    <t>CAA0200162-0</t>
  </si>
  <si>
    <t>TEMP-S000227988</t>
  </si>
  <si>
    <t>GTY</t>
  </si>
  <si>
    <t>E1.S 25mm SSD Bracket Screw</t>
  </si>
  <si>
    <t>E1.S 9.5mm SSD Bracket Screw</t>
  </si>
  <si>
    <t>AAA0250476-QB</t>
  </si>
  <si>
    <t>TEMP-S000227989</t>
  </si>
  <si>
    <t>2A585KV00-600-G</t>
    <phoneticPr fontId="18" type="noConversion"/>
  </si>
  <si>
    <t>1B61GVR00-600-G</t>
  </si>
  <si>
    <t>1B61GVR00-600-G</t>
    <phoneticPr fontId="18" type="noConversion"/>
  </si>
  <si>
    <t>2_PDB_CABLE_BRIDGE_SMALL-GB300.prt</t>
  </si>
  <si>
    <t>FOXCONN/EPD5</t>
    <phoneticPr fontId="18" type="noConversion"/>
  </si>
  <si>
    <t>From Fan R, move to L10 Assembly</t>
    <phoneticPr fontId="18" type="noConversion"/>
  </si>
  <si>
    <t>Gasket</t>
    <phoneticPr fontId="18" type="noConversion"/>
  </si>
  <si>
    <t>9_F0N-NIC-CX7-GASKET.prt</t>
  </si>
  <si>
    <t>2J057KM00-600-G</t>
  </si>
  <si>
    <t>15</t>
  </si>
  <si>
    <t>16</t>
  </si>
  <si>
    <t>17</t>
  </si>
  <si>
    <t>18</t>
  </si>
  <si>
    <t>33</t>
    <phoneticPr fontId="18" type="noConversion"/>
  </si>
  <si>
    <t>34</t>
    <phoneticPr fontId="18" type="noConversion"/>
  </si>
  <si>
    <t>54</t>
  </si>
  <si>
    <t>35</t>
    <phoneticPr fontId="18" type="noConversion"/>
  </si>
  <si>
    <t>36</t>
    <phoneticPr fontId="18" type="noConversion"/>
  </si>
  <si>
    <t>51</t>
  </si>
  <si>
    <t>52</t>
  </si>
  <si>
    <t>53</t>
  </si>
  <si>
    <t>55</t>
    <phoneticPr fontId="18" type="noConversion"/>
  </si>
  <si>
    <t>56</t>
    <phoneticPr fontId="18" type="noConversion"/>
  </si>
  <si>
    <t>57</t>
    <phoneticPr fontId="18" type="noConversion"/>
  </si>
  <si>
    <t>58</t>
    <phoneticPr fontId="18" type="noConversion"/>
  </si>
  <si>
    <t>Battery</t>
    <phoneticPr fontId="18" type="noConversion"/>
  </si>
  <si>
    <t>CR-2032L/BE</t>
  </si>
  <si>
    <t>890100800-024-G</t>
    <phoneticPr fontId="18" type="noConversion"/>
  </si>
  <si>
    <t>ODM Accessories Component CR Coin Type BATTERY LI 3V 220MAH</t>
    <phoneticPr fontId="18" type="noConversion"/>
  </si>
  <si>
    <t>Panasonic</t>
    <phoneticPr fontId="10" type="noConversion"/>
  </si>
  <si>
    <t>Will Put in PDB Discrete</t>
    <phoneticPr fontId="18" type="noConversion"/>
  </si>
  <si>
    <t>1. Considering Material Lead Time, Busbar Clip Will Use NEW PN(With New Feature)
2. Update Mechanical Part Local Source
3. Update ColdPlate HHPN
4. Move Cable Bridge From Fan R TLA to L10 Assembly Since Material Lead Time
5. Add Gasket in Sun Ref. Sheet
6. Add CR Battery
7. Update Label Information</t>
    <phoneticPr fontId="9" type="noConversion"/>
  </si>
  <si>
    <t>7J-3133-000</t>
    <phoneticPr fontId="18" type="noConversion"/>
  </si>
  <si>
    <t>LBL, L10 SN Label, L10 FBPN Label, L10 HHPN Label, 17x6mm</t>
    <phoneticPr fontId="18" type="noConversion"/>
  </si>
  <si>
    <t>OS01115</t>
  </si>
  <si>
    <t>LBL, SSD Label, 50.8x12.7mm</t>
    <phoneticPr fontId="18" type="noConversion"/>
  </si>
  <si>
    <t>SSD Label</t>
  </si>
  <si>
    <t>SN, FBPN,HHPN</t>
    <phoneticPr fontId="18" type="noConversion"/>
  </si>
  <si>
    <t>TEMP-S000227382</t>
    <phoneticPr fontId="18" type="noConversion"/>
  </si>
  <si>
    <t>TEMP-S000227347</t>
    <phoneticPr fontId="18" type="noConversion"/>
  </si>
  <si>
    <t>LC-04906-02-GP3S1</t>
    <phoneticPr fontId="18" type="noConversion"/>
  </si>
  <si>
    <t>0S51B00052</t>
    <phoneticPr fontId="18" type="noConversion"/>
  </si>
  <si>
    <t>TEMP-S000227380</t>
    <phoneticPr fontId="18" type="noConversion"/>
  </si>
  <si>
    <t>TEMP-S000227348</t>
    <phoneticPr fontId="18" type="noConversion"/>
  </si>
  <si>
    <t>LC-04907-02-GP3S1</t>
    <phoneticPr fontId="18" type="noConversion"/>
  </si>
  <si>
    <t xml:space="preserve">SFA3730001-1 </t>
    <phoneticPr fontId="18" type="noConversion"/>
  </si>
  <si>
    <t>0S51B00053</t>
    <phoneticPr fontId="18" type="noConversion"/>
  </si>
  <si>
    <t>0S51B00115</t>
    <phoneticPr fontId="18" type="noConversion"/>
  </si>
  <si>
    <t>LC-04915-02-GP3S1</t>
    <phoneticPr fontId="18" type="noConversion"/>
  </si>
  <si>
    <t>TEMP-S000227991</t>
    <phoneticPr fontId="18" type="noConversion"/>
  </si>
  <si>
    <t>Bizlink</t>
    <phoneticPr fontId="18" type="noConversion"/>
  </si>
  <si>
    <t>747-BL01B6S8BNB3Y24S2YK</t>
    <phoneticPr fontId="18" type="noConversion"/>
  </si>
  <si>
    <t>TEMP-S000227638</t>
    <phoneticPr fontId="18" type="noConversion"/>
  </si>
  <si>
    <t>TE</t>
    <phoneticPr fontId="18" type="noConversion"/>
  </si>
  <si>
    <t>2502255-1</t>
    <phoneticPr fontId="18" type="noConversion"/>
  </si>
  <si>
    <t>TEMP-S000226515</t>
    <phoneticPr fontId="18" type="noConversion"/>
  </si>
  <si>
    <t>TEMP-S000226518</t>
    <phoneticPr fontId="18" type="noConversion"/>
  </si>
  <si>
    <t>TEMP-S000226519</t>
    <phoneticPr fontId="18" type="noConversion"/>
  </si>
  <si>
    <t>X14</t>
    <phoneticPr fontId="9" type="noConversion"/>
  </si>
  <si>
    <t>54</t>
    <phoneticPr fontId="18" type="noConversion"/>
  </si>
  <si>
    <t>05-100225</t>
    <phoneticPr fontId="18" type="noConversion"/>
  </si>
  <si>
    <t>05-100226</t>
  </si>
  <si>
    <t>07-100632</t>
  </si>
  <si>
    <t>19-100602</t>
    <phoneticPr fontId="18" type="noConversion"/>
  </si>
  <si>
    <t>19-100603</t>
  </si>
  <si>
    <t>09-100275</t>
    <phoneticPr fontId="18" type="noConversion"/>
  </si>
  <si>
    <t>01-101139(Samsung)
01-101140 (Micron)
01-101141 (WD)</t>
    <phoneticPr fontId="18" type="noConversion"/>
  </si>
  <si>
    <t>Different Customer PN For Different SSD Mfg</t>
    <phoneticPr fontId="18" type="noConversion"/>
  </si>
  <si>
    <r>
      <t xml:space="preserve">1. Considering Material Lead Time(confirmed by PM Animy, 2/5, Mail), Busbar Clip Will Use Old PN(Without New Feature)
2. </t>
    </r>
    <r>
      <rPr>
        <sz val="11"/>
        <color rgb="FFFF0000"/>
        <rFont val="Calibri"/>
        <family val="2"/>
      </rPr>
      <t xml:space="preserve">Remove </t>
    </r>
    <r>
      <rPr>
        <sz val="11"/>
        <color theme="1"/>
        <rFont val="Calibri"/>
        <family val="2"/>
      </rPr>
      <t>LGA SOCAMM,SOCAMMand SOCAMM Screw(Confirmed by PM Animy, 2/5, Mail)
3. Base on BOM Structure, Move BSM Board to L10 BOM</t>
    </r>
    <r>
      <rPr>
        <sz val="11"/>
        <rFont val="Calibri"/>
        <family val="2"/>
      </rPr>
      <t xml:space="preserve">
4. Update SOCAMM HSK MfgPN and HHPN(from Mfg Auras, 2/3, Mail)
5. Update NIC Card PN in Remark(Waiting for Confirm)
6. Move DC-SCM Gasket to L10 BOM(Sun Ref.)
7. Add HSC Mechanical Part(Information from NV HSC Design Kit)
8. Add PDB Screw
9. Update </t>
    </r>
    <r>
      <rPr>
        <b/>
        <sz val="11"/>
        <rFont val="Calibri"/>
        <family val="2"/>
      </rPr>
      <t>Customer PN</t>
    </r>
    <phoneticPr fontId="9" type="noConversion"/>
  </si>
  <si>
    <r>
      <t xml:space="preserve">1. </t>
    </r>
    <r>
      <rPr>
        <b/>
        <sz val="11"/>
        <color rgb="FFFF0000"/>
        <rFont val="Calibri"/>
        <family val="2"/>
      </rPr>
      <t>Add L-thermal table Sub BOM</t>
    </r>
    <r>
      <rPr>
        <sz val="11"/>
        <rFont val="Calibri"/>
        <family val="2"/>
      </rPr>
      <t xml:space="preserve">(Information from Thermal Eric, 1/21, SE/Thermal Teams)
2. Add SOCAMM Screw
3. Change Description: </t>
    </r>
    <r>
      <rPr>
        <b/>
        <sz val="11"/>
        <rFont val="Calibri"/>
        <family val="2"/>
      </rPr>
      <t>54V Busbar Clip -&gt; 54V Busbar Cable</t>
    </r>
    <r>
      <rPr>
        <sz val="11"/>
        <rFont val="Calibri"/>
        <family val="2"/>
      </rPr>
      <t xml:space="preserve">
4. Update </t>
    </r>
    <r>
      <rPr>
        <b/>
        <sz val="11"/>
        <rFont val="Calibri"/>
        <family val="2"/>
      </rPr>
      <t>Customer PN</t>
    </r>
    <phoneticPr fontId="9" type="noConversion"/>
  </si>
  <si>
    <t>For L10 Customer PN: 01-101139</t>
    <phoneticPr fontId="18" type="noConversion"/>
  </si>
  <si>
    <t>For L10 Customer PN: 01-101140</t>
    <phoneticPr fontId="18" type="noConversion"/>
  </si>
  <si>
    <t>For L10 Customer PN: 01-101141</t>
    <phoneticPr fontId="18" type="noConversion"/>
  </si>
  <si>
    <t>19-HPM + SOCAMM w/cold plate w/o GPU</t>
    <phoneticPr fontId="18" type="noConversion"/>
  </si>
  <si>
    <t>TEMP-S000228053</t>
  </si>
  <si>
    <t>11- CPU</t>
  </si>
  <si>
    <t>NVIDIA</t>
    <phoneticPr fontId="18" type="noConversion"/>
  </si>
  <si>
    <t>Phantom PN(ODMPN=FBPN)</t>
    <phoneticPr fontId="18" type="noConversion"/>
  </si>
  <si>
    <t>TEMP-S000227026</t>
    <phoneticPr fontId="18" type="noConversion"/>
  </si>
  <si>
    <t>10-100141</t>
    <phoneticPr fontId="18" type="noConversion"/>
  </si>
  <si>
    <t>LPDDR5x 128GB Memory Density (per LPCAMM)</t>
  </si>
  <si>
    <t>MICRON</t>
    <phoneticPr fontId="18" type="noConversion"/>
  </si>
  <si>
    <t>MTD64C40327NL2N031F1</t>
    <phoneticPr fontId="18" type="noConversion"/>
  </si>
  <si>
    <t>SOCAMM</t>
    <phoneticPr fontId="18" type="noConversion"/>
  </si>
  <si>
    <t>TEMP-S000226361</t>
    <phoneticPr fontId="18" type="noConversion"/>
  </si>
  <si>
    <t>Kingston</t>
    <phoneticPr fontId="18" type="noConversion"/>
  </si>
  <si>
    <t>NV064SC8G32MB-128</t>
    <phoneticPr fontId="18" type="noConversion"/>
  </si>
  <si>
    <t>Socket/Holder NEW LPDDR5 SLIM_CAMM SOCKET 694 PIN BLACK 0.93*1.65mm PITCH</t>
    <phoneticPr fontId="18" type="noConversion"/>
  </si>
  <si>
    <t>Lotes</t>
    <phoneticPr fontId="18" type="noConversion"/>
  </si>
  <si>
    <t>LGA SOCAMM</t>
    <phoneticPr fontId="18" type="noConversion"/>
  </si>
  <si>
    <t>TEMP-S000226159</t>
    <phoneticPr fontId="18" type="noConversion"/>
  </si>
  <si>
    <t>Socket/Holder LPDDR5 SLIM_CAMM SOCKET 694 PIN BLACK 0.93*1.6mm PITCH</t>
    <phoneticPr fontId="18" type="noConversion"/>
  </si>
  <si>
    <t>FIT</t>
    <phoneticPr fontId="18" type="noConversion"/>
  </si>
  <si>
    <t>PL06946-12NN0-4H</t>
    <phoneticPr fontId="18" type="noConversion"/>
  </si>
  <si>
    <t>ACAM0018-P005C40CC</t>
    <phoneticPr fontId="18" type="noConversion"/>
  </si>
  <si>
    <t>TEMP-S000228020</t>
    <phoneticPr fontId="18" type="noConversion"/>
  </si>
  <si>
    <t>07-100631</t>
    <phoneticPr fontId="18" type="noConversion"/>
  </si>
  <si>
    <t>4</t>
    <phoneticPr fontId="10" type="noConversion"/>
  </si>
  <si>
    <t>TEMP-S000228054</t>
  </si>
  <si>
    <t>19- SXM7 GPU Module w/o Cold Plate</t>
  </si>
  <si>
    <t>19-100606</t>
    <phoneticPr fontId="18" type="noConversion"/>
  </si>
  <si>
    <t>TEMP-S000228055</t>
  </si>
  <si>
    <t>SSD holder</t>
  </si>
  <si>
    <t>Mechanical</t>
    <phoneticPr fontId="18" type="noConversion"/>
  </si>
  <si>
    <t>TEMP-S000228056</t>
  </si>
  <si>
    <t>8TB E1.S SSD Assy</t>
    <phoneticPr fontId="161" type="noConversion"/>
  </si>
  <si>
    <t>SSD latch</t>
    <phoneticPr fontId="18" type="noConversion"/>
  </si>
  <si>
    <t>19- GPU Module w/ Cold Plate</t>
    <phoneticPr fontId="18" type="noConversion"/>
  </si>
  <si>
    <t>2TB E1.S boot drive Assy</t>
    <phoneticPr fontId="18" type="noConversion"/>
  </si>
  <si>
    <r>
      <t xml:space="preserve">1. Move Cable Bridge From L10 Assembly Back to Fan R TLA (Confirmed by PM Amily, 2/8, Teams)
2. Update </t>
    </r>
    <r>
      <rPr>
        <b/>
        <sz val="11"/>
        <rFont val="Calibri"/>
        <family val="2"/>
      </rPr>
      <t xml:space="preserve">Customer PN </t>
    </r>
    <r>
      <rPr>
        <sz val="11"/>
        <rFont val="Calibri"/>
        <family val="2"/>
      </rPr>
      <t>(Will Use Different L10 Customer PN if Use Different E1.S SSD)
3. Update FRU BPM:
    a. 19-HPM + SOCAMM w/cold plate w/o GPU
    b. 19- GPU Module w/ Cold Plate
    c. 2TB E1.S boot drive Assy
    d. 8TB E1.S SSD Assy</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</si>
</sst>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5" formatCode="&quot;$&quot;#,##0;\-&quot;$&quot;#,##0"/>
    <numFmt numFmtId="7" formatCode="&quot;$&quot;#,##0.00;\-&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 #,##0_);_(* \(#,##0\);_(* &quot;-&quot;??_);_(@_)"/>
    <numFmt numFmtId="177" formatCode="&quot;?#,##0;[Red]\-&quot;&quot;?&quot;#,##0"/>
    <numFmt numFmtId="178" formatCode="&quot;$&quot;\ #,##0_);\(&quot;$&quot;\ #,##0\)"/>
    <numFmt numFmtId="179" formatCode="&quot;$&quot;\ #,##0_);[Red]\(&quot;$&quot;\ #,##0\)"/>
    <numFmt numFmtId="180" formatCode="\60\4\7\:"/>
    <numFmt numFmtId="181" formatCode="\5\50\5\:"/>
    <numFmt numFmtId="182" formatCode="\T\B\A\,0"/>
    <numFmt numFmtId="183" formatCode="&quot;$&quot;#,##0.00;[Red]&quot;$&quot;#,##0.00"/>
    <numFmt numFmtId="184" formatCode="_-* #,##0_-;\-* #,##0_-;_-* &quot;-&quot;??_-;_-@_-"/>
    <numFmt numFmtId="185" formatCode="###0_);\(#,##0\)"/>
    <numFmt numFmtId="186" formatCode="\(###0\)"/>
    <numFmt numFmtId="187" formatCode="0.00_)"/>
    <numFmt numFmtId="188" formatCode="_ * #,##0_ ;_ * \-#,##0_ ;_ * &quot;-&quot;_ ;_ @_ "/>
    <numFmt numFmtId="189" formatCode="_ * #,##0.00_ ;_ * \-#,##0.00_ ;_ * &quot;-&quot;??_ ;_ @_ "/>
    <numFmt numFmtId="190" formatCode="&quot;$&quot;#,##0\ ;\(&quot;$&quot;#,##0\)"/>
    <numFmt numFmtId="191" formatCode="mm/dd/yy"/>
    <numFmt numFmtId="192" formatCode="#,##0.0"/>
    <numFmt numFmtId="193" formatCode="0.0%"/>
    <numFmt numFmtId="194" formatCode="&quot;$&quot;#,##0.00"/>
    <numFmt numFmtId="195" formatCode="_ * #,##0_ ;_ * &quot;\&quot;&quot;\&quot;&quot;\&quot;\-#,##0_ ;_ * &quot;-&quot;_ ;_ @_ "/>
    <numFmt numFmtId="196" formatCode="&quot;\&quot;&quot;\&quot;&quot;\&quot;&quot;\&quot;\$#,##0.00;&quot;\&quot;&quot;\&quot;&quot;\&quot;&quot;\&quot;\(&quot;\&quot;&quot;\&quot;&quot;\&quot;&quot;\&quot;\$#,##0.00&quot;\&quot;&quot;\&quot;&quot;\&quot;&quot;\&quot;\)"/>
    <numFmt numFmtId="197" formatCode="&quot;\&quot;&quot;\&quot;&quot;\&quot;&quot;\&quot;\$#,##0;&quot;\&quot;&quot;\&quot;&quot;\&quot;&quot;\&quot;\(&quot;\&quot;&quot;\&quot;&quot;\&quot;&quot;\&quot;\$#,##0&quot;\&quot;&quot;\&quot;&quot;\&quot;&quot;\&quot;\)"/>
    <numFmt numFmtId="198" formatCode="_(* #,##0.0_);_(* &quot;\&quot;&quot;\&quot;&quot;\&quot;&quot;\&quot;\(#,##0.0&quot;\&quot;&quot;\&quot;&quot;\&quot;&quot;\&quot;\);_(* &quot;-&quot;_);_(@_)"/>
    <numFmt numFmtId="199" formatCode="#,##0;&quot;\&quot;&quot;\&quot;&quot;\&quot;&quot;\&quot;\(#,##0&quot;\&quot;&quot;\&quot;&quot;\&quot;&quot;\&quot;\)"/>
    <numFmt numFmtId="200" formatCode="_-* #,##0.0000_-;&quot;\&quot;&quot;\&quot;&quot;\&quot;&quot;\&quot;\-* #,##0.0000_-;_-* &quot;-&quot;??_-;_-@_-"/>
    <numFmt numFmtId="201" formatCode="#,##0.0000_);\(#,##0.0000\);"/>
    <numFmt numFmtId="202" formatCode="&quot;$&quot;#,##0.0000_);\(&quot;$&quot;#,##0.0000\)"/>
    <numFmt numFmtId="203" formatCode="_-* #,##0.0_-;\-* #,##0.0_-;_-* &quot;-&quot;??_-;_-@_-"/>
    <numFmt numFmtId="204" formatCode="#,##0.000"/>
    <numFmt numFmtId="205" formatCode="#,##0.0_);\(#,##0.0\)"/>
    <numFmt numFmtId="206" formatCode="0.0_);[Red]\(0.0\)"/>
    <numFmt numFmtId="207" formatCode="0.0000%"/>
    <numFmt numFmtId="208" formatCode="&quot;$&quot;#,##0.000_);\(&quot;$&quot;#,##0.000\)"/>
    <numFmt numFmtId="209" formatCode="0.00000"/>
    <numFmt numFmtId="210" formatCode="_(&quot;$&quot;\ * #,##0_);_(&quot;$&quot;\ * \(#,##0\);_(&quot;$&quot;\ * &quot;-&quot;_);_(@_)"/>
    <numFmt numFmtId="211" formatCode="_(&quot;$&quot;\ * #,##0.00_);_(&quot;$&quot;\ * \(#,##0.00\);_(&quot;$&quot;\ * &quot;-&quot;??_);_(@_)"/>
    <numFmt numFmtId="212" formatCode="#,##0.00&quot;R$&quot;_);\(#,##0.00&quot;R$&quot;\)"/>
    <numFmt numFmtId="213" formatCode="0.0#"/>
    <numFmt numFmtId="214" formatCode="&quot;R$&quot;#,##0_);\(&quot;R$&quot;#,##0\)"/>
    <numFmt numFmtId="215" formatCode="&quot;R$&quot;#,##0_);[Red]\(&quot;R$&quot;#,##0\)"/>
  </numFmts>
  <fonts count="162">
    <font>
      <sz val="12"/>
      <color theme="1"/>
      <name val="新細明體"/>
      <family val="1"/>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1"/>
      <charset val="136"/>
    </font>
    <font>
      <sz val="10"/>
      <name val="Arial"/>
      <family val="2"/>
    </font>
    <font>
      <sz val="9"/>
      <name val="宋体"/>
      <family val="3"/>
      <charset val="136"/>
    </font>
    <font>
      <sz val="9"/>
      <name val="細明體"/>
      <family val="3"/>
    </font>
    <font>
      <sz val="12"/>
      <name val="新細明體"/>
      <family val="1"/>
      <charset val="136"/>
    </font>
    <font>
      <sz val="10"/>
      <color indexed="8"/>
      <name val="MS Sans Serif"/>
      <family val="2"/>
    </font>
    <font>
      <sz val="9"/>
      <name val="細明體"/>
      <family val="3"/>
      <charset val="136"/>
    </font>
    <font>
      <sz val="12"/>
      <name val="Calibri"/>
      <family val="2"/>
    </font>
    <font>
      <sz val="12"/>
      <name val="新細明體"/>
      <family val="1"/>
    </font>
    <font>
      <strike/>
      <sz val="12"/>
      <name val="Calibri"/>
      <family val="2"/>
    </font>
    <font>
      <sz val="12"/>
      <color theme="1"/>
      <name val="Calibri"/>
      <family val="2"/>
    </font>
    <font>
      <sz val="9"/>
      <name val="新細明體"/>
      <family val="1"/>
      <charset val="136"/>
      <scheme val="minor"/>
    </font>
    <font>
      <sz val="12"/>
      <color theme="1"/>
      <name val="新細明體"/>
      <family val="1"/>
      <charset val="136"/>
      <scheme val="minor"/>
    </font>
    <font>
      <b/>
      <sz val="14"/>
      <name val="Calibri"/>
      <family val="2"/>
    </font>
    <font>
      <sz val="11"/>
      <name val="Calibri"/>
      <family val="2"/>
    </font>
    <font>
      <sz val="11"/>
      <color theme="1"/>
      <name val="Calibri"/>
      <family val="2"/>
    </font>
    <font>
      <sz val="10"/>
      <name val="Arial"/>
      <family val="2"/>
      <charset val="1"/>
    </font>
    <font>
      <sz val="12"/>
      <color rgb="FF000000"/>
      <name val="新細明體"/>
      <family val="2"/>
      <charset val="1"/>
    </font>
    <font>
      <sz val="10"/>
      <color rgb="FF000000"/>
      <name val="MS Sans Serif"/>
      <family val="2"/>
      <charset val="1"/>
    </font>
    <font>
      <b/>
      <sz val="12"/>
      <name val="Arial"/>
      <family val="2"/>
    </font>
    <font>
      <sz val="12"/>
      <name val="Times New Roman"/>
      <family val="1"/>
    </font>
    <font>
      <sz val="11"/>
      <color indexed="8"/>
      <name val="宋体"/>
      <family val="3"/>
      <charset val="136"/>
    </font>
    <font>
      <sz val="12"/>
      <color indexed="8"/>
      <name val="新細明體"/>
      <family val="1"/>
      <charset val="136"/>
    </font>
    <font>
      <sz val="11"/>
      <color indexed="9"/>
      <name val="宋体"/>
    </font>
    <font>
      <sz val="10"/>
      <color indexed="8"/>
      <name val="Arial"/>
      <family val="2"/>
    </font>
    <font>
      <sz val="10"/>
      <name val="MS Sans Serif"/>
      <family val="2"/>
    </font>
    <font>
      <b/>
      <sz val="11"/>
      <color indexed="8"/>
      <name val="宋体"/>
    </font>
    <font>
      <sz val="11"/>
      <color indexed="52"/>
      <name val="宋体"/>
    </font>
    <font>
      <sz val="12"/>
      <name val="宋体"/>
    </font>
    <font>
      <sz val="11"/>
      <color indexed="8"/>
      <name val="新細明體"/>
      <family val="1"/>
      <charset val="136"/>
      <scheme val="minor"/>
    </font>
    <font>
      <sz val="11"/>
      <color indexed="8"/>
      <name val="宋体"/>
    </font>
    <font>
      <sz val="12"/>
      <color indexed="9"/>
      <name val="新細明體"/>
      <family val="1"/>
      <charset val="136"/>
    </font>
    <font>
      <b/>
      <sz val="12"/>
      <color indexed="8"/>
      <name val="新細明體"/>
      <family val="1"/>
      <charset val="136"/>
    </font>
    <font>
      <sz val="12"/>
      <color indexed="17"/>
      <name val="新細明體"/>
      <family val="1"/>
      <charset val="136"/>
    </font>
    <font>
      <sz val="12"/>
      <color indexed="52"/>
      <name val="新細明體"/>
      <family val="1"/>
      <charset val="136"/>
    </font>
    <font>
      <b/>
      <sz val="11"/>
      <name val="Calibri"/>
      <family val="2"/>
    </font>
    <font>
      <b/>
      <sz val="11"/>
      <color theme="1"/>
      <name val="Calibri"/>
      <family val="2"/>
    </font>
    <font>
      <sz val="9"/>
      <name val="新細明體"/>
      <family val="3"/>
      <charset val="136"/>
      <scheme val="minor"/>
    </font>
    <font>
      <sz val="9"/>
      <name val="新細明體"/>
      <family val="2"/>
      <charset val="136"/>
      <scheme val="minor"/>
    </font>
    <font>
      <sz val="12"/>
      <color theme="0"/>
      <name val="Calibri"/>
      <family val="2"/>
    </font>
    <font>
      <sz val="9"/>
      <name val="Calibri"/>
      <family val="2"/>
      <charset val="136"/>
    </font>
    <font>
      <sz val="11"/>
      <color theme="1"/>
      <name val="Calibri"/>
      <family val="2"/>
      <charset val="136"/>
    </font>
    <font>
      <sz val="11"/>
      <color theme="1"/>
      <name val="Microsoft JhengHei"/>
      <family val="2"/>
    </font>
    <font>
      <sz val="11"/>
      <color rgb="FF000000"/>
      <name val="Calibri"/>
      <family val="2"/>
    </font>
    <font>
      <sz val="12"/>
      <name val="Calibri"/>
      <family val="2"/>
      <charset val="136"/>
    </font>
    <font>
      <sz val="12"/>
      <color theme="1"/>
      <name val="新細明體"/>
      <family val="1"/>
      <charset val="136"/>
    </font>
    <font>
      <sz val="11"/>
      <color theme="1"/>
      <name val="新細明體"/>
      <family val="1"/>
      <charset val="136"/>
      <scheme val="minor"/>
    </font>
    <font>
      <b/>
      <sz val="11"/>
      <color rgb="FFFF0000"/>
      <name val="Calibri"/>
      <family val="2"/>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1"/>
      <color rgb="FFFF0000"/>
      <name val="Calibri"/>
      <family val="2"/>
    </font>
    <font>
      <b/>
      <u/>
      <sz val="11"/>
      <color rgb="FFFF0000"/>
      <name val="Calibri"/>
      <family val="2"/>
    </font>
    <font>
      <u/>
      <sz val="11"/>
      <color rgb="FFFF0000"/>
      <name val="Calibri"/>
      <family val="2"/>
    </font>
    <font>
      <sz val="11"/>
      <color indexed="8"/>
      <name val="新細明體"/>
      <family val="2"/>
      <scheme val="minor"/>
    </font>
    <font>
      <sz val="12"/>
      <color indexed="60"/>
      <name val="新細明體"/>
      <family val="1"/>
      <charset val="136"/>
    </font>
    <font>
      <b/>
      <sz val="12"/>
      <color indexed="52"/>
      <name val="新細明體"/>
      <family val="1"/>
      <charset val="136"/>
    </font>
    <font>
      <sz val="11"/>
      <color indexed="20"/>
      <name val="宋体"/>
    </font>
    <font>
      <sz val="11"/>
      <color indexed="60"/>
      <name val="宋体"/>
    </font>
    <font>
      <i/>
      <sz val="11"/>
      <color indexed="23"/>
      <name val="宋体"/>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1"/>
      <color indexed="10"/>
      <name val="宋体"/>
    </font>
    <font>
      <sz val="12"/>
      <color indexed="10"/>
      <name val="新細明體"/>
      <family val="1"/>
      <charset val="136"/>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52"/>
      <name val="宋体"/>
    </font>
    <font>
      <sz val="11"/>
      <color indexed="62"/>
      <name val="宋体"/>
    </font>
    <font>
      <b/>
      <sz val="11"/>
      <color indexed="63"/>
      <name val="宋体"/>
    </font>
    <font>
      <sz val="10"/>
      <color indexed="8"/>
      <name val="Verdana"/>
      <family val="2"/>
    </font>
    <font>
      <sz val="11"/>
      <color rgb="FF242424"/>
      <name val="Calibri"/>
      <family val="2"/>
    </font>
    <font>
      <b/>
      <sz val="12"/>
      <name val="Calibri"/>
      <family val="2"/>
    </font>
    <font>
      <b/>
      <sz val="12"/>
      <color theme="1"/>
      <name val="Calibri"/>
      <family val="2"/>
    </font>
    <font>
      <sz val="12"/>
      <color rgb="FF000000"/>
      <name val="Calibri"/>
      <family val="2"/>
    </font>
    <font>
      <strike/>
      <sz val="11"/>
      <name val="Calibri"/>
      <family val="2"/>
    </font>
    <font>
      <strike/>
      <sz val="11"/>
      <color theme="1"/>
      <name val="Calibri"/>
      <family val="2"/>
    </font>
    <font>
      <sz val="10"/>
      <color rgb="FF000000"/>
      <name val="新細明體"/>
      <family val="2"/>
      <scheme val="minor"/>
    </font>
    <font>
      <sz val="12"/>
      <name val="標楷體"/>
      <family val="4"/>
      <charset val="136"/>
    </font>
    <font>
      <sz val="9"/>
      <name val="Geneva"/>
      <family val="2"/>
    </font>
    <font>
      <sz val="12"/>
      <name val="바탕체"/>
      <family val="3"/>
      <charset val="255"/>
    </font>
    <font>
      <sz val="10"/>
      <name val="Geneva"/>
      <family val="2"/>
    </font>
    <font>
      <sz val="10"/>
      <name val="Helv"/>
      <family val="2"/>
    </font>
    <font>
      <sz val="11"/>
      <name val="‚l‚r ‚oƒSƒVƒbƒN"/>
      <family val="3"/>
    </font>
    <font>
      <b/>
      <sz val="10"/>
      <name val="Arial"/>
      <family val="2"/>
    </font>
    <font>
      <sz val="12"/>
      <name val="Arial MT"/>
      <family val="2"/>
    </font>
    <font>
      <sz val="12"/>
      <name val="¹UAAA¼"/>
      <family val="3"/>
    </font>
    <font>
      <sz val="8"/>
      <name val="Times New Roman"/>
      <family val="1"/>
    </font>
    <font>
      <b/>
      <sz val="11"/>
      <color indexed="18"/>
      <name val="Times New Roman"/>
      <family val="1"/>
    </font>
    <font>
      <b/>
      <sz val="14"/>
      <color indexed="18"/>
      <name val="Times New Roman"/>
      <family val="1"/>
    </font>
    <font>
      <b/>
      <sz val="10"/>
      <name val="Times New Roman"/>
      <family val="1"/>
    </font>
    <font>
      <b/>
      <sz val="10"/>
      <name val="MS Sans Serif"/>
      <family val="2"/>
    </font>
    <font>
      <sz val="9"/>
      <name val="Arial"/>
      <family val="2"/>
    </font>
    <font>
      <b/>
      <sz val="10"/>
      <name val="Helv"/>
      <family val="2"/>
    </font>
    <font>
      <sz val="10"/>
      <name val="Times New Roman"/>
      <family val="1"/>
    </font>
    <font>
      <sz val="10"/>
      <name val="BERNHARD"/>
      <family val="1"/>
    </font>
    <font>
      <sz val="10"/>
      <color indexed="0"/>
      <name val="MS Sans Serif"/>
      <family val="2"/>
    </font>
    <font>
      <sz val="10"/>
      <name val="MS Serif"/>
      <family val="1"/>
    </font>
    <font>
      <sz val="10"/>
      <name val="Courier"/>
      <family val="3"/>
    </font>
    <font>
      <sz val="8"/>
      <name val="MS Sans Serif"/>
      <family val="2"/>
    </font>
    <font>
      <sz val="1"/>
      <color indexed="8"/>
      <name val="Courier"/>
      <family val="3"/>
    </font>
    <font>
      <b/>
      <sz val="1"/>
      <color indexed="8"/>
      <name val="Courier"/>
      <family val="3"/>
    </font>
    <font>
      <sz val="10"/>
      <color indexed="16"/>
      <name val="MS Serif"/>
      <family val="1"/>
    </font>
    <font>
      <sz val="11"/>
      <name val="–¾’©"/>
      <family val="1"/>
      <charset val="136"/>
    </font>
    <font>
      <sz val="8"/>
      <name val="Arial"/>
      <family val="2"/>
    </font>
    <font>
      <b/>
      <u/>
      <sz val="11"/>
      <color indexed="37"/>
      <name val="Arial"/>
      <family val="2"/>
    </font>
    <font>
      <b/>
      <sz val="18"/>
      <name val="Arial"/>
      <family val="2"/>
    </font>
    <font>
      <b/>
      <sz val="8"/>
      <name val="MS Sans Serif"/>
      <family val="2"/>
    </font>
    <font>
      <sz val="10"/>
      <color indexed="12"/>
      <name val="Arial"/>
      <family val="2"/>
    </font>
    <font>
      <u/>
      <sz val="7.5"/>
      <color indexed="12"/>
      <name val="Helv"/>
      <family val="2"/>
    </font>
    <font>
      <sz val="12"/>
      <name val="Helv"/>
      <family val="2"/>
    </font>
    <font>
      <sz val="11"/>
      <name val="Arial"/>
      <family val="2"/>
    </font>
    <font>
      <sz val="12"/>
      <color indexed="9"/>
      <name val="Helv"/>
      <family val="2"/>
    </font>
    <font>
      <b/>
      <sz val="10"/>
      <color indexed="9"/>
      <name val="Arial"/>
      <family val="2"/>
    </font>
    <font>
      <sz val="7"/>
      <name val="Small Fonts"/>
      <family val="2"/>
    </font>
    <font>
      <b/>
      <i/>
      <sz val="16"/>
      <name val="Helv"/>
      <family val="2"/>
    </font>
    <font>
      <b/>
      <sz val="8.5"/>
      <name val="MS Sans Serif"/>
      <family val="2"/>
    </font>
    <font>
      <sz val="10"/>
      <name val="Tms Rmn"/>
      <family val="1"/>
    </font>
    <font>
      <b/>
      <sz val="11"/>
      <color indexed="16"/>
      <name val="Times New Roman"/>
      <family val="1"/>
    </font>
    <font>
      <sz val="8"/>
      <name val="Wingdings"/>
      <charset val="2"/>
    </font>
    <font>
      <sz val="8"/>
      <name val="Helv"/>
      <family val="2"/>
    </font>
    <font>
      <b/>
      <sz val="8.25"/>
      <name val="Helv"/>
      <family val="2"/>
    </font>
    <font>
      <b/>
      <sz val="8"/>
      <color indexed="8"/>
      <name val="Helv"/>
      <family val="2"/>
    </font>
    <font>
      <b/>
      <sz val="8"/>
      <name val="Times New Roman"/>
      <family val="1"/>
    </font>
    <font>
      <sz val="12"/>
      <name val="Courier"/>
      <family val="3"/>
    </font>
    <font>
      <sz val="14"/>
      <name val="뼻뮝"/>
      <family val="3"/>
    </font>
    <font>
      <sz val="12"/>
      <name val="뼻뮝"/>
      <family val="1"/>
    </font>
    <font>
      <sz val="10"/>
      <name val="ＭＳ Ｐゴシック"/>
      <family val="2"/>
    </font>
    <font>
      <sz val="10"/>
      <name val="俵俽 俹僑僔僢僋"/>
      <family val="2"/>
    </font>
    <font>
      <b/>
      <strike/>
      <sz val="11"/>
      <name val="Calibri"/>
      <family val="2"/>
    </font>
    <font>
      <b/>
      <strike/>
      <sz val="11"/>
      <color theme="1"/>
      <name val="Calibri"/>
      <family val="2"/>
    </font>
    <font>
      <strike/>
      <sz val="12"/>
      <color theme="1"/>
      <name val="Calibri"/>
      <family val="2"/>
    </font>
    <font>
      <sz val="9"/>
      <name val="標楷體"/>
      <family val="4"/>
      <charset val="136"/>
    </font>
  </fonts>
  <fills count="7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indexed="4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tint="-0.499984740745262"/>
        <bgColor indexed="64"/>
      </patternFill>
    </fill>
    <fill>
      <patternFill patternType="solid">
        <fgColor theme="6" tint="0.79998168889431442"/>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patternFill>
    </fill>
    <fill>
      <patternFill patternType="solid">
        <fgColor indexed="22"/>
      </patternFill>
    </fill>
    <fill>
      <patternFill patternType="solid">
        <fgColor indexed="55"/>
      </patternFill>
    </fill>
    <fill>
      <patternFill patternType="solid">
        <fgColor rgb="FF00B050"/>
        <bgColor indexed="64"/>
      </patternFill>
    </fill>
    <fill>
      <patternFill patternType="solid">
        <fgColor rgb="FF00B0F0"/>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10"/>
        <bgColor indexed="64"/>
      </patternFill>
    </fill>
    <fill>
      <patternFill patternType="mediumGray">
        <fgColor indexed="22"/>
      </patternFill>
    </fill>
    <fill>
      <patternFill patternType="darkVertical"/>
    </fill>
    <fill>
      <patternFill patternType="darkGray">
        <fgColor indexed="15"/>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style="thin">
        <color indexed="64"/>
      </right>
      <top/>
      <bottom/>
      <diagonal/>
    </border>
    <border>
      <left style="double">
        <color indexed="64"/>
      </left>
      <right/>
      <top/>
      <bottom style="hair">
        <color indexed="64"/>
      </bottom>
      <diagonal/>
    </border>
    <border>
      <left/>
      <right/>
      <top style="thin">
        <color indexed="64"/>
      </top>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top style="thin">
        <color indexed="64"/>
      </top>
      <bottom style="thin">
        <color indexed="64"/>
      </bottom>
      <diagonal/>
    </border>
    <border>
      <left style="double">
        <color indexed="64"/>
      </left>
      <right style="double">
        <color indexed="64"/>
      </right>
      <top/>
      <bottom style="double">
        <color indexed="64"/>
      </bottom>
      <diagonal/>
    </border>
    <border>
      <left/>
      <right/>
      <top/>
      <bottom style="double">
        <color indexed="64"/>
      </bottom>
      <diagonal/>
    </border>
    <border>
      <left/>
      <right/>
      <top style="double">
        <color indexed="64"/>
      </top>
      <bottom/>
      <diagonal/>
    </border>
  </borders>
  <cellStyleXfs count="521">
    <xf numFmtId="0" fontId="0" fillId="0" borderId="0"/>
    <xf numFmtId="0" fontId="12" fillId="0" borderId="0"/>
    <xf numFmtId="0" fontId="11" fillId="0" borderId="0"/>
    <xf numFmtId="0" fontId="8" fillId="0" borderId="0"/>
    <xf numFmtId="0" fontId="11" fillId="0" borderId="0"/>
    <xf numFmtId="0" fontId="11" fillId="0" borderId="0"/>
    <xf numFmtId="0" fontId="15" fillId="0" borderId="0"/>
    <xf numFmtId="0" fontId="11" fillId="0" borderId="0"/>
    <xf numFmtId="0" fontId="19" fillId="0" borderId="0"/>
    <xf numFmtId="0" fontId="19" fillId="0" borderId="0"/>
    <xf numFmtId="0" fontId="19" fillId="0" borderId="0"/>
    <xf numFmtId="43" fontId="19" fillId="0" borderId="0" applyFont="0" applyFill="0" applyBorder="0" applyAlignment="0" applyProtection="0">
      <alignment vertical="center"/>
    </xf>
    <xf numFmtId="0" fontId="19" fillId="0" borderId="0"/>
    <xf numFmtId="43" fontId="19" fillId="0" borderId="0" applyFont="0" applyFill="0" applyBorder="0" applyAlignment="0" applyProtection="0">
      <alignment vertical="center"/>
    </xf>
    <xf numFmtId="0" fontId="23" fillId="0" borderId="0"/>
    <xf numFmtId="0" fontId="24" fillId="0" borderId="0"/>
    <xf numFmtId="0" fontId="23" fillId="0" borderId="0"/>
    <xf numFmtId="0" fontId="19" fillId="0" borderId="0">
      <alignment vertical="center"/>
    </xf>
    <xf numFmtId="0" fontId="25" fillId="0" borderId="0"/>
    <xf numFmtId="0" fontId="6" fillId="0" borderId="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9" fillId="7" borderId="0" applyNumberFormat="0" applyBorder="0" applyAlignment="0" applyProtection="0">
      <alignment vertical="center"/>
    </xf>
    <xf numFmtId="0" fontId="29" fillId="8"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8" fillId="10" borderId="0" applyNumberFormat="0" applyBorder="0" applyAlignment="0" applyProtection="0">
      <alignment vertical="center"/>
    </xf>
    <xf numFmtId="0" fontId="28" fillId="13" borderId="0" applyNumberFormat="0" applyBorder="0" applyAlignment="0" applyProtection="0">
      <alignment vertical="center"/>
    </xf>
    <xf numFmtId="0" fontId="28" fillId="16"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9" fillId="10" borderId="0" applyNumberFormat="0" applyBorder="0" applyAlignment="0" applyProtection="0">
      <alignment vertical="center"/>
    </xf>
    <xf numFmtId="0" fontId="29" fillId="13"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177" fontId="8" fillId="0" borderId="0" applyFill="0" applyBorder="0" applyAlignment="0"/>
    <xf numFmtId="178" fontId="27" fillId="0" borderId="0" applyFill="0" applyBorder="0" applyAlignment="0"/>
    <xf numFmtId="179" fontId="27" fillId="0" borderId="0" applyFill="0" applyBorder="0" applyAlignment="0"/>
    <xf numFmtId="180" fontId="8" fillId="0" borderId="0" applyFill="0" applyBorder="0" applyAlignment="0"/>
    <xf numFmtId="181" fontId="8"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177" fontId="8" fillId="0" borderId="0" applyFont="0" applyFill="0" applyBorder="0" applyAlignment="0" applyProtection="0"/>
    <xf numFmtId="178" fontId="27" fillId="0" borderId="0" applyFont="0" applyFill="0" applyBorder="0" applyAlignment="0" applyProtection="0"/>
    <xf numFmtId="14" fontId="31" fillId="0" borderId="0" applyFill="0" applyBorder="0" applyAlignment="0"/>
    <xf numFmtId="38" fontId="32" fillId="0" borderId="2">
      <alignment vertical="center"/>
    </xf>
    <xf numFmtId="177" fontId="8" fillId="0" borderId="0" applyFill="0" applyBorder="0" applyAlignment="0"/>
    <xf numFmtId="178" fontId="27"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0" fontId="26" fillId="0" borderId="3" applyNumberFormat="0" applyAlignment="0" applyProtection="0">
      <alignment horizontal="left" vertical="center"/>
    </xf>
    <xf numFmtId="0" fontId="26" fillId="0" borderId="4">
      <alignment horizontal="left" vertical="center"/>
    </xf>
    <xf numFmtId="177" fontId="8" fillId="0" borderId="0" applyFill="0" applyBorder="0" applyAlignment="0"/>
    <xf numFmtId="178" fontId="27"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184" fontId="27" fillId="0" borderId="0"/>
    <xf numFmtId="0" fontId="8" fillId="0" borderId="0"/>
    <xf numFmtId="181" fontId="8" fillId="0" borderId="0" applyFont="0" applyFill="0" applyBorder="0" applyAlignment="0" applyProtection="0"/>
    <xf numFmtId="183" fontId="8" fillId="0" borderId="0" applyFont="0" applyFill="0" applyBorder="0" applyAlignment="0" applyProtection="0"/>
    <xf numFmtId="185" fontId="8" fillId="0" borderId="0" applyFont="0" applyFill="0" applyBorder="0" applyAlignment="0" applyProtection="0"/>
    <xf numFmtId="177" fontId="8" fillId="0" borderId="0" applyFill="0" applyBorder="0" applyAlignment="0"/>
    <xf numFmtId="178" fontId="27"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49" fontId="31" fillId="0" borderId="0" applyFill="0" applyBorder="0" applyAlignment="0"/>
    <xf numFmtId="185" fontId="8" fillId="0" borderId="0" applyFill="0" applyBorder="0" applyAlignment="0"/>
    <xf numFmtId="186" fontId="8" fillId="0" borderId="0" applyFill="0" applyBorder="0" applyAlignment="0"/>
    <xf numFmtId="187" fontId="11" fillId="0" borderId="0"/>
    <xf numFmtId="0" fontId="33" fillId="0" borderId="5" applyNumberFormat="0" applyFill="0" applyAlignment="0" applyProtection="0">
      <alignment vertical="center"/>
    </xf>
    <xf numFmtId="0" fontId="8" fillId="21" borderId="6" applyNumberFormat="0" applyFont="0" applyAlignment="0" applyProtection="0">
      <alignment vertical="center"/>
    </xf>
    <xf numFmtId="0" fontId="8" fillId="0" borderId="0"/>
    <xf numFmtId="0" fontId="8" fillId="0" borderId="0" applyFont="0" applyFill="0" applyBorder="0" applyAlignment="0" applyProtection="0"/>
    <xf numFmtId="0" fontId="8" fillId="0" borderId="0" applyFont="0" applyFill="0" applyBorder="0" applyAlignment="0" applyProtection="0"/>
    <xf numFmtId="0" fontId="8" fillId="0" borderId="0"/>
    <xf numFmtId="42"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5" borderId="0" applyNumberFormat="0" applyBorder="0" applyAlignment="0" applyProtection="0">
      <alignment vertical="center"/>
    </xf>
    <xf numFmtId="0" fontId="34" fillId="0" borderId="7" applyNumberFormat="0" applyFill="0" applyAlignment="0" applyProtection="0">
      <alignment vertical="center"/>
    </xf>
    <xf numFmtId="0" fontId="35" fillId="0" borderId="0"/>
    <xf numFmtId="0" fontId="35" fillId="0" borderId="0"/>
    <xf numFmtId="0" fontId="36" fillId="0" borderId="0"/>
    <xf numFmtId="0" fontId="37" fillId="7" borderId="0" applyNumberFormat="0" applyBorder="0" applyAlignment="0" applyProtection="0">
      <alignment vertical="center"/>
    </xf>
    <xf numFmtId="0" fontId="37" fillId="8"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3"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8" fillId="0" borderId="0" applyNumberFormat="0" applyFont="0" applyFill="0" applyBorder="0" applyAlignment="0" applyProtection="0"/>
    <xf numFmtId="0" fontId="39" fillId="0" borderId="5" applyNumberFormat="0" applyFill="0" applyAlignment="0" applyProtection="0">
      <alignment vertical="center"/>
    </xf>
    <xf numFmtId="0" fontId="40" fillId="9" borderId="0" applyNumberFormat="0" applyBorder="0" applyAlignment="0" applyProtection="0">
      <alignment vertical="center"/>
    </xf>
    <xf numFmtId="0" fontId="41" fillId="0" borderId="7" applyNumberFormat="0" applyFill="0" applyAlignment="0" applyProtection="0">
      <alignment vertical="center"/>
    </xf>
    <xf numFmtId="0" fontId="8" fillId="21" borderId="6" applyNumberFormat="0" applyFont="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8" fillId="25" borderId="0" applyNumberFormat="0" applyBorder="0" applyAlignment="0" applyProtection="0">
      <alignment vertical="center"/>
    </xf>
    <xf numFmtId="0" fontId="8" fillId="0" borderId="0"/>
    <xf numFmtId="0" fontId="48" fillId="0" borderId="0">
      <alignment vertical="center"/>
    </xf>
    <xf numFmtId="0" fontId="5" fillId="0" borderId="0">
      <alignment vertical="center"/>
    </xf>
    <xf numFmtId="0" fontId="11" fillId="0" borderId="0"/>
    <xf numFmtId="0" fontId="52" fillId="0" borderId="0">
      <alignment vertical="center"/>
    </xf>
    <xf numFmtId="0" fontId="27" fillId="0" borderId="0"/>
    <xf numFmtId="0" fontId="8" fillId="0" borderId="0"/>
    <xf numFmtId="0" fontId="53" fillId="0" borderId="0"/>
    <xf numFmtId="0" fontId="19" fillId="0" borderId="0"/>
    <xf numFmtId="0" fontId="8" fillId="0" borderId="0"/>
    <xf numFmtId="0" fontId="11" fillId="0" borderId="0"/>
    <xf numFmtId="0" fontId="19" fillId="0" borderId="0"/>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16" applyNumberFormat="0" applyFill="0" applyAlignment="0" applyProtection="0">
      <alignment vertical="center"/>
    </xf>
    <xf numFmtId="0" fontId="57" fillId="0" borderId="17" applyNumberFormat="0" applyFill="0" applyAlignment="0" applyProtection="0">
      <alignment vertical="center"/>
    </xf>
    <xf numFmtId="0" fontId="58" fillId="0" borderId="18" applyNumberFormat="0" applyFill="0" applyAlignment="0" applyProtection="0">
      <alignment vertical="center"/>
    </xf>
    <xf numFmtId="0" fontId="58" fillId="0" borderId="0" applyNumberFormat="0" applyFill="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19" applyNumberFormat="0" applyAlignment="0" applyProtection="0">
      <alignment vertical="center"/>
    </xf>
    <xf numFmtId="0" fontId="63" fillId="33" borderId="20" applyNumberFormat="0" applyAlignment="0" applyProtection="0">
      <alignment vertical="center"/>
    </xf>
    <xf numFmtId="0" fontId="64" fillId="33" borderId="19" applyNumberFormat="0" applyAlignment="0" applyProtection="0">
      <alignment vertical="center"/>
    </xf>
    <xf numFmtId="0" fontId="65" fillId="0" borderId="21" applyNumberFormat="0" applyFill="0" applyAlignment="0" applyProtection="0">
      <alignment vertical="center"/>
    </xf>
    <xf numFmtId="0" fontId="66" fillId="34" borderId="22" applyNumberForma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24" applyNumberFormat="0" applyFill="0" applyAlignment="0" applyProtection="0">
      <alignment vertical="center"/>
    </xf>
    <xf numFmtId="0" fontId="70" fillId="36"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39" borderId="0" applyNumberFormat="0" applyBorder="0" applyAlignment="0" applyProtection="0">
      <alignment vertical="center"/>
    </xf>
    <xf numFmtId="0" fontId="70" fillId="40"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3" borderId="0" applyNumberFormat="0" applyBorder="0" applyAlignment="0" applyProtection="0">
      <alignment vertical="center"/>
    </xf>
    <xf numFmtId="0" fontId="70" fillId="44"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7" borderId="0" applyNumberFormat="0" applyBorder="0" applyAlignment="0" applyProtection="0">
      <alignment vertical="center"/>
    </xf>
    <xf numFmtId="0" fontId="70" fillId="48"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1" borderId="0" applyNumberFormat="0" applyBorder="0" applyAlignment="0" applyProtection="0">
      <alignment vertical="center"/>
    </xf>
    <xf numFmtId="0" fontId="70" fillId="52"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5" borderId="0" applyNumberFormat="0" applyBorder="0" applyAlignment="0" applyProtection="0">
      <alignment vertical="center"/>
    </xf>
    <xf numFmtId="0" fontId="70" fillId="56"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59" borderId="0" applyNumberFormat="0" applyBorder="0" applyAlignment="0" applyProtection="0">
      <alignment vertical="center"/>
    </xf>
    <xf numFmtId="0" fontId="74" fillId="0" borderId="0">
      <alignment vertical="center"/>
    </xf>
    <xf numFmtId="0" fontId="8" fillId="0" borderId="0"/>
    <xf numFmtId="0" fontId="19" fillId="0" borderId="0">
      <alignment vertical="center"/>
    </xf>
    <xf numFmtId="0" fontId="75" fillId="60" borderId="0" applyNumberFormat="0" applyBorder="0" applyAlignment="0" applyProtection="0">
      <alignment vertical="center"/>
    </xf>
    <xf numFmtId="0" fontId="96" fillId="61" borderId="25" applyNumberFormat="0" applyAlignment="0" applyProtection="0">
      <alignment vertical="center"/>
    </xf>
    <xf numFmtId="0" fontId="91" fillId="0" borderId="0" applyNumberFormat="0" applyFill="0" applyBorder="0" applyAlignment="0" applyProtection="0">
      <alignment vertical="center"/>
    </xf>
    <xf numFmtId="0" fontId="92" fillId="0" borderId="26" applyNumberFormat="0" applyFill="0" applyAlignment="0" applyProtection="0">
      <alignment vertical="center"/>
    </xf>
    <xf numFmtId="0" fontId="93" fillId="0" borderId="27" applyNumberFormat="0" applyFill="0" applyAlignment="0" applyProtection="0">
      <alignment vertical="center"/>
    </xf>
    <xf numFmtId="0" fontId="94" fillId="0" borderId="28" applyNumberFormat="0" applyFill="0" applyAlignment="0" applyProtection="0">
      <alignment vertical="center"/>
    </xf>
    <xf numFmtId="0" fontId="94" fillId="0" borderId="0" applyNumberFormat="0" applyFill="0" applyBorder="0" applyAlignment="0" applyProtection="0">
      <alignment vertical="center"/>
    </xf>
    <xf numFmtId="0" fontId="76" fillId="61" borderId="25" applyNumberFormat="0" applyAlignment="0" applyProtection="0">
      <alignment vertical="center"/>
    </xf>
    <xf numFmtId="0" fontId="77" fillId="8" borderId="0" applyNumberFormat="0" applyBorder="0" applyAlignment="0" applyProtection="0">
      <alignment vertical="center"/>
    </xf>
    <xf numFmtId="0" fontId="78" fillId="60" borderId="0" applyNumberFormat="0" applyBorder="0" applyAlignment="0" applyProtection="0">
      <alignment vertical="center"/>
    </xf>
    <xf numFmtId="0" fontId="95" fillId="62" borderId="29" applyNumberFormat="0" applyAlignment="0" applyProtection="0">
      <alignment vertical="center"/>
    </xf>
    <xf numFmtId="0" fontId="79" fillId="0" borderId="0" applyNumberFormat="0" applyFill="0" applyBorder="0" applyAlignment="0" applyProtection="0">
      <alignment vertical="center"/>
    </xf>
    <xf numFmtId="0" fontId="97" fillId="12" borderId="25" applyNumberFormat="0" applyAlignment="0" applyProtection="0">
      <alignment vertical="center"/>
    </xf>
    <xf numFmtId="0" fontId="98" fillId="61" borderId="30"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26" applyNumberFormat="0" applyFill="0" applyAlignment="0" applyProtection="0">
      <alignment vertical="center"/>
    </xf>
    <xf numFmtId="0" fontId="83" fillId="0" borderId="27" applyNumberFormat="0" applyFill="0" applyAlignment="0" applyProtection="0">
      <alignment vertical="center"/>
    </xf>
    <xf numFmtId="0" fontId="84" fillId="0" borderId="28" applyNumberFormat="0" applyFill="0" applyAlignment="0" applyProtection="0">
      <alignment vertical="center"/>
    </xf>
    <xf numFmtId="0" fontId="84" fillId="0" borderId="0" applyNumberFormat="0" applyFill="0" applyBorder="0" applyAlignment="0" applyProtection="0">
      <alignment vertical="center"/>
    </xf>
    <xf numFmtId="0" fontId="85" fillId="12" borderId="25" applyNumberFormat="0" applyAlignment="0" applyProtection="0">
      <alignment vertical="center"/>
    </xf>
    <xf numFmtId="0" fontId="86" fillId="61" borderId="30" applyNumberFormat="0" applyAlignment="0" applyProtection="0">
      <alignment vertical="center"/>
    </xf>
    <xf numFmtId="0" fontId="87" fillId="62" borderId="29" applyNumberFormat="0" applyAlignment="0" applyProtection="0">
      <alignment vertical="center"/>
    </xf>
    <xf numFmtId="0" fontId="88" fillId="8" borderId="0" applyNumberFormat="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 fillId="0" borderId="0">
      <alignment vertical="center"/>
    </xf>
    <xf numFmtId="0" fontId="4" fillId="35" borderId="23" applyNumberFormat="0" applyFont="0" applyAlignment="0" applyProtection="0">
      <alignment vertical="center"/>
    </xf>
    <xf numFmtId="0" fontId="26" fillId="0" borderId="4">
      <alignment horizontal="left" vertical="center"/>
    </xf>
    <xf numFmtId="0" fontId="96" fillId="61" borderId="25" applyNumberFormat="0" applyAlignment="0" applyProtection="0">
      <alignment vertical="center"/>
    </xf>
    <xf numFmtId="0" fontId="33" fillId="0" borderId="5" applyNumberFormat="0" applyFill="0" applyAlignment="0" applyProtection="0">
      <alignment vertical="center"/>
    </xf>
    <xf numFmtId="0" fontId="39" fillId="0" borderId="5" applyNumberFormat="0" applyFill="0" applyAlignment="0" applyProtection="0">
      <alignment vertical="center"/>
    </xf>
    <xf numFmtId="0" fontId="8" fillId="21" borderId="6" applyNumberFormat="0" applyFont="0" applyAlignment="0" applyProtection="0">
      <alignment vertical="center"/>
    </xf>
    <xf numFmtId="0" fontId="76" fillId="61" borderId="25" applyNumberFormat="0" applyAlignment="0" applyProtection="0">
      <alignment vertical="center"/>
    </xf>
    <xf numFmtId="0" fontId="8" fillId="21" borderId="6" applyNumberFormat="0" applyFont="0" applyAlignment="0" applyProtection="0">
      <alignment vertical="center"/>
    </xf>
    <xf numFmtId="0" fontId="97" fillId="12" borderId="25" applyNumberFormat="0" applyAlignment="0" applyProtection="0">
      <alignment vertical="center"/>
    </xf>
    <xf numFmtId="0" fontId="98" fillId="61" borderId="30" applyNumberFormat="0" applyAlignment="0" applyProtection="0">
      <alignment vertical="center"/>
    </xf>
    <xf numFmtId="0" fontId="8" fillId="0" borderId="0" applyNumberFormat="0" applyFont="0" applyFill="0" applyBorder="0" applyAlignment="0" applyProtection="0"/>
    <xf numFmtId="0" fontId="4" fillId="0" borderId="0">
      <alignment vertical="center"/>
    </xf>
    <xf numFmtId="0" fontId="85" fillId="12" borderId="25" applyNumberFormat="0" applyAlignment="0" applyProtection="0">
      <alignment vertical="center"/>
    </xf>
    <xf numFmtId="0" fontId="86" fillId="61" borderId="30" applyNumberFormat="0" applyAlignment="0" applyProtection="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3" fillId="0" borderId="0">
      <alignment vertical="center"/>
    </xf>
    <xf numFmtId="0" fontId="3" fillId="0" borderId="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39"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3"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7"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1"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5"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59" borderId="0" applyNumberFormat="0" applyBorder="0" applyAlignment="0" applyProtection="0">
      <alignment vertical="center"/>
    </xf>
    <xf numFmtId="0" fontId="3" fillId="0" borderId="0">
      <alignment vertical="center"/>
    </xf>
    <xf numFmtId="0" fontId="3" fillId="35" borderId="23" applyNumberFormat="0" applyFont="0" applyAlignment="0" applyProtection="0">
      <alignment vertical="center"/>
    </xf>
    <xf numFmtId="0" fontId="3" fillId="0" borderId="0">
      <alignment vertical="center"/>
    </xf>
    <xf numFmtId="0" fontId="8" fillId="0" borderId="0"/>
    <xf numFmtId="0" fontId="106" fillId="0" borderId="0"/>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2" fillId="0" borderId="0">
      <alignment vertical="center"/>
    </xf>
    <xf numFmtId="0" fontId="19" fillId="0" borderId="0">
      <alignment vertical="center"/>
    </xf>
    <xf numFmtId="0" fontId="2" fillId="0" borderId="0">
      <alignment vertical="center"/>
    </xf>
    <xf numFmtId="0" fontId="2" fillId="0" borderId="0">
      <alignment vertical="center"/>
    </xf>
    <xf numFmtId="0" fontId="107" fillId="0" borderId="0"/>
    <xf numFmtId="0" fontId="12" fillId="0" borderId="0"/>
    <xf numFmtId="0" fontId="109" fillId="0" borderId="0"/>
    <xf numFmtId="0" fontId="109" fillId="0" borderId="0"/>
    <xf numFmtId="0" fontId="8" fillId="0" borderId="0"/>
    <xf numFmtId="0" fontId="110" fillId="0" borderId="0"/>
    <xf numFmtId="0" fontId="8" fillId="0" borderId="0" applyFont="0" applyFill="0" applyBorder="0" applyAlignment="0" applyProtection="0"/>
    <xf numFmtId="0" fontId="12" fillId="0" borderId="0"/>
    <xf numFmtId="0" fontId="8" fillId="0" borderId="0"/>
    <xf numFmtId="0" fontId="8" fillId="0" borderId="0"/>
    <xf numFmtId="0" fontId="8" fillId="0" borderId="0"/>
    <xf numFmtId="0" fontId="108" fillId="0" borderId="0"/>
    <xf numFmtId="0" fontId="8" fillId="0" borderId="0"/>
    <xf numFmtId="207" fontId="8" fillId="0" borderId="0" applyFont="0" applyFill="0" applyBorder="0" applyAlignment="0" applyProtection="0"/>
    <xf numFmtId="0" fontId="8" fillId="0" borderId="0" applyFont="0" applyFill="0" applyBorder="0" applyAlignment="0" applyProtection="0"/>
    <xf numFmtId="0" fontId="110" fillId="0" borderId="0"/>
    <xf numFmtId="0" fontId="8" fillId="0" borderId="0"/>
    <xf numFmtId="0" fontId="8" fillId="0" borderId="0"/>
    <xf numFmtId="0" fontId="8" fillId="0" borderId="0"/>
    <xf numFmtId="0" fontId="110" fillId="0" borderId="0"/>
    <xf numFmtId="0" fontId="8" fillId="0" borderId="0"/>
    <xf numFmtId="0" fontId="110" fillId="0" borderId="0"/>
    <xf numFmtId="0" fontId="12" fillId="0" borderId="0"/>
    <xf numFmtId="0" fontId="108" fillId="0" borderId="0"/>
    <xf numFmtId="0" fontId="8" fillId="0" borderId="0"/>
    <xf numFmtId="0" fontId="111" fillId="0" borderId="0"/>
    <xf numFmtId="0" fontId="8" fillId="0" borderId="0"/>
    <xf numFmtId="0" fontId="8" fillId="0" borderId="0"/>
    <xf numFmtId="0" fontId="111" fillId="0" borderId="0"/>
    <xf numFmtId="0" fontId="111" fillId="0" borderId="0"/>
    <xf numFmtId="0" fontId="8" fillId="0" borderId="0"/>
    <xf numFmtId="0" fontId="8" fillId="0" borderId="0" applyFont="0" applyFill="0" applyBorder="0" applyAlignment="0" applyProtection="0"/>
    <xf numFmtId="0" fontId="12" fillId="0" borderId="0"/>
    <xf numFmtId="0" fontId="8" fillId="0" borderId="0"/>
    <xf numFmtId="0" fontId="108" fillId="0" borderId="0"/>
    <xf numFmtId="206" fontId="8" fillId="0" borderId="0" applyFont="0" applyFill="0" applyBorder="0" applyAlignment="0" applyProtection="0"/>
    <xf numFmtId="209" fontId="8" fillId="0" borderId="0" applyFont="0" applyFill="0" applyBorder="0" applyAlignment="0" applyProtection="0"/>
    <xf numFmtId="0" fontId="112" fillId="0" borderId="0"/>
    <xf numFmtId="1" fontId="113" fillId="0" borderId="4"/>
    <xf numFmtId="1" fontId="113" fillId="0" borderId="11"/>
    <xf numFmtId="7" fontId="113" fillId="0" borderId="12"/>
    <xf numFmtId="1" fontId="8" fillId="0" borderId="31"/>
    <xf numFmtId="7" fontId="8" fillId="0" borderId="32"/>
    <xf numFmtId="202" fontId="8" fillId="0" borderId="31"/>
    <xf numFmtId="7" fontId="8" fillId="0" borderId="31"/>
    <xf numFmtId="1" fontId="113" fillId="0" borderId="31" applyNumberFormat="0" applyBorder="0"/>
    <xf numFmtId="7" fontId="113" fillId="0" borderId="0" applyBorder="0"/>
    <xf numFmtId="195" fontId="114" fillId="65" borderId="33">
      <alignment horizontal="center" vertical="center"/>
    </xf>
    <xf numFmtId="0" fontId="115" fillId="0" borderId="0" applyFont="0" applyFill="0" applyBorder="0" applyAlignment="0" applyProtection="0"/>
    <xf numFmtId="0" fontId="115" fillId="0" borderId="0" applyFont="0" applyFill="0" applyBorder="0" applyAlignment="0" applyProtection="0"/>
    <xf numFmtId="0" fontId="116" fillId="0" borderId="0">
      <alignment horizontal="center" wrapText="1"/>
      <protection locked="0"/>
    </xf>
    <xf numFmtId="0" fontId="115" fillId="0" borderId="0" applyFont="0" applyFill="0" applyBorder="0" applyAlignment="0" applyProtection="0"/>
    <xf numFmtId="0" fontId="115" fillId="0" borderId="0" applyFont="0" applyFill="0" applyBorder="0" applyAlignment="0" applyProtection="0"/>
    <xf numFmtId="1" fontId="8" fillId="0" borderId="0"/>
    <xf numFmtId="0" fontId="117" fillId="0" borderId="0"/>
    <xf numFmtId="0" fontId="118" fillId="0" borderId="0"/>
    <xf numFmtId="0" fontId="119" fillId="0" borderId="0"/>
    <xf numFmtId="5" fontId="120" fillId="0" borderId="34" applyAlignment="0" applyProtection="0"/>
    <xf numFmtId="0" fontId="115" fillId="0" borderId="0"/>
    <xf numFmtId="0" fontId="115" fillId="0" borderId="0"/>
    <xf numFmtId="200" fontId="121" fillId="0" borderId="0" applyFill="0" applyBorder="0" applyAlignment="0"/>
    <xf numFmtId="205" fontId="111" fillId="0" borderId="0" applyFill="0" applyBorder="0" applyAlignment="0"/>
    <xf numFmtId="193" fontId="8" fillId="0" borderId="0" applyFill="0" applyBorder="0" applyAlignment="0"/>
    <xf numFmtId="194" fontId="8" fillId="0" borderId="0" applyFill="0" applyBorder="0" applyAlignment="0"/>
    <xf numFmtId="210" fontId="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0" fontId="122" fillId="0" borderId="0"/>
    <xf numFmtId="188" fontId="8" fillId="0" borderId="0"/>
    <xf numFmtId="188" fontId="8" fillId="0" borderId="0"/>
    <xf numFmtId="188" fontId="8" fillId="0" borderId="0"/>
    <xf numFmtId="188" fontId="8" fillId="0" borderId="0"/>
    <xf numFmtId="188" fontId="8" fillId="0" borderId="0"/>
    <xf numFmtId="188" fontId="8" fillId="0" borderId="0" applyNumberFormat="0"/>
    <xf numFmtId="188" fontId="8" fillId="0" borderId="0"/>
    <xf numFmtId="188" fontId="8" fillId="0" borderId="0"/>
    <xf numFmtId="41" fontId="8" fillId="0" borderId="0" applyFont="0" applyFill="0" applyBorder="0" applyAlignment="0" applyProtection="0"/>
    <xf numFmtId="44" fontId="111" fillId="0" borderId="0" applyFont="0" applyFill="0" applyBorder="0" applyAlignment="0" applyProtection="0"/>
    <xf numFmtId="199" fontId="123" fillId="0" borderId="0"/>
    <xf numFmtId="43" fontId="8" fillId="0" borderId="0" applyFont="0" applyFill="0" applyBorder="0" applyAlignment="0" applyProtection="0"/>
    <xf numFmtId="3" fontId="8" fillId="0" borderId="0" applyFont="0" applyFill="0" applyBorder="0" applyAlignment="0" applyProtection="0"/>
    <xf numFmtId="0" fontId="124" fillId="0" borderId="0"/>
    <xf numFmtId="0" fontId="111" fillId="0" borderId="0"/>
    <xf numFmtId="0" fontId="125" fillId="0" borderId="0" applyNumberFormat="0" applyFill="0" applyBorder="0" applyAlignment="0" applyProtection="0"/>
    <xf numFmtId="0" fontId="124" fillId="0" borderId="0"/>
    <xf numFmtId="0" fontId="111" fillId="0" borderId="0"/>
    <xf numFmtId="0" fontId="126" fillId="0" borderId="0" applyNumberFormat="0" applyAlignment="0">
      <alignment horizontal="left"/>
    </xf>
    <xf numFmtId="0" fontId="127" fillId="0" borderId="0" applyNumberFormat="0" applyAlignment="0"/>
    <xf numFmtId="42" fontId="8" fillId="0" borderId="0" applyFont="0" applyFill="0" applyBorder="0" applyAlignment="0" applyProtection="0"/>
    <xf numFmtId="205" fontId="111" fillId="0" borderId="0" applyFont="0" applyFill="0" applyBorder="0" applyAlignment="0" applyProtection="0"/>
    <xf numFmtId="44" fontId="8" fillId="0" borderId="0" applyFont="0" applyFill="0" applyBorder="0" applyAlignment="0" applyProtection="0"/>
    <xf numFmtId="190" fontId="8" fillId="0" borderId="0" applyFont="0" applyFill="0" applyBorder="0" applyAlignment="0" applyProtection="0"/>
    <xf numFmtId="196" fontId="123" fillId="0" borderId="0"/>
    <xf numFmtId="213" fontId="8" fillId="66" borderId="0" applyFont="0" applyBorder="0"/>
    <xf numFmtId="3" fontId="128" fillId="0" borderId="0"/>
    <xf numFmtId="0" fontId="8" fillId="0" borderId="0" applyFont="0" applyFill="0" applyBorder="0" applyAlignment="0" applyProtection="0"/>
    <xf numFmtId="15" fontId="32" fillId="0" borderId="0"/>
    <xf numFmtId="0" fontId="32" fillId="0" borderId="0"/>
    <xf numFmtId="0" fontId="129" fillId="0" borderId="0">
      <protection locked="0"/>
    </xf>
    <xf numFmtId="197" fontId="123" fillId="0" borderId="0"/>
    <xf numFmtId="0" fontId="130" fillId="0" borderId="0">
      <protection locked="0"/>
    </xf>
    <xf numFmtId="0" fontId="130" fillId="0" borderId="0">
      <protection locked="0"/>
    </xf>
    <xf numFmtId="44" fontId="111" fillId="0" borderId="0" applyFill="0" applyBorder="0" applyAlignment="0"/>
    <xf numFmtId="205" fontId="1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0" fontId="131" fillId="0" borderId="0" applyNumberFormat="0" applyAlignment="0">
      <alignment horizontal="left"/>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2" fontId="8" fillId="0" borderId="0" applyFont="0" applyFill="0" applyBorder="0" applyAlignment="0" applyProtection="0"/>
    <xf numFmtId="9" fontId="132" fillId="0" borderId="0" applyFont="0" applyFill="0" applyBorder="0" applyAlignment="0" applyProtection="0"/>
    <xf numFmtId="38" fontId="133" fillId="66" borderId="0" applyNumberFormat="0" applyBorder="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26" fillId="0" borderId="0" applyNumberFormat="0" applyFill="0" applyBorder="0" applyAlignment="0" applyProtection="0"/>
    <xf numFmtId="198" fontId="114" fillId="0" borderId="0">
      <protection locked="0"/>
    </xf>
    <xf numFmtId="198" fontId="114" fillId="0" borderId="0">
      <protection locked="0"/>
    </xf>
    <xf numFmtId="0" fontId="136" fillId="0" borderId="35">
      <alignment horizontal="center"/>
    </xf>
    <xf numFmtId="0" fontId="136" fillId="0" borderId="0">
      <alignment horizontal="center"/>
    </xf>
    <xf numFmtId="0" fontId="137" fillId="0" borderId="36" applyNumberFormat="0" applyFill="0" applyAlignment="0" applyProtection="0"/>
    <xf numFmtId="0" fontId="138" fillId="0" borderId="0" applyNumberFormat="0" applyFill="0" applyBorder="0" applyAlignment="0" applyProtection="0">
      <alignment vertical="top"/>
      <protection locked="0"/>
    </xf>
    <xf numFmtId="10" fontId="133" fillId="67" borderId="1" applyNumberFormat="0" applyBorder="0" applyAlignment="0" applyProtection="0"/>
    <xf numFmtId="205" fontId="139" fillId="68" borderId="0"/>
    <xf numFmtId="0" fontId="26" fillId="0" borderId="37" applyBorder="0">
      <alignment horizontal="left" vertical="center"/>
    </xf>
    <xf numFmtId="49" fontId="140" fillId="0" borderId="37" applyBorder="0">
      <alignment horizontal="left" vertical="center" wrapText="1" indent="2"/>
    </xf>
    <xf numFmtId="44" fontId="111" fillId="0" borderId="0" applyFill="0" applyBorder="0" applyAlignment="0"/>
    <xf numFmtId="205" fontId="1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205" fontId="141" fillId="69" borderId="0"/>
    <xf numFmtId="188" fontId="8" fillId="0" borderId="0" applyFont="0" applyFill="0" applyBorder="0" applyAlignment="0" applyProtection="0"/>
    <xf numFmtId="189" fontId="8" fillId="0" borderId="0" applyFont="0" applyFill="0" applyBorder="0" applyAlignment="0" applyProtection="0"/>
    <xf numFmtId="184" fontId="8" fillId="0" borderId="0" applyFont="0" applyFill="0" applyBorder="0" applyAlignment="0" applyProtection="0"/>
    <xf numFmtId="204" fontId="8" fillId="0" borderId="0" applyFont="0" applyFill="0" applyBorder="0" applyAlignment="0" applyProtection="0"/>
    <xf numFmtId="208" fontId="27" fillId="0" borderId="0" applyFont="0" applyFill="0" applyBorder="0" applyAlignment="0" applyProtection="0"/>
    <xf numFmtId="202" fontId="27" fillId="0" borderId="0" applyFont="0" applyFill="0" applyBorder="0" applyAlignment="0" applyProtection="0"/>
    <xf numFmtId="203" fontId="8" fillId="0" borderId="0" applyFont="0" applyFill="0" applyBorder="0" applyAlignment="0" applyProtection="0"/>
    <xf numFmtId="192" fontId="8" fillId="0" borderId="0" applyFont="0" applyFill="0" applyBorder="0" applyAlignment="0" applyProtection="0"/>
    <xf numFmtId="44" fontId="142" fillId="70" borderId="0">
      <alignment vertical="top"/>
    </xf>
    <xf numFmtId="0" fontId="123" fillId="0" borderId="0"/>
    <xf numFmtId="37" fontId="143" fillId="0" borderId="0"/>
    <xf numFmtId="0" fontId="12" fillId="0" borderId="0"/>
    <xf numFmtId="187" fontId="144" fillId="0" borderId="0"/>
    <xf numFmtId="0" fontId="123" fillId="0" borderId="0"/>
    <xf numFmtId="38" fontId="145" fillId="0" borderId="38" applyFont="0" applyFill="0" applyBorder="0" applyAlignment="0">
      <alignment horizontal="center"/>
    </xf>
    <xf numFmtId="0" fontId="8" fillId="0" borderId="0" applyFont="0" applyFill="0" applyBorder="0" applyAlignment="0" applyProtection="0"/>
    <xf numFmtId="0" fontId="8" fillId="0" borderId="0" applyFont="0" applyFill="0" applyBorder="0" applyAlignment="0" applyProtection="0"/>
    <xf numFmtId="14" fontId="116" fillId="0" borderId="0">
      <alignment horizontal="center" wrapText="1"/>
      <protection locked="0"/>
    </xf>
    <xf numFmtId="210" fontId="11" fillId="0" borderId="0" applyFont="0" applyFill="0" applyBorder="0" applyAlignment="0" applyProtection="0"/>
    <xf numFmtId="212" fontId="11" fillId="0" borderId="0" applyFont="0" applyFill="0" applyBorder="0" applyAlignment="0" applyProtection="0"/>
    <xf numFmtId="10" fontId="8" fillId="0" borderId="0" applyFont="0" applyFill="0" applyBorder="0" applyAlignment="0" applyProtection="0"/>
    <xf numFmtId="44" fontId="111" fillId="0" borderId="0" applyFill="0" applyBorder="0" applyAlignment="0"/>
    <xf numFmtId="205" fontId="1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5" fontId="146" fillId="0" borderId="0"/>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120" fillId="0" borderId="35">
      <alignment horizontal="center"/>
    </xf>
    <xf numFmtId="3" fontId="32" fillId="0" borderId="0" applyFont="0" applyFill="0" applyBorder="0" applyAlignment="0" applyProtection="0"/>
    <xf numFmtId="0" fontId="32" fillId="71" borderId="0" applyNumberFormat="0" applyFont="0" applyBorder="0" applyAlignment="0" applyProtection="0"/>
    <xf numFmtId="0" fontId="121" fillId="0" borderId="0" applyNumberFormat="0" applyFont="0" applyFill="0" applyBorder="0" applyAlignment="0"/>
    <xf numFmtId="0" fontId="147" fillId="0" borderId="0"/>
    <xf numFmtId="0" fontId="148" fillId="72" borderId="0" applyNumberFormat="0" applyFont="0" applyBorder="0" applyAlignment="0">
      <alignment horizontal="center"/>
    </xf>
    <xf numFmtId="191" fontId="149" fillId="0" borderId="0" applyNumberFormat="0" applyFill="0" applyBorder="0" applyAlignment="0" applyProtection="0">
      <alignment horizontal="left"/>
    </xf>
    <xf numFmtId="0" fontId="150" fillId="73" borderId="39"/>
    <xf numFmtId="0" fontId="148" fillId="1" borderId="4" applyNumberFormat="0" applyFont="0" applyAlignment="0">
      <alignment horizontal="center"/>
    </xf>
    <xf numFmtId="0" fontId="128" fillId="0" borderId="0" applyNumberFormat="0" applyFill="0" applyBorder="0" applyAlignment="0">
      <alignment horizontal="center"/>
    </xf>
    <xf numFmtId="193" fontId="8" fillId="0" borderId="0">
      <alignment horizontal="center"/>
    </xf>
    <xf numFmtId="40" fontId="151" fillId="0" borderId="0" applyBorder="0">
      <alignment horizontal="right"/>
    </xf>
    <xf numFmtId="0" fontId="152" fillId="0" borderId="0"/>
    <xf numFmtId="214" fontId="11" fillId="0" borderId="0" applyFill="0" applyBorder="0" applyAlignment="0"/>
    <xf numFmtId="215" fontId="11" fillId="0" borderId="0" applyFill="0" applyBorder="0" applyAlignment="0"/>
    <xf numFmtId="0" fontId="8" fillId="0" borderId="40" applyNumberFormat="0" applyFont="0" applyFill="0" applyAlignment="0" applyProtection="0"/>
    <xf numFmtId="201" fontId="123" fillId="0" borderId="0" applyNumberFormat="0">
      <alignment horizontal="center"/>
    </xf>
    <xf numFmtId="0" fontId="153" fillId="0" borderId="0"/>
    <xf numFmtId="0" fontId="157" fillId="0" borderId="0"/>
    <xf numFmtId="40" fontId="154" fillId="0" borderId="0" applyFont="0" applyFill="0" applyBorder="0" applyAlignment="0" applyProtection="0"/>
    <xf numFmtId="38" fontId="154" fillId="0" borderId="0" applyFont="0" applyFill="0" applyBorder="0" applyAlignment="0" applyProtection="0"/>
    <xf numFmtId="0" fontId="156" fillId="0" borderId="0"/>
    <xf numFmtId="0" fontId="108" fillId="0" borderId="0"/>
    <xf numFmtId="0" fontId="154" fillId="0" borderId="0" applyFont="0" applyFill="0" applyBorder="0" applyAlignment="0" applyProtection="0"/>
    <xf numFmtId="0" fontId="154" fillId="0" borderId="0" applyFont="0" applyFill="0" applyBorder="0" applyAlignment="0" applyProtection="0"/>
    <xf numFmtId="10" fontId="8" fillId="0" borderId="0" applyFont="0" applyFill="0" applyBorder="0" applyAlignment="0" applyProtection="0"/>
    <xf numFmtId="0" fontId="155" fillId="0" borderId="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xf numFmtId="7" fontId="113" fillId="0" borderId="12"/>
    <xf numFmtId="7" fontId="8" fillId="0" borderId="32"/>
    <xf numFmtId="7" fontId="8" fillId="0" borderId="31"/>
    <xf numFmtId="7" fontId="113" fillId="0" borderId="0" applyBorder="0"/>
    <xf numFmtId="5" fontId="120" fillId="0" borderId="34" applyAlignment="0" applyProtection="0"/>
    <xf numFmtId="44" fontId="111" fillId="0" borderId="0" applyFill="0" applyBorder="0" applyAlignment="0"/>
    <xf numFmtId="44" fontId="111" fillId="0" borderId="0" applyFont="0" applyFill="0" applyBorder="0" applyAlignment="0" applyProtection="0"/>
    <xf numFmtId="44" fontId="111" fillId="0" borderId="0" applyFill="0" applyBorder="0" applyAlignment="0"/>
    <xf numFmtId="44" fontId="111" fillId="0" borderId="0" applyFill="0" applyBorder="0" applyAlignment="0"/>
    <xf numFmtId="44" fontId="111" fillId="0" borderId="0" applyFill="0" applyBorder="0" applyAlignment="0"/>
    <xf numFmtId="44" fontId="111" fillId="0" borderId="0" applyFill="0" applyBorder="0" applyAlignment="0"/>
    <xf numFmtId="44" fontId="142" fillId="70" borderId="0">
      <alignment vertical="top"/>
    </xf>
    <xf numFmtId="44" fontId="111" fillId="0" borderId="0" applyFill="0" applyBorder="0" applyAlignment="0"/>
    <xf numFmtId="44" fontId="111" fillId="0" borderId="0" applyFill="0" applyBorder="0" applyAlignment="0"/>
    <xf numFmtId="5" fontId="146" fillId="0" borderId="0"/>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7" fontId="113" fillId="0" borderId="12"/>
    <xf numFmtId="7" fontId="8" fillId="0" borderId="32"/>
    <xf numFmtId="7" fontId="8" fillId="0" borderId="31"/>
    <xf numFmtId="7" fontId="113" fillId="0" borderId="0" applyBorder="0"/>
    <xf numFmtId="5" fontId="120" fillId="0" borderId="34" applyAlignment="0" applyProtection="0"/>
    <xf numFmtId="44" fontId="111" fillId="0" borderId="0" applyFill="0" applyBorder="0" applyAlignment="0"/>
    <xf numFmtId="44" fontId="111" fillId="0" borderId="0" applyFont="0" applyFill="0" applyBorder="0" applyAlignment="0" applyProtection="0"/>
    <xf numFmtId="44" fontId="111" fillId="0" borderId="0" applyFill="0" applyBorder="0" applyAlignment="0"/>
    <xf numFmtId="44" fontId="111" fillId="0" borderId="0" applyFill="0" applyBorder="0" applyAlignment="0"/>
    <xf numFmtId="44" fontId="111" fillId="0" borderId="0" applyFill="0" applyBorder="0" applyAlignment="0"/>
    <xf numFmtId="44" fontId="111" fillId="0" borderId="0" applyFill="0" applyBorder="0" applyAlignment="0"/>
    <xf numFmtId="44" fontId="142" fillId="70" borderId="0">
      <alignment vertical="top"/>
    </xf>
    <xf numFmtId="44" fontId="111" fillId="0" borderId="0" applyFill="0" applyBorder="0" applyAlignment="0"/>
    <xf numFmtId="44" fontId="111" fillId="0" borderId="0" applyFill="0" applyBorder="0" applyAlignment="0"/>
    <xf numFmtId="5" fontId="146" fillId="0" borderId="0"/>
    <xf numFmtId="7" fontId="113" fillId="0" borderId="12"/>
    <xf numFmtId="7" fontId="8" fillId="0" borderId="32"/>
    <xf numFmtId="7" fontId="8" fillId="0" borderId="31"/>
    <xf numFmtId="7" fontId="113" fillId="0" borderId="0" applyBorder="0"/>
    <xf numFmtId="5" fontId="120" fillId="0" borderId="34" applyAlignment="0" applyProtection="0"/>
    <xf numFmtId="44" fontId="111" fillId="0" borderId="0" applyFill="0" applyBorder="0" applyAlignment="0"/>
    <xf numFmtId="44" fontId="111" fillId="0" borderId="0" applyFont="0" applyFill="0" applyBorder="0" applyAlignment="0" applyProtection="0"/>
    <xf numFmtId="44" fontId="111" fillId="0" borderId="0" applyFill="0" applyBorder="0" applyAlignment="0"/>
    <xf numFmtId="44" fontId="111" fillId="0" borderId="0" applyFill="0" applyBorder="0" applyAlignment="0"/>
    <xf numFmtId="44" fontId="111" fillId="0" borderId="0" applyFill="0" applyBorder="0" applyAlignment="0"/>
    <xf numFmtId="44" fontId="111" fillId="0" borderId="0" applyFill="0" applyBorder="0" applyAlignment="0"/>
    <xf numFmtId="44" fontId="142" fillId="70" borderId="0">
      <alignment vertical="top"/>
    </xf>
    <xf numFmtId="44" fontId="111" fillId="0" borderId="0" applyFill="0" applyBorder="0" applyAlignment="0"/>
    <xf numFmtId="44" fontId="111" fillId="0" borderId="0" applyFill="0" applyBorder="0" applyAlignment="0"/>
    <xf numFmtId="5" fontId="146" fillId="0" borderId="0"/>
  </cellStyleXfs>
  <cellXfs count="227">
    <xf numFmtId="0" fontId="0" fillId="0" borderId="0" xfId="0"/>
    <xf numFmtId="0" fontId="14" fillId="0" borderId="0" xfId="1" applyFont="1" applyAlignment="1">
      <alignment horizontal="center" vertical="center"/>
    </xf>
    <xf numFmtId="0" fontId="14" fillId="0" borderId="0" xfId="0" applyFont="1" applyAlignment="1">
      <alignment horizontal="center" vertical="center" wrapText="1"/>
    </xf>
    <xf numFmtId="49" fontId="14" fillId="0" borderId="0" xfId="5" applyNumberFormat="1" applyFont="1" applyAlignment="1">
      <alignment horizontal="center" vertical="center" shrinkToFit="1"/>
    </xf>
    <xf numFmtId="49" fontId="14" fillId="0" borderId="0" xfId="0" applyNumberFormat="1" applyFont="1" applyAlignment="1">
      <alignment horizontal="left" vertical="center"/>
    </xf>
    <xf numFmtId="0" fontId="14" fillId="0" borderId="0" xfId="2" applyFont="1" applyAlignment="1">
      <alignment horizontal="center" vertical="center"/>
    </xf>
    <xf numFmtId="0" fontId="14" fillId="0" borderId="0" xfId="0" applyFont="1" applyAlignment="1">
      <alignment horizontal="center" vertical="center"/>
    </xf>
    <xf numFmtId="0" fontId="14" fillId="0" borderId="0" xfId="0" applyFont="1" applyAlignment="1">
      <alignment vertical="center"/>
    </xf>
    <xf numFmtId="0" fontId="17" fillId="0" borderId="0" xfId="0" applyFont="1" applyAlignment="1">
      <alignment horizontal="center" vertical="center"/>
    </xf>
    <xf numFmtId="0" fontId="17" fillId="0" borderId="0" xfId="0" applyFont="1"/>
    <xf numFmtId="0" fontId="14" fillId="2" borderId="1" xfId="2" applyFont="1" applyFill="1" applyBorder="1" applyAlignment="1">
      <alignment horizontal="center" vertical="center" wrapText="1"/>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0" fontId="21" fillId="0" borderId="1" xfId="0" applyFont="1" applyBorder="1" applyAlignment="1">
      <alignment vertical="center" wrapText="1"/>
    </xf>
    <xf numFmtId="0" fontId="22" fillId="0" borderId="1" xfId="0" applyFont="1" applyBorder="1" applyAlignment="1">
      <alignment horizontal="left" vertical="center"/>
    </xf>
    <xf numFmtId="0" fontId="14" fillId="3" borderId="1" xfId="1" applyFont="1" applyFill="1" applyBorder="1" applyAlignment="1">
      <alignment horizontal="center" vertical="center"/>
    </xf>
    <xf numFmtId="0" fontId="14" fillId="0" borderId="0" xfId="7" applyFont="1" applyAlignment="1">
      <alignment horizontal="left" vertical="center"/>
    </xf>
    <xf numFmtId="0" fontId="14" fillId="0" borderId="0" xfId="7" applyFont="1" applyAlignment="1">
      <alignment horizontal="center" vertical="center"/>
    </xf>
    <xf numFmtId="0" fontId="14" fillId="0" borderId="0" xfId="0" applyFont="1" applyAlignment="1">
      <alignment horizontal="left" vertical="center"/>
    </xf>
    <xf numFmtId="0" fontId="16" fillId="4" borderId="1" xfId="7" applyFont="1" applyFill="1" applyBorder="1" applyAlignment="1">
      <alignment horizontal="center" vertical="center"/>
    </xf>
    <xf numFmtId="0" fontId="16" fillId="5" borderId="1" xfId="7" applyFont="1" applyFill="1" applyBorder="1" applyAlignment="1">
      <alignment horizontal="center" vertical="center"/>
    </xf>
    <xf numFmtId="0" fontId="17" fillId="0" borderId="0" xfId="0" applyFont="1" applyAlignment="1">
      <alignment horizontal="center" vertical="center" wrapText="1"/>
    </xf>
    <xf numFmtId="176" fontId="14" fillId="0" borderId="0" xfId="11" applyNumberFormat="1" applyFont="1" applyFill="1" applyBorder="1" applyAlignment="1">
      <alignment horizontal="left" vertical="center"/>
    </xf>
    <xf numFmtId="0" fontId="22" fillId="0" borderId="0" xfId="0" applyFont="1"/>
    <xf numFmtId="0" fontId="22" fillId="0" borderId="1" xfId="0" applyFont="1" applyBorder="1" applyAlignment="1">
      <alignment horizontal="center" vertical="center"/>
    </xf>
    <xf numFmtId="0" fontId="21" fillId="0" borderId="0" xfId="0" applyFont="1" applyAlignment="1">
      <alignment horizontal="center" vertical="center"/>
    </xf>
    <xf numFmtId="0" fontId="43" fillId="0" borderId="1" xfId="0" applyFont="1" applyBorder="1" applyAlignment="1">
      <alignment horizontal="center" vertical="center"/>
    </xf>
    <xf numFmtId="0" fontId="43" fillId="0" borderId="1" xfId="0" applyFont="1" applyBorder="1" applyAlignment="1">
      <alignment vertical="center"/>
    </xf>
    <xf numFmtId="0" fontId="43" fillId="0" borderId="1" xfId="0" applyFont="1" applyBorder="1" applyAlignment="1">
      <alignment horizontal="center" vertical="center" wrapText="1"/>
    </xf>
    <xf numFmtId="0" fontId="46" fillId="26"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48" fillId="0" borderId="0" xfId="137">
      <alignment vertical="center"/>
    </xf>
    <xf numFmtId="0" fontId="48" fillId="27" borderId="0" xfId="137" applyFill="1">
      <alignment vertical="center"/>
    </xf>
    <xf numFmtId="0" fontId="48" fillId="0" borderId="1" xfId="137" applyBorder="1">
      <alignment vertical="center"/>
    </xf>
    <xf numFmtId="0" fontId="22" fillId="0" borderId="1" xfId="137" applyFont="1" applyBorder="1">
      <alignment vertical="center"/>
    </xf>
    <xf numFmtId="0" fontId="48" fillId="27" borderId="1" xfId="137" applyFill="1" applyBorder="1">
      <alignment vertical="center"/>
    </xf>
    <xf numFmtId="0" fontId="48" fillId="2" borderId="1" xfId="137" applyFill="1" applyBorder="1">
      <alignment vertical="center"/>
    </xf>
    <xf numFmtId="0" fontId="48" fillId="28" borderId="1" xfId="137" applyFill="1" applyBorder="1">
      <alignment vertical="center"/>
    </xf>
    <xf numFmtId="0" fontId="48" fillId="28" borderId="0" xfId="137" applyFill="1">
      <alignment vertical="center"/>
    </xf>
    <xf numFmtId="0" fontId="22" fillId="0" borderId="0" xfId="7" applyFont="1" applyAlignment="1">
      <alignment horizontal="center" vertical="center"/>
    </xf>
    <xf numFmtId="0" fontId="43" fillId="0" borderId="8" xfId="2" applyFont="1" applyBorder="1" applyAlignment="1">
      <alignment horizontal="left" vertical="center" wrapText="1"/>
    </xf>
    <xf numFmtId="0" fontId="43" fillId="0" borderId="8" xfId="0" applyFont="1" applyBorder="1" applyAlignment="1">
      <alignment horizontal="center" vertical="center"/>
    </xf>
    <xf numFmtId="0" fontId="43" fillId="0" borderId="8" xfId="0" applyFont="1" applyBorder="1" applyAlignment="1">
      <alignment vertical="center"/>
    </xf>
    <xf numFmtId="0" fontId="21" fillId="0" borderId="1" xfId="0" applyFont="1" applyBorder="1" applyAlignment="1">
      <alignment vertical="center"/>
    </xf>
    <xf numFmtId="0" fontId="17" fillId="0" borderId="1" xfId="0" applyFont="1" applyBorder="1" applyAlignment="1">
      <alignment horizontal="center" vertical="center"/>
    </xf>
    <xf numFmtId="0" fontId="14" fillId="0" borderId="1" xfId="0" applyFont="1" applyBorder="1" applyAlignment="1">
      <alignment horizontal="center" vertical="center"/>
    </xf>
    <xf numFmtId="0" fontId="42" fillId="6" borderId="13" xfId="0" applyFont="1" applyFill="1" applyBorder="1" applyAlignment="1">
      <alignment horizontal="center" vertical="center"/>
    </xf>
    <xf numFmtId="0" fontId="22" fillId="3" borderId="13" xfId="0" applyFont="1" applyFill="1" applyBorder="1" applyAlignment="1">
      <alignment horizontal="center"/>
    </xf>
    <xf numFmtId="49" fontId="21" fillId="0" borderId="1" xfId="5" applyNumberFormat="1" applyFont="1" applyBorder="1" applyAlignment="1">
      <alignment horizontal="left" vertical="center" shrinkToFit="1"/>
    </xf>
    <xf numFmtId="0" fontId="14" fillId="0" borderId="1" xfId="7" applyFont="1" applyBorder="1" applyAlignment="1">
      <alignment horizontal="center" vertical="center"/>
    </xf>
    <xf numFmtId="49" fontId="21" fillId="0" borderId="1" xfId="0" applyNumberFormat="1" applyFont="1" applyBorder="1" applyAlignment="1">
      <alignment horizontal="left" vertical="center"/>
    </xf>
    <xf numFmtId="0" fontId="21" fillId="0" borderId="1" xfId="0" applyFont="1" applyBorder="1" applyAlignment="1">
      <alignment horizontal="center"/>
    </xf>
    <xf numFmtId="0" fontId="22" fillId="4" borderId="13" xfId="0" applyFont="1" applyFill="1" applyBorder="1" applyAlignment="1">
      <alignment horizontal="center"/>
    </xf>
    <xf numFmtId="0" fontId="21" fillId="0" borderId="1" xfId="0" applyFont="1" applyBorder="1" applyAlignment="1">
      <alignment horizontal="center" vertical="center" wrapText="1"/>
    </xf>
    <xf numFmtId="0" fontId="21" fillId="0" borderId="1" xfId="0" applyFont="1" applyBorder="1" applyAlignment="1">
      <alignment wrapText="1"/>
    </xf>
    <xf numFmtId="0" fontId="21" fillId="0" borderId="0" xfId="3" applyFont="1" applyAlignment="1">
      <alignment horizontal="center" vertical="center"/>
    </xf>
    <xf numFmtId="0" fontId="21" fillId="0" borderId="1" xfId="7" applyFont="1" applyBorder="1" applyAlignment="1">
      <alignment horizontal="center" vertical="center"/>
    </xf>
    <xf numFmtId="0" fontId="43" fillId="0" borderId="1" xfId="0" applyFont="1" applyBorder="1" applyAlignment="1">
      <alignment horizontal="center" vertical="center"/>
    </xf>
    <xf numFmtId="0" fontId="43" fillId="0" borderId="8" xfId="0" applyFont="1" applyBorder="1" applyAlignment="1">
      <alignment horizontal="center" vertical="center"/>
    </xf>
    <xf numFmtId="0" fontId="21" fillId="0" borderId="1" xfId="0" applyFont="1" applyFill="1" applyBorder="1" applyAlignment="1">
      <alignment horizontal="center" vertical="center"/>
    </xf>
    <xf numFmtId="49" fontId="21" fillId="0" borderId="1" xfId="0" applyNumberFormat="1" applyFont="1" applyFill="1" applyBorder="1" applyAlignment="1">
      <alignment horizontal="left" vertical="center"/>
    </xf>
    <xf numFmtId="0" fontId="22"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22" fillId="0" borderId="1" xfId="0" applyFont="1" applyFill="1" applyBorder="1" applyAlignment="1">
      <alignment horizontal="center" vertical="center"/>
    </xf>
    <xf numFmtId="0" fontId="21" fillId="0" borderId="1" xfId="1" applyFont="1" applyFill="1" applyBorder="1" applyAlignment="1">
      <alignment horizontal="center" vertical="center"/>
    </xf>
    <xf numFmtId="0" fontId="14" fillId="0" borderId="1" xfId="0" applyFont="1" applyFill="1" applyBorder="1" applyAlignment="1">
      <alignment horizontal="center" vertical="center"/>
    </xf>
    <xf numFmtId="0" fontId="21" fillId="0" borderId="1" xfId="0" applyFont="1" applyFill="1" applyBorder="1" applyAlignment="1">
      <alignment vertical="center"/>
    </xf>
    <xf numFmtId="0" fontId="21" fillId="0" borderId="1" xfId="0" applyFont="1" applyFill="1" applyBorder="1" applyAlignment="1">
      <alignment horizontal="center"/>
    </xf>
    <xf numFmtId="0" fontId="51" fillId="0" borderId="1" xfId="0" applyFont="1" applyFill="1" applyBorder="1" applyAlignment="1">
      <alignment horizontal="center" vertical="center"/>
    </xf>
    <xf numFmtId="0" fontId="14" fillId="0" borderId="1" xfId="7" applyFont="1" applyFill="1" applyBorder="1" applyAlignment="1">
      <alignment horizontal="center" vertical="center"/>
    </xf>
    <xf numFmtId="49" fontId="21" fillId="0" borderId="1" xfId="2" applyNumberFormat="1" applyFont="1" applyFill="1" applyBorder="1" applyAlignment="1">
      <alignment horizontal="left" vertical="center"/>
    </xf>
    <xf numFmtId="0" fontId="21" fillId="0" borderId="1" xfId="3" applyFont="1" applyFill="1" applyBorder="1" applyAlignment="1">
      <alignment horizontal="center" vertical="center"/>
    </xf>
    <xf numFmtId="0" fontId="50" fillId="0" borderId="9" xfId="0" applyFont="1" applyFill="1" applyBorder="1" applyAlignment="1">
      <alignment horizontal="center" vertical="center"/>
    </xf>
    <xf numFmtId="0" fontId="21" fillId="0" borderId="1" xfId="10" applyFont="1" applyFill="1" applyBorder="1" applyAlignment="1">
      <alignment horizontal="center" vertical="center"/>
    </xf>
    <xf numFmtId="0" fontId="21" fillId="0" borderId="10" xfId="0" applyFont="1" applyFill="1" applyBorder="1" applyAlignment="1">
      <alignment horizontal="center" vertical="center"/>
    </xf>
    <xf numFmtId="0" fontId="21" fillId="0" borderId="9" xfId="0" applyFont="1" applyFill="1" applyBorder="1" applyAlignment="1">
      <alignment horizontal="center" vertical="center"/>
    </xf>
    <xf numFmtId="0" fontId="42"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99" fillId="0" borderId="1" xfId="0" applyFont="1" applyFill="1" applyBorder="1" applyAlignment="1">
      <alignment horizontal="center" vertical="center" wrapText="1"/>
    </xf>
    <xf numFmtId="0" fontId="22" fillId="0" borderId="1" xfId="0" applyFont="1" applyFill="1" applyBorder="1" applyAlignment="1">
      <alignment vertical="center"/>
    </xf>
    <xf numFmtId="0" fontId="99" fillId="0" borderId="1" xfId="0" applyFont="1" applyFill="1" applyBorder="1" applyAlignment="1">
      <alignment horizontal="center" vertical="center"/>
    </xf>
    <xf numFmtId="49" fontId="21" fillId="0" borderId="1" xfId="5" applyNumberFormat="1" applyFont="1" applyFill="1" applyBorder="1" applyAlignment="1">
      <alignment horizontal="left" vertical="center" shrinkToFit="1"/>
    </xf>
    <xf numFmtId="0" fontId="50" fillId="0" borderId="1" xfId="0" applyFont="1" applyFill="1" applyBorder="1" applyAlignment="1">
      <alignment horizontal="center" vertical="center"/>
    </xf>
    <xf numFmtId="0" fontId="21" fillId="0" borderId="1" xfId="0" applyFont="1" applyFill="1" applyBorder="1" applyAlignment="1">
      <alignment wrapText="1"/>
    </xf>
    <xf numFmtId="0" fontId="21" fillId="0" borderId="13" xfId="0" applyFont="1" applyFill="1" applyBorder="1" applyAlignment="1">
      <alignment horizontal="center" vertical="center"/>
    </xf>
    <xf numFmtId="0" fontId="14" fillId="0" borderId="1" xfId="7" applyFont="1" applyFill="1" applyBorder="1" applyAlignment="1">
      <alignment horizontal="center" vertical="center" wrapText="1"/>
    </xf>
    <xf numFmtId="0" fontId="21" fillId="0" borderId="1" xfId="7" applyFont="1" applyFill="1" applyBorder="1" applyAlignment="1">
      <alignment horizontal="center" vertical="center"/>
    </xf>
    <xf numFmtId="0" fontId="14" fillId="0" borderId="13" xfId="7" applyFont="1" applyFill="1" applyBorder="1" applyAlignment="1">
      <alignment horizontal="center" vertical="center"/>
    </xf>
    <xf numFmtId="0" fontId="50" fillId="0" borderId="1" xfId="0" applyFont="1" applyFill="1" applyBorder="1" applyAlignment="1">
      <alignment vertical="center" wrapText="1"/>
    </xf>
    <xf numFmtId="0" fontId="22" fillId="63" borderId="13" xfId="0" applyFont="1" applyFill="1" applyBorder="1" applyAlignment="1">
      <alignment horizontal="center"/>
    </xf>
    <xf numFmtId="0" fontId="100" fillId="0" borderId="0" xfId="0" applyFont="1"/>
    <xf numFmtId="0" fontId="14" fillId="0" borderId="0" xfId="0" applyFont="1" applyFill="1" applyAlignment="1">
      <alignment horizontal="center" vertical="center"/>
    </xf>
    <xf numFmtId="0" fontId="22" fillId="64" borderId="13" xfId="0" applyFont="1" applyFill="1" applyBorder="1" applyAlignment="1">
      <alignment horizontal="center"/>
    </xf>
    <xf numFmtId="0" fontId="14" fillId="0" borderId="0" xfId="7" applyFont="1" applyFill="1" applyAlignment="1">
      <alignment horizontal="center" vertical="center"/>
    </xf>
    <xf numFmtId="0" fontId="21" fillId="0" borderId="0" xfId="0" applyFont="1" applyFill="1" applyAlignment="1">
      <alignment horizontal="center" vertical="center"/>
    </xf>
    <xf numFmtId="0" fontId="14" fillId="0" borderId="1" xfId="0" applyFont="1" applyBorder="1" applyAlignment="1">
      <alignment horizontal="center" vertical="center"/>
    </xf>
    <xf numFmtId="0" fontId="101" fillId="0" borderId="1" xfId="0" applyFont="1" applyBorder="1" applyAlignment="1">
      <alignment horizontal="center" vertical="center" wrapText="1"/>
    </xf>
    <xf numFmtId="0" fontId="102" fillId="0" borderId="1" xfId="0" applyFont="1" applyBorder="1" applyAlignment="1">
      <alignment horizontal="center" vertical="center"/>
    </xf>
    <xf numFmtId="0" fontId="102" fillId="0" borderId="1" xfId="0" applyFont="1" applyBorder="1" applyAlignment="1">
      <alignment vertical="center"/>
    </xf>
    <xf numFmtId="0" fontId="102" fillId="0" borderId="1" xfId="2" applyFont="1" applyBorder="1" applyAlignment="1">
      <alignment horizontal="left" vertical="center" wrapText="1"/>
    </xf>
    <xf numFmtId="0" fontId="102" fillId="0" borderId="1" xfId="0" applyFont="1" applyBorder="1" applyAlignment="1">
      <alignment horizontal="left" vertical="center" wrapText="1"/>
    </xf>
    <xf numFmtId="0" fontId="102" fillId="0" borderId="8" xfId="0" applyFont="1" applyBorder="1" applyAlignment="1">
      <alignment horizontal="center" vertical="center" wrapText="1"/>
    </xf>
    <xf numFmtId="0" fontId="17" fillId="0" borderId="1" xfId="0" applyFont="1" applyBorder="1" applyAlignment="1">
      <alignment horizontal="center" vertical="center" wrapText="1"/>
    </xf>
    <xf numFmtId="49" fontId="14" fillId="0" borderId="1" xfId="0" applyNumberFormat="1" applyFont="1" applyBorder="1" applyAlignment="1">
      <alignment horizontal="left" vertical="center"/>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vertical="center"/>
    </xf>
    <xf numFmtId="0" fontId="14" fillId="0" borderId="1" xfId="261" applyFont="1" applyBorder="1" applyAlignment="1">
      <alignment horizontal="left" vertical="center" wrapText="1"/>
    </xf>
    <xf numFmtId="0" fontId="14" fillId="0" borderId="1" xfId="1" applyFont="1" applyBorder="1" applyAlignment="1">
      <alignment horizontal="center" vertical="center"/>
    </xf>
    <xf numFmtId="0" fontId="14" fillId="0" borderId="1" xfId="7" applyFont="1" applyBorder="1" applyAlignment="1">
      <alignment horizontal="left" vertical="center"/>
    </xf>
    <xf numFmtId="0" fontId="14" fillId="0" borderId="1" xfId="3" applyFont="1" applyBorder="1" applyAlignment="1">
      <alignment vertical="center"/>
    </xf>
    <xf numFmtId="0" fontId="14" fillId="0" borderId="1" xfId="7" applyFont="1" applyBorder="1" applyAlignment="1">
      <alignment horizontal="left" vertical="center" wrapText="1"/>
    </xf>
    <xf numFmtId="0" fontId="43" fillId="0" borderId="1" xfId="0" applyFont="1" applyBorder="1" applyAlignment="1">
      <alignment horizontal="center" vertical="center"/>
    </xf>
    <xf numFmtId="0" fontId="103" fillId="0" borderId="1" xfId="0" applyFont="1" applyBorder="1" applyAlignment="1">
      <alignment horizontal="center" vertical="center"/>
    </xf>
    <xf numFmtId="0" fontId="21" fillId="3" borderId="1" xfId="0" applyFont="1" applyFill="1" applyBorder="1" applyAlignment="1">
      <alignment horizontal="center" vertical="center"/>
    </xf>
    <xf numFmtId="0" fontId="104" fillId="4" borderId="1" xfId="0" applyFont="1" applyFill="1" applyBorder="1" applyAlignment="1">
      <alignment horizontal="center" vertical="center"/>
    </xf>
    <xf numFmtId="0" fontId="17" fillId="0" borderId="0" xfId="0" applyFont="1"/>
    <xf numFmtId="0" fontId="21" fillId="0" borderId="1" xfId="0" applyFont="1" applyBorder="1" applyAlignment="1">
      <alignment horizontal="center" vertical="center"/>
    </xf>
    <xf numFmtId="0" fontId="21" fillId="0" borderId="1" xfId="0" applyFont="1" applyBorder="1" applyAlignment="1">
      <alignment vertical="center" wrapText="1"/>
    </xf>
    <xf numFmtId="0" fontId="22" fillId="0" borderId="1" xfId="0" applyFont="1" applyBorder="1" applyAlignment="1">
      <alignment horizontal="center" vertical="center"/>
    </xf>
    <xf numFmtId="0" fontId="17" fillId="0" borderId="1" xfId="0" applyFont="1" applyBorder="1" applyAlignment="1">
      <alignment horizontal="center" vertical="center"/>
    </xf>
    <xf numFmtId="0" fontId="14" fillId="0" borderId="1" xfId="0" applyFont="1" applyFill="1" applyBorder="1" applyAlignment="1">
      <alignment horizontal="center" vertical="center" wrapText="1"/>
    </xf>
    <xf numFmtId="0" fontId="17" fillId="0" borderId="9" xfId="262" applyFont="1" applyFill="1" applyBorder="1" applyAlignment="1">
      <alignment horizontal="center" wrapText="1"/>
    </xf>
    <xf numFmtId="0" fontId="22" fillId="2" borderId="13" xfId="0" applyFont="1" applyFill="1" applyBorder="1" applyAlignment="1">
      <alignment horizontal="center"/>
    </xf>
    <xf numFmtId="0" fontId="43" fillId="0" borderId="1" xfId="2" applyFont="1" applyBorder="1" applyAlignment="1">
      <alignment horizontal="left" vertical="center" wrapText="1"/>
    </xf>
    <xf numFmtId="0" fontId="22" fillId="3" borderId="1" xfId="262" applyFont="1" applyFill="1" applyBorder="1" applyAlignment="1">
      <alignment horizontal="center" vertical="center" wrapText="1"/>
    </xf>
    <xf numFmtId="0" fontId="14" fillId="0" borderId="1" xfId="0" applyFont="1" applyBorder="1" applyAlignment="1">
      <alignment horizontal="center" vertical="center"/>
    </xf>
    <xf numFmtId="0" fontId="22" fillId="0" borderId="1" xfId="262" applyFont="1" applyFill="1" applyBorder="1" applyAlignment="1">
      <alignment horizontal="center" vertical="center" wrapText="1"/>
    </xf>
    <xf numFmtId="0" fontId="22" fillId="0" borderId="9" xfId="262" applyFont="1" applyFill="1" applyBorder="1" applyAlignment="1">
      <alignment horizontal="center" vertical="center" wrapText="1"/>
    </xf>
    <xf numFmtId="0" fontId="22" fillId="0" borderId="1" xfId="3" applyFont="1" applyFill="1" applyBorder="1" applyAlignment="1">
      <alignment horizontal="center" vertical="center"/>
    </xf>
    <xf numFmtId="0" fontId="22" fillId="0" borderId="1" xfId="7" applyFont="1" applyFill="1" applyBorder="1" applyAlignment="1">
      <alignment horizontal="center" vertical="center"/>
    </xf>
    <xf numFmtId="0" fontId="105" fillId="4" borderId="1" xfId="262" applyFont="1" applyFill="1" applyBorder="1" applyAlignment="1">
      <alignment horizontal="center" vertical="center" wrapText="1"/>
    </xf>
    <xf numFmtId="0" fontId="104" fillId="4" borderId="1" xfId="0" applyFont="1" applyFill="1" applyBorder="1" applyAlignment="1">
      <alignment vertical="center" wrapText="1"/>
    </xf>
    <xf numFmtId="0" fontId="104" fillId="4" borderId="1" xfId="0" applyFont="1" applyFill="1" applyBorder="1" applyAlignment="1">
      <alignment horizontal="center" vertical="center" wrapText="1"/>
    </xf>
    <xf numFmtId="0" fontId="21" fillId="0" borderId="9" xfId="0" applyFont="1" applyFill="1" applyBorder="1" applyAlignment="1">
      <alignment vertical="center" wrapText="1"/>
    </xf>
    <xf numFmtId="0" fontId="14" fillId="0" borderId="1" xfId="1" applyFont="1" applyFill="1" applyBorder="1" applyAlignment="1">
      <alignment horizontal="center" vertical="center"/>
    </xf>
    <xf numFmtId="0" fontId="14" fillId="0" borderId="1" xfId="0" applyFont="1" applyFill="1" applyBorder="1" applyAlignment="1">
      <alignment vertical="center" wrapText="1"/>
    </xf>
    <xf numFmtId="49" fontId="104" fillId="4" borderId="1" xfId="0" applyNumberFormat="1" applyFont="1" applyFill="1" applyBorder="1" applyAlignment="1">
      <alignment horizontal="left" vertical="center"/>
    </xf>
    <xf numFmtId="0" fontId="14" fillId="0" borderId="0" xfId="0" applyFont="1" applyBorder="1" applyAlignment="1">
      <alignment horizontal="center" vertical="center"/>
    </xf>
    <xf numFmtId="49" fontId="104" fillId="4" borderId="1" xfId="5" applyNumberFormat="1" applyFont="1" applyFill="1" applyBorder="1" applyAlignment="1">
      <alignment horizontal="left" vertical="center" shrinkToFit="1"/>
    </xf>
    <xf numFmtId="0" fontId="21" fillId="0" borderId="0" xfId="0" applyFont="1" applyBorder="1" applyAlignment="1">
      <alignment horizontal="center" vertical="center"/>
    </xf>
    <xf numFmtId="0" fontId="14" fillId="0" borderId="0" xfId="0" applyFont="1" applyBorder="1" applyAlignment="1">
      <alignment vertical="center"/>
    </xf>
    <xf numFmtId="0" fontId="14" fillId="0" borderId="0" xfId="0" applyFont="1" applyAlignment="1">
      <alignment horizontal="center" vertical="center"/>
    </xf>
    <xf numFmtId="0" fontId="21" fillId="0" borderId="1" xfId="0" applyFont="1" applyBorder="1" applyAlignment="1">
      <alignment horizontal="center" vertical="center"/>
    </xf>
    <xf numFmtId="0" fontId="14" fillId="3" borderId="1" xfId="0" applyFont="1" applyFill="1" applyBorder="1" applyAlignment="1">
      <alignment horizontal="center" vertical="center"/>
    </xf>
    <xf numFmtId="0" fontId="43" fillId="0" borderId="1" xfId="0" applyFont="1" applyBorder="1" applyAlignment="1">
      <alignment horizontal="center" vertical="center"/>
    </xf>
    <xf numFmtId="0" fontId="14" fillId="0" borderId="1" xfId="0" applyFont="1" applyBorder="1" applyAlignment="1">
      <alignment horizontal="center" vertical="center"/>
    </xf>
    <xf numFmtId="0" fontId="20" fillId="0" borderId="14" xfId="0" applyFont="1" applyBorder="1" applyAlignment="1">
      <alignment horizontal="center" vertical="center"/>
    </xf>
    <xf numFmtId="0" fontId="20" fillId="0" borderId="3" xfId="0" applyFont="1" applyBorder="1" applyAlignment="1">
      <alignment horizontal="center" vertical="center"/>
    </xf>
    <xf numFmtId="0" fontId="20" fillId="0" borderId="15" xfId="0" applyFont="1" applyBorder="1" applyAlignment="1">
      <alignment horizontal="center" vertical="center"/>
    </xf>
    <xf numFmtId="0" fontId="43" fillId="0" borderId="1" xfId="0" applyFont="1" applyBorder="1" applyAlignment="1">
      <alignment horizontal="center" vertical="center"/>
    </xf>
    <xf numFmtId="0" fontId="42" fillId="0" borderId="1" xfId="0" applyFont="1" applyBorder="1" applyAlignment="1">
      <alignment horizontal="center" vertical="center"/>
    </xf>
    <xf numFmtId="0" fontId="42" fillId="0" borderId="11" xfId="0" applyFont="1" applyBorder="1" applyAlignment="1">
      <alignment horizontal="center" vertical="center"/>
    </xf>
    <xf numFmtId="0" fontId="42" fillId="0" borderId="4" xfId="0" applyFont="1" applyBorder="1" applyAlignment="1">
      <alignment horizontal="center" vertical="center"/>
    </xf>
    <xf numFmtId="0" fontId="42" fillId="0" borderId="12" xfId="0" applyFont="1" applyBorder="1" applyAlignment="1">
      <alignment horizontal="center" vertical="center"/>
    </xf>
    <xf numFmtId="0" fontId="43" fillId="0" borderId="8" xfId="0" applyFont="1" applyBorder="1" applyAlignment="1">
      <alignment horizontal="center" vertical="center"/>
    </xf>
    <xf numFmtId="0" fontId="102" fillId="0" borderId="1" xfId="0" applyFont="1" applyBorder="1" applyAlignment="1">
      <alignment horizontal="center" vertical="center"/>
    </xf>
    <xf numFmtId="0" fontId="101" fillId="0" borderId="1" xfId="0" applyFont="1" applyBorder="1" applyAlignment="1">
      <alignment horizontal="center" vertical="center"/>
    </xf>
    <xf numFmtId="0" fontId="14" fillId="0" borderId="1" xfId="0" applyFont="1" applyBorder="1" applyAlignment="1">
      <alignment horizontal="center" vertical="center"/>
    </xf>
    <xf numFmtId="0" fontId="48" fillId="0" borderId="1" xfId="137" applyBorder="1" applyAlignment="1">
      <alignment horizontal="center" vertical="center"/>
    </xf>
    <xf numFmtId="0" fontId="49" fillId="0" borderId="1" xfId="137" applyFont="1" applyBorder="1" applyAlignment="1">
      <alignment horizontal="center" vertical="center"/>
    </xf>
    <xf numFmtId="0" fontId="48" fillId="27" borderId="1" xfId="137" applyFill="1" applyBorder="1" applyAlignment="1">
      <alignment horizontal="center" vertical="center"/>
    </xf>
    <xf numFmtId="9" fontId="48" fillId="27" borderId="1" xfId="137" applyNumberFormat="1" applyFill="1" applyBorder="1" applyAlignment="1">
      <alignment horizontal="center" vertical="center"/>
    </xf>
    <xf numFmtId="0" fontId="48" fillId="28" borderId="1" xfId="137" applyFill="1" applyBorder="1" applyAlignment="1">
      <alignment horizontal="center" vertical="center"/>
    </xf>
    <xf numFmtId="9" fontId="48" fillId="28" borderId="1" xfId="137" applyNumberFormat="1" applyFill="1" applyBorder="1" applyAlignment="1">
      <alignment horizontal="center" vertical="center"/>
    </xf>
    <xf numFmtId="9" fontId="48" fillId="0" borderId="1" xfId="137" applyNumberFormat="1" applyBorder="1" applyAlignment="1">
      <alignment horizontal="center" vertical="center"/>
    </xf>
    <xf numFmtId="0" fontId="50" fillId="0" borderId="1" xfId="0" applyFont="1" applyFill="1" applyBorder="1" applyAlignment="1">
      <alignment horizontal="center" vertical="top" wrapText="1"/>
    </xf>
    <xf numFmtId="0" fontId="14" fillId="0" borderId="1" xfId="0" applyFont="1" applyFill="1" applyBorder="1" applyAlignment="1">
      <alignment vertical="center"/>
    </xf>
    <xf numFmtId="0" fontId="14" fillId="0" borderId="0" xfId="0" applyFont="1" applyFill="1" applyBorder="1" applyAlignment="1">
      <alignment vertical="center"/>
    </xf>
    <xf numFmtId="0" fontId="14" fillId="0" borderId="0" xfId="10" applyFont="1" applyFill="1" applyBorder="1" applyAlignment="1">
      <alignment horizontal="left" vertical="center"/>
    </xf>
    <xf numFmtId="49" fontId="14" fillId="0" borderId="1" xfId="2" applyNumberFormat="1" applyFont="1" applyFill="1" applyBorder="1" applyAlignment="1">
      <alignment horizontal="left" vertical="center"/>
    </xf>
    <xf numFmtId="0" fontId="14" fillId="0" borderId="1" xfId="10" applyFont="1" applyFill="1" applyBorder="1" applyAlignment="1">
      <alignment horizontal="center" vertical="center"/>
    </xf>
    <xf numFmtId="0" fontId="14" fillId="0" borderId="9" xfId="0" applyFont="1" applyFill="1" applyBorder="1" applyAlignment="1">
      <alignment vertical="center" wrapText="1"/>
    </xf>
    <xf numFmtId="0" fontId="14" fillId="0" borderId="10" xfId="0" applyFont="1" applyFill="1" applyBorder="1" applyAlignment="1">
      <alignment horizontal="center" vertical="center"/>
    </xf>
    <xf numFmtId="0" fontId="14" fillId="0" borderId="9" xfId="0" applyFont="1" applyFill="1" applyBorder="1" applyAlignment="1">
      <alignment horizontal="center" vertical="center" wrapText="1"/>
    </xf>
    <xf numFmtId="0" fontId="14" fillId="0" borderId="1" xfId="10" applyFont="1" applyFill="1" applyBorder="1" applyAlignment="1">
      <alignment horizontal="left" vertical="center"/>
    </xf>
    <xf numFmtId="0" fontId="14" fillId="0" borderId="0" xfId="0" applyFont="1" applyFill="1" applyBorder="1" applyAlignment="1">
      <alignment horizontal="center" vertical="center"/>
    </xf>
    <xf numFmtId="0" fontId="14" fillId="0" borderId="9" xfId="0" applyFont="1" applyFill="1" applyBorder="1" applyAlignment="1">
      <alignment vertical="center"/>
    </xf>
    <xf numFmtId="0" fontId="14" fillId="0" borderId="9" xfId="0" applyFont="1" applyFill="1" applyBorder="1" applyAlignment="1">
      <alignment horizontal="center" vertical="center"/>
    </xf>
    <xf numFmtId="49" fontId="104" fillId="4" borderId="1" xfId="2" applyNumberFormat="1" applyFont="1" applyFill="1" applyBorder="1" applyAlignment="1">
      <alignment horizontal="left" vertical="center"/>
    </xf>
    <xf numFmtId="0" fontId="105" fillId="4" borderId="1" xfId="0" applyFont="1" applyFill="1" applyBorder="1" applyAlignment="1">
      <alignment horizontal="center" vertical="center" wrapText="1"/>
    </xf>
    <xf numFmtId="0" fontId="105" fillId="4" borderId="1" xfId="0" applyFont="1" applyFill="1" applyBorder="1" applyAlignment="1">
      <alignment vertical="center"/>
    </xf>
    <xf numFmtId="0" fontId="16" fillId="4" borderId="1" xfId="0" applyFont="1" applyFill="1" applyBorder="1" applyAlignment="1">
      <alignment horizontal="center" vertical="center"/>
    </xf>
    <xf numFmtId="0" fontId="104" fillId="4" borderId="1" xfId="0" applyFont="1" applyFill="1" applyBorder="1" applyAlignment="1">
      <alignment vertical="center"/>
    </xf>
    <xf numFmtId="0" fontId="17" fillId="3" borderId="9" xfId="0" applyFont="1" applyFill="1" applyBorder="1" applyAlignment="1">
      <alignment horizontal="center" vertical="top" wrapText="1"/>
    </xf>
    <xf numFmtId="0" fontId="51" fillId="3" borderId="1" xfId="0" applyFont="1" applyFill="1" applyBorder="1" applyAlignment="1">
      <alignment horizontal="center" vertical="center"/>
    </xf>
    <xf numFmtId="0" fontId="158" fillId="4" borderId="11" xfId="0" applyFont="1" applyFill="1" applyBorder="1" applyAlignment="1">
      <alignment horizontal="center" vertical="center"/>
    </xf>
    <xf numFmtId="0" fontId="158" fillId="4" borderId="4" xfId="0" applyFont="1" applyFill="1" applyBorder="1" applyAlignment="1">
      <alignment horizontal="center" vertical="center"/>
    </xf>
    <xf numFmtId="0" fontId="158" fillId="4" borderId="12" xfId="0" applyFont="1" applyFill="1" applyBorder="1" applyAlignment="1">
      <alignment horizontal="center" vertical="center"/>
    </xf>
    <xf numFmtId="0" fontId="159" fillId="4" borderId="1" xfId="0" applyFont="1" applyFill="1" applyBorder="1" applyAlignment="1">
      <alignment horizontal="center" vertical="center"/>
    </xf>
    <xf numFmtId="0" fontId="159" fillId="4" borderId="1" xfId="0" applyFont="1" applyFill="1" applyBorder="1" applyAlignment="1">
      <alignment horizontal="center" vertical="center"/>
    </xf>
    <xf numFmtId="0" fontId="159" fillId="4" borderId="1" xfId="0" applyFont="1" applyFill="1" applyBorder="1" applyAlignment="1">
      <alignment vertical="center"/>
    </xf>
    <xf numFmtId="0" fontId="159" fillId="4" borderId="8" xfId="0" applyFont="1" applyFill="1" applyBorder="1" applyAlignment="1">
      <alignment horizontal="center" vertical="center"/>
    </xf>
    <xf numFmtId="0" fontId="159" fillId="4" borderId="8" xfId="2" applyFont="1" applyFill="1" applyBorder="1" applyAlignment="1">
      <alignment horizontal="left" vertical="center" wrapText="1"/>
    </xf>
    <xf numFmtId="0" fontId="159" fillId="4" borderId="8" xfId="0" applyFont="1" applyFill="1" applyBorder="1" applyAlignment="1">
      <alignment horizontal="center" vertical="center"/>
    </xf>
    <xf numFmtId="0" fontId="159" fillId="4" borderId="8" xfId="0" applyFont="1" applyFill="1" applyBorder="1" applyAlignment="1">
      <alignment vertical="center"/>
    </xf>
    <xf numFmtId="0" fontId="159" fillId="4" borderId="1" xfId="0" applyFont="1" applyFill="1" applyBorder="1" applyAlignment="1">
      <alignment horizontal="center" vertical="center" wrapText="1"/>
    </xf>
    <xf numFmtId="0" fontId="105" fillId="4" borderId="1" xfId="0" applyFont="1" applyFill="1" applyBorder="1" applyAlignment="1">
      <alignment horizontal="center" vertical="center"/>
    </xf>
    <xf numFmtId="0" fontId="21" fillId="0" borderId="0" xfId="0" applyFont="1" applyFill="1" applyBorder="1" applyAlignment="1">
      <alignment horizontal="center" vertical="center"/>
    </xf>
    <xf numFmtId="49" fontId="21" fillId="0" borderId="0" xfId="5" applyNumberFormat="1" applyFont="1" applyFill="1" applyBorder="1" applyAlignment="1">
      <alignment horizontal="left" vertical="center" shrinkToFit="1"/>
    </xf>
    <xf numFmtId="0" fontId="22" fillId="0" borderId="0" xfId="0" applyFont="1" applyFill="1" applyBorder="1" applyAlignment="1">
      <alignment horizontal="center" vertical="center"/>
    </xf>
    <xf numFmtId="0" fontId="21" fillId="0" borderId="0" xfId="0" applyFont="1" applyFill="1" applyBorder="1" applyAlignment="1">
      <alignment vertical="center" wrapText="1"/>
    </xf>
    <xf numFmtId="0" fontId="14" fillId="0" borderId="0" xfId="7" applyFont="1" applyFill="1" applyBorder="1" applyAlignment="1">
      <alignment horizontal="center" vertical="center" wrapText="1"/>
    </xf>
    <xf numFmtId="49" fontId="21" fillId="0" borderId="1" xfId="2" applyNumberFormat="1" applyFont="1" applyBorder="1" applyAlignment="1">
      <alignment horizontal="left" vertical="center"/>
    </xf>
    <xf numFmtId="0" fontId="22" fillId="0" borderId="1" xfId="0" applyFont="1" applyBorder="1" applyAlignment="1">
      <alignment horizontal="center" vertical="center" wrapText="1"/>
    </xf>
    <xf numFmtId="0" fontId="17" fillId="0" borderId="0" xfId="262" applyFont="1" applyFill="1" applyBorder="1" applyAlignment="1">
      <alignment horizontal="center" wrapText="1"/>
    </xf>
    <xf numFmtId="49" fontId="14" fillId="0" borderId="0" xfId="0" applyNumberFormat="1" applyFont="1" applyBorder="1" applyAlignment="1">
      <alignment horizontal="left" vertical="center"/>
    </xf>
    <xf numFmtId="0" fontId="14" fillId="0" borderId="0" xfId="0" applyFont="1" applyFill="1" applyBorder="1" applyAlignment="1">
      <alignment horizontal="center" vertical="center" wrapText="1"/>
    </xf>
    <xf numFmtId="0" fontId="14" fillId="0" borderId="8" xfId="0" applyFont="1" applyBorder="1" applyAlignment="1">
      <alignment horizontal="center" vertical="center"/>
    </xf>
    <xf numFmtId="49" fontId="21" fillId="0" borderId="0" xfId="2" applyNumberFormat="1" applyFont="1" applyBorder="1" applyAlignment="1">
      <alignment horizontal="left" vertical="center"/>
    </xf>
    <xf numFmtId="0" fontId="22" fillId="0" borderId="0" xfId="0" applyFont="1" applyBorder="1" applyAlignment="1">
      <alignment horizontal="center" vertical="center"/>
    </xf>
    <xf numFmtId="0" fontId="22" fillId="0" borderId="0" xfId="262" applyFont="1" applyFill="1" applyBorder="1" applyAlignment="1">
      <alignment horizontal="center" vertical="center" wrapText="1"/>
    </xf>
    <xf numFmtId="0" fontId="21" fillId="0" borderId="0" xfId="0" applyFont="1" applyBorder="1" applyAlignment="1">
      <alignment vertical="center"/>
    </xf>
    <xf numFmtId="0" fontId="21" fillId="0" borderId="0" xfId="0" applyFont="1" applyBorder="1" applyAlignment="1">
      <alignment horizontal="center" vertical="center" wrapText="1"/>
    </xf>
    <xf numFmtId="0" fontId="14" fillId="0" borderId="0" xfId="0" applyFont="1" applyBorder="1" applyAlignment="1">
      <alignment vertical="center" wrapText="1"/>
    </xf>
    <xf numFmtId="0" fontId="17" fillId="0" borderId="0" xfId="0" applyFont="1" applyBorder="1" applyAlignment="1">
      <alignment horizontal="center" vertical="center"/>
    </xf>
    <xf numFmtId="0" fontId="160" fillId="4" borderId="11" xfId="0" applyFont="1" applyFill="1" applyBorder="1" applyAlignment="1">
      <alignment horizontal="center" vertical="center"/>
    </xf>
    <xf numFmtId="0" fontId="159" fillId="4" borderId="11" xfId="0" applyFont="1" applyFill="1" applyBorder="1" applyAlignment="1">
      <alignment horizontal="center" vertical="center" wrapText="1"/>
    </xf>
    <xf numFmtId="0" fontId="16" fillId="4" borderId="11" xfId="0" applyFont="1" applyFill="1" applyBorder="1" applyAlignment="1">
      <alignment horizontal="center" vertical="center"/>
    </xf>
    <xf numFmtId="0" fontId="16" fillId="4" borderId="11" xfId="7" applyFont="1" applyFill="1" applyBorder="1" applyAlignment="1">
      <alignment horizontal="center" vertical="center"/>
    </xf>
    <xf numFmtId="0" fontId="16" fillId="4" borderId="11" xfId="7" applyFont="1" applyFill="1" applyBorder="1" applyAlignment="1">
      <alignment horizontal="center" vertical="center" wrapText="1"/>
    </xf>
    <xf numFmtId="0" fontId="17" fillId="0" borderId="0" xfId="0" applyFont="1" applyBorder="1" applyAlignment="1">
      <alignment horizontal="center" vertical="center" wrapText="1"/>
    </xf>
    <xf numFmtId="0" fontId="14" fillId="0" borderId="0" xfId="7" applyFont="1" applyBorder="1" applyAlignment="1">
      <alignment horizontal="center" vertical="center"/>
    </xf>
    <xf numFmtId="0" fontId="17" fillId="0" borderId="1" xfId="262" applyFont="1" applyFill="1" applyBorder="1" applyAlignment="1">
      <alignment horizontal="center" wrapText="1"/>
    </xf>
    <xf numFmtId="49" fontId="21" fillId="0" borderId="0" xfId="0" applyNumberFormat="1" applyFont="1" applyFill="1" applyBorder="1" applyAlignment="1">
      <alignment horizontal="left" vertical="center"/>
    </xf>
    <xf numFmtId="0" fontId="21" fillId="0" borderId="0" xfId="1" applyFont="1" applyFill="1" applyBorder="1" applyAlignment="1">
      <alignment horizontal="center" vertical="center"/>
    </xf>
    <xf numFmtId="0" fontId="21" fillId="0" borderId="0" xfId="0" applyFont="1" applyFill="1" applyBorder="1" applyAlignment="1">
      <alignment vertical="center"/>
    </xf>
  </cellXfs>
  <cellStyles count="521">
    <cellStyle name="_x000d__x000a_JournalTemplate=C:\COMFO\CTALK\JOURSTD.TPL_x000d__x000a_LbStateAddress=3 3 0 251 1 89 2 311_x000d__x000a_LbStateJou" xfId="270" xr:uid="{7E26AC21-5C7F-4C1D-92AB-66314896C4A7}"/>
    <cellStyle name="??&amp;O?&amp;H?_x0008__x000f__x0007_?_x0007__x0001__x0001_" xfId="271" xr:uid="{8AD1EE56-41D1-4A10-8029-FCE0FC1CFB3A}"/>
    <cellStyle name="??&amp;O?&amp;H?_x0008_??_x0007__x0001__x0001_" xfId="272" xr:uid="{0A08FB7D-7645-4E40-9BDC-4C58C38095FA}"/>
    <cellStyle name="??_kc-elec system check list" xfId="273" xr:uid="{11AE3C3C-75D1-4A42-9186-7E9E5249D119}"/>
    <cellStyle name="_~4037151" xfId="274" xr:uid="{4886D6C8-AA97-4A5B-9C7D-4AEA4B5FAE3C}"/>
    <cellStyle name="_~6966255" xfId="275" xr:uid="{36BA72D6-3DF8-4ACE-9373-3E3B3689E8E3}"/>
    <cellStyle name="_~7694708" xfId="276" xr:uid="{8F6A278B-6B52-433C-9DD0-BC4DD709D972}"/>
    <cellStyle name="_~8856194" xfId="277" xr:uid="{9766AEDA-F3C2-4321-AF25-DE9CD17169AA}"/>
    <cellStyle name="_ACER PROJECT  DOCUMENT-leo" xfId="278" xr:uid="{1822009E-02D8-4CB9-892D-A693E89B4FAA}"/>
    <cellStyle name="_Book1" xfId="279" xr:uid="{BDDF27F5-FACE-435E-9F36-70063C9E9B82}"/>
    <cellStyle name="_Conn&amp;Cable分級分類及技朮欄位屬性定義" xfId="280" xr:uid="{3D1A4D20-2FC7-42E3-A4CC-01AAEF942CA4}"/>
    <cellStyle name="_CSD-機構供應商ROHS回復統計表_20051213" xfId="281" xr:uid="{538FDC82-99EC-45A5-9EF5-5FC892841B19}"/>
    <cellStyle name="_delday9902" xfId="282" xr:uid="{81A5B351-71AD-4DBD-BECF-4B0F22F906D1}"/>
    <cellStyle name="_DMD weekly update -- 0331'2005" xfId="283" xr:uid="{A739E2BB-41F9-4147-B86B-3E3E0D6DA837}"/>
    <cellStyle name="_EPD(V)組裝物料送檢明細10" xfId="284" xr:uid="{AD60D698-928C-40CE-89E4-C7EC80EA094A}"/>
    <cellStyle name="_IBM Forecast and PO Summary-0729" xfId="285" xr:uid="{39829E87-6440-4AEE-9362-6ED609A77F7D}"/>
    <cellStyle name="_IBM Project Document Checklist-(from RD to Mfg)-011306" xfId="286" xr:uid="{0C64911D-8C12-4CE9-AAB9-C9EBCDF82969}"/>
    <cellStyle name="_L5" xfId="287" xr:uid="{DF477B9B-4C0C-4299-B792-926BF687910A}"/>
    <cellStyle name="_L5分級分類及Commodity Code定義1116" xfId="288" xr:uid="{568481D6-729C-4F1B-82D4-4065D7342C50}"/>
    <cellStyle name="_LV,LVI &amp; LX 分級分類  20051115b" xfId="289" xr:uid="{42AD0935-9D85-4CA9-861D-F0FC4F0C69F5}"/>
    <cellStyle name="_LV分級分類" xfId="290" xr:uid="{E51D94AB-CED3-459D-8684-EEB5FF07FA8E}"/>
    <cellStyle name="_Maple issues tracking report0808" xfId="291" xr:uid="{F2BDB94F-A2CB-45C5-952A-236F058C1D8C}"/>
    <cellStyle name="_Module Naming Rule List 2005-9-24" xfId="292" xr:uid="{A809B424-2531-48A6-845C-27A7139F59D0}"/>
    <cellStyle name="_MP Mat'l Status 0729" xfId="293" xr:uid="{C9E52547-2702-4AAF-BC1B-0FE86DB0A44E}"/>
    <cellStyle name="_PCEBG-副資材盤點及分類 v0106'06" xfId="294" xr:uid="{FDD23B04-4B2B-4922-90F0-848BB99D193C}"/>
    <cellStyle name="_PCEBG機構類供應商列表_LVI&amp;X_20051207" xfId="295" xr:uid="{CB873D23-8A65-4771-850F-F80635960B73}"/>
    <cellStyle name="_PM Weekly Report  wk13" xfId="296" xr:uid="{577C0C02-EB37-42A7-80EB-0589551BE28A}"/>
    <cellStyle name="_RYG  WW6" xfId="297" xr:uid="{5E558B99-6302-48B5-845F-D4D69C26BA06}"/>
    <cellStyle name="_ship plan  MB 0910 for material and capacity" xfId="298" xr:uid="{4268681C-2D69-4991-89C0-47DCC83DEB37}"/>
    <cellStyle name="_supplier databank----MPE BJ" xfId="299" xr:uid="{3C58804F-D030-40BE-AD05-A6D51EF75E8C}"/>
    <cellStyle name="_Tazbot  ship paln" xfId="300" xr:uid="{3C56B8DA-5458-4595-9F0C-CEAD4D427842}"/>
    <cellStyle name="_transfer job list" xfId="301" xr:uid="{73D233B6-14B5-4DE3-8D6E-4F0F25BD7660}"/>
    <cellStyle name="_金屬原材料明細表" xfId="302" xr:uid="{270C447F-7ABD-4349-82A6-743C77E807A5}"/>
    <cellStyle name="_新增Microsoft Excel 工作表" xfId="303" xr:uid="{AFE2C41B-0073-461F-AB37-BC92D0E80894}"/>
    <cellStyle name="’Ê‰Ý [0.00]_laroux" xfId="304" xr:uid="{5FCFA4C5-88C4-40A0-B370-A30639F83D02}"/>
    <cellStyle name="’Ê‰Ý_laroux" xfId="305" xr:uid="{BCC1B4E3-F7C8-4644-BA4F-296B910F1E0F}"/>
    <cellStyle name="•W_laroux" xfId="306" xr:uid="{76CDF072-B7B5-4208-858C-6D2C9CC364FB}"/>
    <cellStyle name=" 2" xfId="1" xr:uid="{00000000-0005-0000-0000-000000000000}"/>
    <cellStyle name=" 2 2" xfId="18" xr:uid="{00000000-0005-0000-0000-000001000000}"/>
    <cellStyle name="1" xfId="307" xr:uid="{C66291C5-72EF-4262-BD32-B1335EB0F15D}"/>
    <cellStyle name="2" xfId="308" xr:uid="{E4E70272-E8C4-438A-837C-AB27639AE53B}"/>
    <cellStyle name="20% - 强调文字颜色 1" xfId="20" xr:uid="{00000000-0005-0000-0000-000002000000}"/>
    <cellStyle name="20% - 强调文字颜色 1 2" xfId="107" xr:uid="{00000000-0005-0000-0000-000003000000}"/>
    <cellStyle name="20% - 强调文字颜色 2" xfId="21" xr:uid="{00000000-0005-0000-0000-000004000000}"/>
    <cellStyle name="20% - 强调文字颜色 2 2" xfId="108" xr:uid="{00000000-0005-0000-0000-000005000000}"/>
    <cellStyle name="20% - 强调文字颜色 3" xfId="22" xr:uid="{00000000-0005-0000-0000-000006000000}"/>
    <cellStyle name="20% - 强调文字颜色 3 2" xfId="109" xr:uid="{00000000-0005-0000-0000-000007000000}"/>
    <cellStyle name="20% - 强调文字颜色 4" xfId="23" xr:uid="{00000000-0005-0000-0000-000008000000}"/>
    <cellStyle name="20% - 强调文字颜色 4 2" xfId="110" xr:uid="{00000000-0005-0000-0000-000009000000}"/>
    <cellStyle name="20% - 强调文字颜色 5" xfId="24" xr:uid="{00000000-0005-0000-0000-00000A000000}"/>
    <cellStyle name="20% - 强调文字颜色 5 2" xfId="111" xr:uid="{00000000-0005-0000-0000-00000B000000}"/>
    <cellStyle name="20% - 强调文字颜色 6" xfId="25" xr:uid="{00000000-0005-0000-0000-00000C000000}"/>
    <cellStyle name="20% - 强调文字颜色 6 2" xfId="112" xr:uid="{00000000-0005-0000-0000-00000D000000}"/>
    <cellStyle name="20% - 輔色1" xfId="167" builtinId="30" customBuiltin="1"/>
    <cellStyle name="20% - 輔色1 2" xfId="26" xr:uid="{00000000-0005-0000-0000-00000E000000}"/>
    <cellStyle name="20% - 輔色1 3" xfId="240" xr:uid="{78DFF07A-BD19-4374-B071-17A223798A72}"/>
    <cellStyle name="20% - 輔色2" xfId="171" builtinId="34" customBuiltin="1"/>
    <cellStyle name="20% - 輔色2 2" xfId="27" xr:uid="{00000000-0005-0000-0000-00000F000000}"/>
    <cellStyle name="20% - 輔色2 3" xfId="243" xr:uid="{92ECAADD-1069-45B7-A9D0-314A5397F4DF}"/>
    <cellStyle name="20% - 輔色3" xfId="175" builtinId="38" customBuiltin="1"/>
    <cellStyle name="20% - 輔色3 2" xfId="28" xr:uid="{00000000-0005-0000-0000-000010000000}"/>
    <cellStyle name="20% - 輔色3 3" xfId="246" xr:uid="{FA9D25B8-A15C-4115-B813-8E847B2EC03E}"/>
    <cellStyle name="20% - 輔色4" xfId="179" builtinId="42" customBuiltin="1"/>
    <cellStyle name="20% - 輔色4 2" xfId="29" xr:uid="{00000000-0005-0000-0000-000011000000}"/>
    <cellStyle name="20% - 輔色4 3" xfId="249" xr:uid="{C90EC008-0FD4-4104-866B-F908078C2B19}"/>
    <cellStyle name="20% - 輔色5" xfId="183" builtinId="46" customBuiltin="1"/>
    <cellStyle name="20% - 輔色5 2" xfId="30" xr:uid="{00000000-0005-0000-0000-000012000000}"/>
    <cellStyle name="20% - 輔色5 3" xfId="252" xr:uid="{4C0B2458-5C44-4E90-99AE-225C429013D1}"/>
    <cellStyle name="20% - 輔色6" xfId="187" builtinId="50" customBuiltin="1"/>
    <cellStyle name="20% - 輔色6 2" xfId="31" xr:uid="{00000000-0005-0000-0000-000013000000}"/>
    <cellStyle name="20% - 輔色6 3" xfId="255" xr:uid="{B6032DB3-A03B-438D-B6F2-FDF7C089D52F}"/>
    <cellStyle name="3" xfId="309" xr:uid="{B5C54F69-FCAE-48ED-87DF-065CA00B70EC}"/>
    <cellStyle name="3 2" xfId="471" xr:uid="{A6A4A128-8200-436E-8163-B8938BE57FA0}"/>
    <cellStyle name="3 2 2" xfId="506" xr:uid="{64F8AC7A-1ABE-4938-BD5A-5A42BE511620}"/>
    <cellStyle name="3 3" xfId="491" xr:uid="{28EC73A9-6807-4EEA-A305-AF4874ABCB49}"/>
    <cellStyle name="4" xfId="310" xr:uid="{5804B32F-5484-4963-9C6F-6FCA250B4CA2}"/>
    <cellStyle name="40% - 强调文字颜色 1" xfId="32" xr:uid="{00000000-0005-0000-0000-000014000000}"/>
    <cellStyle name="40% - 强调文字颜色 1 2" xfId="113" xr:uid="{00000000-0005-0000-0000-000015000000}"/>
    <cellStyle name="40% - 强调文字颜色 2" xfId="33" xr:uid="{00000000-0005-0000-0000-000016000000}"/>
    <cellStyle name="40% - 强调文字颜色 2 2" xfId="114" xr:uid="{00000000-0005-0000-0000-000017000000}"/>
    <cellStyle name="40% - 强调文字颜色 3" xfId="34" xr:uid="{00000000-0005-0000-0000-000018000000}"/>
    <cellStyle name="40% - 强调文字颜色 3 2" xfId="115" xr:uid="{00000000-0005-0000-0000-000019000000}"/>
    <cellStyle name="40% - 强调文字颜色 4" xfId="35" xr:uid="{00000000-0005-0000-0000-00001A000000}"/>
    <cellStyle name="40% - 强调文字颜色 4 2" xfId="116" xr:uid="{00000000-0005-0000-0000-00001B000000}"/>
    <cellStyle name="40% - 强调文字颜色 5" xfId="36" xr:uid="{00000000-0005-0000-0000-00001C000000}"/>
    <cellStyle name="40% - 强调文字颜色 5 2" xfId="117" xr:uid="{00000000-0005-0000-0000-00001D000000}"/>
    <cellStyle name="40% - 强调文字颜色 6" xfId="37" xr:uid="{00000000-0005-0000-0000-00001E000000}"/>
    <cellStyle name="40% - 强调文字颜色 6 2" xfId="118" xr:uid="{00000000-0005-0000-0000-00001F000000}"/>
    <cellStyle name="40% - 輔色1" xfId="168" builtinId="31" customBuiltin="1"/>
    <cellStyle name="40% - 輔色1 2" xfId="38" xr:uid="{00000000-0005-0000-0000-000020000000}"/>
    <cellStyle name="40% - 輔色1 3" xfId="241" xr:uid="{EA2F46F4-6FF8-49EC-8082-976CE34F7BDC}"/>
    <cellStyle name="40% - 輔色2" xfId="172" builtinId="35" customBuiltin="1"/>
    <cellStyle name="40% - 輔色2 2" xfId="39" xr:uid="{00000000-0005-0000-0000-000021000000}"/>
    <cellStyle name="40% - 輔色2 3" xfId="244" xr:uid="{354029E7-E374-4651-B81B-BDF400AC28C0}"/>
    <cellStyle name="40% - 輔色3" xfId="176" builtinId="39" customBuiltin="1"/>
    <cellStyle name="40% - 輔色3 2" xfId="40" xr:uid="{00000000-0005-0000-0000-000022000000}"/>
    <cellStyle name="40% - 輔色3 3" xfId="247" xr:uid="{9E8E101E-34C1-4C80-9671-0EEA6FA050D6}"/>
    <cellStyle name="40% - 輔色4" xfId="180" builtinId="43" customBuiltin="1"/>
    <cellStyle name="40% - 輔色4 2" xfId="41" xr:uid="{00000000-0005-0000-0000-000023000000}"/>
    <cellStyle name="40% - 輔色4 3" xfId="250" xr:uid="{70D68BF2-0BCD-4CF1-A904-30B61D920640}"/>
    <cellStyle name="40% - 輔色5" xfId="184" builtinId="47" customBuiltin="1"/>
    <cellStyle name="40% - 輔色5 2" xfId="42" xr:uid="{00000000-0005-0000-0000-000024000000}"/>
    <cellStyle name="40% - 輔色5 3" xfId="253" xr:uid="{737157F0-127A-497A-B5EB-53BF853929C5}"/>
    <cellStyle name="40% - 輔色6" xfId="188" builtinId="51" customBuiltin="1"/>
    <cellStyle name="40% - 輔色6 2" xfId="43" xr:uid="{00000000-0005-0000-0000-000025000000}"/>
    <cellStyle name="40% - 輔色6 3" xfId="256" xr:uid="{DA3AD279-0A0F-4299-A66C-D937C07CDC33}"/>
    <cellStyle name="5" xfId="311" xr:uid="{495308D0-E338-4804-85D5-CEDCEBB92955}"/>
    <cellStyle name="5 2" xfId="472" xr:uid="{4F2E5CCE-3B37-4AF6-8F81-267B6EA3C0C7}"/>
    <cellStyle name="5 2 2" xfId="507" xr:uid="{66504724-B7F5-41DF-89DE-5EEDB9DAFF84}"/>
    <cellStyle name="5 3" xfId="492" xr:uid="{4CAA1F26-83B1-4445-B108-F42D4E86DCC8}"/>
    <cellStyle name="6" xfId="312" xr:uid="{F95668FF-92B0-4247-B750-D5418126E885}"/>
    <cellStyle name="60% - 强调文字颜色 1" xfId="44" xr:uid="{00000000-0005-0000-0000-000026000000}"/>
    <cellStyle name="60% - 强调文字颜色 2" xfId="45" xr:uid="{00000000-0005-0000-0000-000027000000}"/>
    <cellStyle name="60% - 强调文字颜色 3" xfId="46" xr:uid="{00000000-0005-0000-0000-000028000000}"/>
    <cellStyle name="60% - 强调文字颜色 4" xfId="47" xr:uid="{00000000-0005-0000-0000-000029000000}"/>
    <cellStyle name="60% - 强调文字颜色 5" xfId="48" xr:uid="{00000000-0005-0000-0000-00002A000000}"/>
    <cellStyle name="60% - 强调文字颜色 6" xfId="49" xr:uid="{00000000-0005-0000-0000-00002B000000}"/>
    <cellStyle name="60% - 輔色1" xfId="169" builtinId="32" customBuiltin="1"/>
    <cellStyle name="60% - 輔色1 2" xfId="119" xr:uid="{00000000-0005-0000-0000-00002C000000}"/>
    <cellStyle name="60% - 輔色1 3" xfId="242" xr:uid="{F7DB4D77-562C-4A60-8F36-489D16DC4241}"/>
    <cellStyle name="60% - 輔色2" xfId="173" builtinId="36" customBuiltin="1"/>
    <cellStyle name="60% - 輔色2 2" xfId="120" xr:uid="{00000000-0005-0000-0000-00002D000000}"/>
    <cellStyle name="60% - 輔色2 3" xfId="245" xr:uid="{CDC74B58-C16F-4196-BAAE-C40544689CF1}"/>
    <cellStyle name="60% - 輔色3" xfId="177" builtinId="40" customBuiltin="1"/>
    <cellStyle name="60% - 輔色3 2" xfId="121" xr:uid="{00000000-0005-0000-0000-00002E000000}"/>
    <cellStyle name="60% - 輔色3 3" xfId="248" xr:uid="{4303D4A7-2EF5-4AA5-B4AB-058E2C740401}"/>
    <cellStyle name="60% - 輔色4" xfId="181" builtinId="44" customBuiltin="1"/>
    <cellStyle name="60% - 輔色4 2" xfId="122" xr:uid="{00000000-0005-0000-0000-00002F000000}"/>
    <cellStyle name="60% - 輔色4 3" xfId="251" xr:uid="{6A691264-550A-4B82-842C-0D63323F20D0}"/>
    <cellStyle name="60% - 輔色5" xfId="185" builtinId="48" customBuiltin="1"/>
    <cellStyle name="60% - 輔色5 2" xfId="123" xr:uid="{00000000-0005-0000-0000-000030000000}"/>
    <cellStyle name="60% - 輔色5 3" xfId="254" xr:uid="{2409D044-A65E-47AB-A7F1-98D668FE81FC}"/>
    <cellStyle name="60% - 輔色6" xfId="189" builtinId="52" customBuiltin="1"/>
    <cellStyle name="60% - 輔色6 2" xfId="124" xr:uid="{00000000-0005-0000-0000-000031000000}"/>
    <cellStyle name="60% - 輔色6 3" xfId="257" xr:uid="{797AF068-C0B3-42D0-8E90-8B5CD446E0C1}"/>
    <cellStyle name="7" xfId="313" xr:uid="{E3790CB6-B4E1-4CAC-9EE1-C6236EF4814B}"/>
    <cellStyle name="7 2" xfId="473" xr:uid="{62EC0D88-B321-4ECE-8AC0-93E87BE1DD8A}"/>
    <cellStyle name="7 2 2" xfId="508" xr:uid="{17C8E4F2-5AA3-4DCB-B12D-A4C0C50B6DCC}"/>
    <cellStyle name="7 3" xfId="493" xr:uid="{ABBD8819-8106-45F6-95B3-367013173C7A}"/>
    <cellStyle name="8" xfId="314" xr:uid="{CA65CAF1-5D44-403C-80B7-163971C96866}"/>
    <cellStyle name="A" xfId="315" xr:uid="{88097E07-4ED2-4A27-9F49-01F1FE38A5C3}"/>
    <cellStyle name="A 2" xfId="474" xr:uid="{25A1F573-409E-4F48-965E-61B4EA6F9EE0}"/>
    <cellStyle name="A 2 2" xfId="509" xr:uid="{7E296811-57A9-44FD-BABC-157AC0C6E6DA}"/>
    <cellStyle name="A 3" xfId="494" xr:uid="{88DAFE87-CD12-4FFA-B642-C1B98CAE4D06}"/>
    <cellStyle name="Actual Date" xfId="316" xr:uid="{3C1EEAFE-5C98-4B09-9C67-69BE3C46AAFB}"/>
    <cellStyle name="AeE­ [0]_INQUIRY ¿μ¾÷AßAø " xfId="317" xr:uid="{CC22ECC2-FDAF-4CB2-9EFE-B58D3668AB22}"/>
    <cellStyle name="AeE­_INQUIRY ¿μ¾÷AßAø " xfId="318" xr:uid="{925A0DB2-7905-4316-B75B-6CDF81FB234E}"/>
    <cellStyle name="args.style" xfId="319" xr:uid="{46C74701-469B-4218-B9C2-98762DEC2377}"/>
    <cellStyle name="AÞ¸¶ [0]_INQUIRY ¿?¾÷AßAø " xfId="320" xr:uid="{8C3A6F05-ACE4-435C-95B1-3CCF49DE510B}"/>
    <cellStyle name="AÞ¸¶_INQUIRY ¿?¾÷AßAø " xfId="321" xr:uid="{83FA3E8E-CA2F-4AAA-A507-0B3D690F66A6}"/>
    <cellStyle name="b" xfId="322" xr:uid="{A3B5939C-BD63-4527-BA39-7825F53F1DF2}"/>
    <cellStyle name="Blue,Bold,12pt" xfId="323" xr:uid="{32677BAC-4BEC-435D-8422-E125AB48507A}"/>
    <cellStyle name="Blue,Bold,14pt" xfId="324" xr:uid="{1B1EE7BC-73AD-42FB-B1D5-717CF299137B}"/>
    <cellStyle name="Bold,10pt" xfId="325" xr:uid="{60FAA8D9-4C36-457F-9A38-9E16F22345FE}"/>
    <cellStyle name="Border" xfId="326" xr:uid="{00D5E90B-67E2-471B-8B13-D1779482FB89}"/>
    <cellStyle name="Border 2" xfId="475" xr:uid="{46CFABE9-CAE6-4D2F-82C3-6905FD004FC9}"/>
    <cellStyle name="Border 2 2" xfId="510" xr:uid="{7BD57D98-933A-4091-B4F2-7A8F6ED1057E}"/>
    <cellStyle name="Border 3" xfId="495" xr:uid="{B79D53BD-FC0B-42B5-9C52-A87085EB2116}"/>
    <cellStyle name="C?AØ_¿?¾÷CoE² " xfId="327" xr:uid="{AD688954-FD57-4B45-A3F3-A9A2211DA82F}"/>
    <cellStyle name="C￥AØ_¿μ¾÷CoE² " xfId="328" xr:uid="{149D9AE6-9E9F-4885-BAEF-0B71448924F2}"/>
    <cellStyle name="Calc Currency (0)" xfId="50" xr:uid="{00000000-0005-0000-0000-000032000000}"/>
    <cellStyle name="Calc Currency (0) 2" xfId="329" xr:uid="{ADF3FA85-5057-4F9B-A441-287EAE3205B8}"/>
    <cellStyle name="Calc Currency (2)" xfId="51" xr:uid="{00000000-0005-0000-0000-000033000000}"/>
    <cellStyle name="Calc Currency (2) 2" xfId="330" xr:uid="{A433D0D8-C0A2-4570-8D61-BD6BF27EC0EC}"/>
    <cellStyle name="Calc Percent (0)" xfId="52" xr:uid="{00000000-0005-0000-0000-000034000000}"/>
    <cellStyle name="Calc Percent (0) 2" xfId="331" xr:uid="{876D568D-DDAE-4340-9C2A-B2522E5100C4}"/>
    <cellStyle name="Calc Percent (1)" xfId="53" xr:uid="{00000000-0005-0000-0000-000035000000}"/>
    <cellStyle name="Calc Percent (1) 2" xfId="332" xr:uid="{42B1FF2D-CE89-4F99-A89D-22CA04BECECE}"/>
    <cellStyle name="Calc Percent (2)" xfId="54" xr:uid="{00000000-0005-0000-0000-000036000000}"/>
    <cellStyle name="Calc Percent (2) 2" xfId="333" xr:uid="{BF9145F6-9C5D-4C7C-88AF-0E67A8B87C68}"/>
    <cellStyle name="Calc Units (0)" xfId="55" xr:uid="{00000000-0005-0000-0000-000037000000}"/>
    <cellStyle name="Calc Units (0) 2" xfId="476" xr:uid="{9FF84CF6-F650-42DE-9038-9BDAE64DFB86}"/>
    <cellStyle name="Calc Units (0) 2 2" xfId="511" xr:uid="{29AE26BB-2690-4813-A701-945CCB47AE75}"/>
    <cellStyle name="Calc Units (0) 3" xfId="334" xr:uid="{B3960683-3BF2-4003-BCBC-8252068E176F}"/>
    <cellStyle name="Calc Units (0) 3 2" xfId="496" xr:uid="{8BD27A03-7F02-44E0-9BCA-049CE55229E2}"/>
    <cellStyle name="Calc Units (1)" xfId="56" xr:uid="{00000000-0005-0000-0000-000038000000}"/>
    <cellStyle name="Calc Units (1) 2" xfId="335" xr:uid="{2A3EF08E-56C2-44FD-A75C-0D7D38276DE7}"/>
    <cellStyle name="Calc Units (2)" xfId="57" xr:uid="{00000000-0005-0000-0000-000039000000}"/>
    <cellStyle name="Calc Units (2) 2" xfId="336" xr:uid="{4AF4399F-5A06-4FC9-ADF2-100445BFF0DE}"/>
    <cellStyle name="category" xfId="337" xr:uid="{E533FC3A-2C92-4A99-A717-22307A7F5824}"/>
    <cellStyle name="Comma  - Style1" xfId="338" xr:uid="{21E9C08C-7EF9-4BA3-A9CE-3E4B500C50CF}"/>
    <cellStyle name="Comma  - Style2" xfId="339" xr:uid="{B4384EBB-FFD6-4308-B809-8BC894DF46DB}"/>
    <cellStyle name="Comma  - Style3" xfId="340" xr:uid="{3E8A4004-0EA9-4E3D-8F08-6696DE8A2576}"/>
    <cellStyle name="Comma  - Style4" xfId="341" xr:uid="{B266A8CB-599C-42F4-9676-012D9F001DBF}"/>
    <cellStyle name="Comma  - Style5" xfId="342" xr:uid="{755770BD-B867-4A94-9B37-D9760814A5E1}"/>
    <cellStyle name="Comma  - Style6" xfId="343" xr:uid="{6AE07835-E62A-43FE-8568-CAE010F44F34}"/>
    <cellStyle name="Comma  - Style7" xfId="344" xr:uid="{C7A2BB93-7A14-45D1-BA6F-D038721846A7}"/>
    <cellStyle name="Comma  - Style8" xfId="345" xr:uid="{911BF8BE-85D4-4501-8A91-391CB9EC05B9}"/>
    <cellStyle name="Comma [0]_!!!GO" xfId="346" xr:uid="{34259763-504D-4958-A0DA-30568D84A24D}"/>
    <cellStyle name="Comma [00]" xfId="58" xr:uid="{00000000-0005-0000-0000-00003B000000}"/>
    <cellStyle name="Comma [00] 2" xfId="477" xr:uid="{2EE7DAE6-2455-4F1D-97B5-E3A671C5A4DC}"/>
    <cellStyle name="Comma [00] 2 2" xfId="512" xr:uid="{1F965651-A464-4AD8-942E-8067840D4EDC}"/>
    <cellStyle name="Comma [00] 3" xfId="347" xr:uid="{45FB4D0A-B631-4C1D-A3A1-EAC9ABC6FB7B}"/>
    <cellStyle name="Comma [00] 3 2" xfId="497" xr:uid="{7A6CFE75-A765-47E0-B39C-F6638D5DE9EE}"/>
    <cellStyle name="comma zerodec" xfId="348" xr:uid="{B615B2D4-83EA-4CCC-BE3A-E26B57FDC01C}"/>
    <cellStyle name="Comma_!!!GO" xfId="349" xr:uid="{C3A55817-6497-4A4F-902D-4F3E6281F691}"/>
    <cellStyle name="Comma0" xfId="350" xr:uid="{6A7D27F1-21B6-4405-96EC-C5B06ED16174}"/>
    <cellStyle name="Comma0 - Modelo1" xfId="351" xr:uid="{F6DDA9C5-757B-4C95-83A5-2C858E7F3E68}"/>
    <cellStyle name="Comma0 - Style1" xfId="352" xr:uid="{713DBBFB-A6C5-4EB7-8F05-0E5B70F150C9}"/>
    <cellStyle name="Comma0_Book1" xfId="353" xr:uid="{A42FAAB2-3C5A-42B8-AAB3-E7089D579147}"/>
    <cellStyle name="Comma1 - Modelo2" xfId="354" xr:uid="{740A2FB1-F90F-4E94-BCE8-0901F378B87A}"/>
    <cellStyle name="Comma1 - Style2" xfId="355" xr:uid="{2DE98C2B-16EE-4F14-8EE9-8B1E83E25E7C}"/>
    <cellStyle name="Copied" xfId="356" xr:uid="{F259E70D-2B25-4F46-A388-0BEAABE359FA}"/>
    <cellStyle name="COST1" xfId="357" xr:uid="{3004AEAD-6CFE-4657-87DC-9E301ADBC8DA}"/>
    <cellStyle name="Currency [0]_!!!GO" xfId="358" xr:uid="{2F8B56E1-B3AE-4A76-8A54-DC9C499827C7}"/>
    <cellStyle name="Currency [00]" xfId="59" xr:uid="{00000000-0005-0000-0000-00003E000000}"/>
    <cellStyle name="Currency [00] 2" xfId="359" xr:uid="{CBC5D649-7E2B-4227-A8E2-5C3DFFCE855E}"/>
    <cellStyle name="Currency_!!!GO" xfId="360" xr:uid="{618FA8C4-F122-42E1-A9E8-9590182262C3}"/>
    <cellStyle name="Currency0" xfId="361" xr:uid="{BE86E59F-0762-404F-8F93-78E3AFA5CC46}"/>
    <cellStyle name="Currency1" xfId="362" xr:uid="{C164503C-8A7A-45E8-94D0-151030C7EFD5}"/>
    <cellStyle name="custom" xfId="363" xr:uid="{801D5933-FAD6-476A-AE65-82A216973D60}"/>
    <cellStyle name="Cyndie" xfId="364" xr:uid="{9AF1A36A-DE03-41AF-BCB9-DA42AFC36561}"/>
    <cellStyle name="Date" xfId="365" xr:uid="{7FFDF8F2-0D88-4E35-8DDE-38A41C36DB72}"/>
    <cellStyle name="Date Short" xfId="60" xr:uid="{00000000-0005-0000-0000-000040000000}"/>
    <cellStyle name="Date_Book1" xfId="366" xr:uid="{7AE4BD9F-AA04-4244-BC74-6790A8192973}"/>
    <cellStyle name="DELTA" xfId="61" xr:uid="{00000000-0005-0000-0000-000041000000}"/>
    <cellStyle name="DESKTOP - ME" xfId="367" xr:uid="{6DC1A78A-FA62-49A9-9643-20E77AF056D3}"/>
    <cellStyle name="Dia" xfId="368" xr:uid="{ABA2BF3E-7581-465D-B246-A33269784E87}"/>
    <cellStyle name="Dollar (zero dec)" xfId="369" xr:uid="{14130809-562D-4F3C-8538-FB1E269F92D1}"/>
    <cellStyle name="Encabez1" xfId="370" xr:uid="{D94FAAC0-31F8-4F93-9BC8-FFDB88AFD868}"/>
    <cellStyle name="Encabez2" xfId="371" xr:uid="{0D7328A8-07C5-43D0-8B35-377BFA51960F}"/>
    <cellStyle name="Enter Currency (0)" xfId="62" xr:uid="{00000000-0005-0000-0000-000042000000}"/>
    <cellStyle name="Enter Currency (0) 2" xfId="478" xr:uid="{186D4953-120F-41D0-8FB8-1C98CD0FAAD8}"/>
    <cellStyle name="Enter Currency (0) 2 2" xfId="513" xr:uid="{F526D40A-E2E9-4F5D-AD67-1D676078C82B}"/>
    <cellStyle name="Enter Currency (0) 3" xfId="372" xr:uid="{978DD7F7-1331-4032-9089-7C200C7CFCB8}"/>
    <cellStyle name="Enter Currency (0) 3 2" xfId="498" xr:uid="{A1260941-D306-4FCA-86EF-A9AA41201D75}"/>
    <cellStyle name="Enter Currency (2)" xfId="63" xr:uid="{00000000-0005-0000-0000-000043000000}"/>
    <cellStyle name="Enter Currency (2) 2" xfId="373" xr:uid="{0F9DC3B4-F562-429E-8148-A42849A371FD}"/>
    <cellStyle name="Enter Units (0)" xfId="64" xr:uid="{00000000-0005-0000-0000-000044000000}"/>
    <cellStyle name="Enter Units (0) 2" xfId="479" xr:uid="{5AFE0493-0679-44A7-ABE5-7ED0D0D97976}"/>
    <cellStyle name="Enter Units (0) 2 2" xfId="514" xr:uid="{95E912B7-946B-4E38-A761-C27DA831848C}"/>
    <cellStyle name="Enter Units (0) 3" xfId="374" xr:uid="{68A596CC-5CF8-487D-85A1-91C1D8695528}"/>
    <cellStyle name="Enter Units (0) 3 2" xfId="499" xr:uid="{FE690994-7725-4FC7-9FCB-57F9127107B3}"/>
    <cellStyle name="Enter Units (1)" xfId="65" xr:uid="{00000000-0005-0000-0000-000045000000}"/>
    <cellStyle name="Enter Units (1) 2" xfId="375" xr:uid="{8956D9A2-CECB-430B-8515-7CC200A01314}"/>
    <cellStyle name="Enter Units (2)" xfId="66" xr:uid="{00000000-0005-0000-0000-000046000000}"/>
    <cellStyle name="Enter Units (2) 2" xfId="376" xr:uid="{4740766C-D478-4D10-B7E5-1550A58809AA}"/>
    <cellStyle name="Entered" xfId="377" xr:uid="{8D359C69-876E-4196-9C0A-BA314FFE143A}"/>
    <cellStyle name="F2" xfId="378" xr:uid="{E4F8471D-B57E-4CDB-8D32-E7BE4CFE8583}"/>
    <cellStyle name="F3" xfId="379" xr:uid="{157A8EBF-E64E-4AE4-9CA4-1C72D57580BD}"/>
    <cellStyle name="F4" xfId="380" xr:uid="{A987A6B7-6507-420D-8192-482C1023E6E1}"/>
    <cellStyle name="F5" xfId="381" xr:uid="{217BA3E0-D691-434D-85B1-29F72DCB318B}"/>
    <cellStyle name="F6" xfId="382" xr:uid="{C0AEA62C-86E6-4708-9C6A-19AC4091F2F7}"/>
    <cellStyle name="F7" xfId="383" xr:uid="{95BB2FC0-C3CF-4AEC-ACBD-3C5450E98D99}"/>
    <cellStyle name="F8" xfId="384" xr:uid="{A28D7AA5-05DB-475C-BDE0-0D71A55BA0B4}"/>
    <cellStyle name="Fijo" xfId="385" xr:uid="{5B459AB1-AD67-4FF2-9BFA-C9D7FB1967E0}"/>
    <cellStyle name="Financiero" xfId="386" xr:uid="{AC501D0F-328C-4F89-8193-8E907A0FCFB4}"/>
    <cellStyle name="Fixed" xfId="387" xr:uid="{7DF3EC84-5B73-4626-99CE-5EE859BD145C}"/>
    <cellStyle name="ƒp[ƒZƒ“ƒg_pldt" xfId="388" xr:uid="{AFA53BF0-B7ED-4772-B18C-3EC33E8132A5}"/>
    <cellStyle name="Grey" xfId="389" xr:uid="{74EA4A3A-D557-47A9-A002-6805B47CBCE9}"/>
    <cellStyle name="HEADER" xfId="390" xr:uid="{63AC6560-D7A5-4146-9C06-EAEF078F356F}"/>
    <cellStyle name="Header1" xfId="67" xr:uid="{00000000-0005-0000-0000-000047000000}"/>
    <cellStyle name="Header2" xfId="68" xr:uid="{00000000-0005-0000-0000-000048000000}"/>
    <cellStyle name="Header2 2" xfId="221" xr:uid="{76E7ECBF-4A3F-43CA-98ED-19DB0168564E}"/>
    <cellStyle name="Heading 1" xfId="391" xr:uid="{6399C30B-B7F9-4A2E-A079-AD05EC2DA79F}"/>
    <cellStyle name="Heading 2" xfId="392" xr:uid="{434524A5-8CD1-4622-85F7-2C58FE82CF90}"/>
    <cellStyle name="Heading1" xfId="393" xr:uid="{C803F7BC-7E54-488D-A72A-D76A5912886B}"/>
    <cellStyle name="Heading2" xfId="394" xr:uid="{171EDD1C-0363-4FBD-BD31-F9F223E86FBA}"/>
    <cellStyle name="HEADINGS" xfId="395" xr:uid="{21602B09-C904-4EDD-A2BE-AA7E96787D75}"/>
    <cellStyle name="HEADINGSTOP" xfId="396" xr:uid="{DD66919D-0851-4E52-8B3D-34FE2BE4426F}"/>
    <cellStyle name="HIGHLIGHT" xfId="397" xr:uid="{F1ACD05C-FDA3-4792-AB9F-6653DF8DEE55}"/>
    <cellStyle name="Hyperlink_PERSONAL" xfId="398" xr:uid="{B62C7662-8DFD-4A6B-A51A-ECDA4BE29C9D}"/>
    <cellStyle name="Input [yellow]" xfId="399" xr:uid="{0FDD8CC1-DD62-4C23-867C-53983FD25C35}"/>
    <cellStyle name="Input Cells" xfId="400" xr:uid="{8C729FA3-9D8B-4534-8FE4-E20908EB39B5}"/>
    <cellStyle name="Item Title" xfId="401" xr:uid="{614C5221-8F50-4B19-8D9F-20E0C870C51F}"/>
    <cellStyle name="Item1" xfId="402" xr:uid="{28162FC9-0244-4492-8886-D159044F6F66}"/>
    <cellStyle name="Link Currency (0)" xfId="69" xr:uid="{00000000-0005-0000-0000-00004A000000}"/>
    <cellStyle name="Link Currency (0) 2" xfId="480" xr:uid="{97D5B19C-9C35-4AFE-B003-392BCE623507}"/>
    <cellStyle name="Link Currency (0) 2 2" xfId="515" xr:uid="{FF273AC4-35CA-4DA1-9903-F6B0EF8350D5}"/>
    <cellStyle name="Link Currency (0) 3" xfId="403" xr:uid="{A7AF36E9-5C95-48D8-88ED-BF1F2F6E9ECC}"/>
    <cellStyle name="Link Currency (0) 3 2" xfId="500" xr:uid="{62C37170-A5B0-4AD3-8932-FEA33EFB31CB}"/>
    <cellStyle name="Link Currency (2)" xfId="70" xr:uid="{00000000-0005-0000-0000-00004B000000}"/>
    <cellStyle name="Link Currency (2) 2" xfId="404" xr:uid="{E3D390BF-E16D-4F56-9EFC-45FE91CC0F61}"/>
    <cellStyle name="Link Units (0)" xfId="71" xr:uid="{00000000-0005-0000-0000-00004C000000}"/>
    <cellStyle name="Link Units (0) 2" xfId="481" xr:uid="{921EAE28-21FE-4792-82C6-CCBA0CC69BEF}"/>
    <cellStyle name="Link Units (0) 2 2" xfId="516" xr:uid="{C68C84A5-75D7-4536-8A92-F0302DFD574E}"/>
    <cellStyle name="Link Units (0) 3" xfId="405" xr:uid="{9F53A381-C818-426C-A0E1-D7AE68FDF64C}"/>
    <cellStyle name="Link Units (0) 3 2" xfId="501" xr:uid="{239A686B-24C2-4A8E-BBC0-4A6EA7B63DC5}"/>
    <cellStyle name="Link Units (1)" xfId="72" xr:uid="{00000000-0005-0000-0000-00004D000000}"/>
    <cellStyle name="Link Units (1) 2" xfId="406" xr:uid="{C3419944-0736-47B4-A89A-E5C1D8B9B820}"/>
    <cellStyle name="Link Units (2)" xfId="73" xr:uid="{00000000-0005-0000-0000-00004E000000}"/>
    <cellStyle name="Link Units (2) 2" xfId="407" xr:uid="{A2177B4C-2EB2-4BA8-BAEE-CEB6F85F26E3}"/>
    <cellStyle name="Linked Cells" xfId="408" xr:uid="{7C352425-88EA-48DE-A912-0A9324798627}"/>
    <cellStyle name="Millares [0]_10 AVERIAS MASIVAS + ANT" xfId="409" xr:uid="{95855566-BDE6-4E0D-A201-A6B0ADD1CBAB}"/>
    <cellStyle name="Millares_10 AVERIAS MASIVAS + ANT" xfId="410" xr:uid="{5D1018CA-F165-4772-A5A4-49F8AE16A0C9}"/>
    <cellStyle name="Milliers [0]_!!!GO" xfId="411" xr:uid="{25021FE6-C56C-45DA-A71B-3CCD742E3116}"/>
    <cellStyle name="Milliers_!!!GO" xfId="412" xr:uid="{C3E527F8-0572-4B58-AC7B-67B543089968}"/>
    <cellStyle name="Moneda [0]_10 AVERIAS MASIVAS + ANT" xfId="413" xr:uid="{60225EFC-2726-4A2B-8895-0C334DA774CB}"/>
    <cellStyle name="Moneda_10 AVERIAS MASIVAS + ANT" xfId="414" xr:uid="{E9037112-B06A-417D-9359-EF19CD4B5E67}"/>
    <cellStyle name="Monétaire [0]_!!!GO" xfId="415" xr:uid="{FD3E6F27-F1FC-45CE-8E4C-F8153BEE59F2}"/>
    <cellStyle name="Monétaire_!!!GO" xfId="416" xr:uid="{ADDF5B0B-A138-462F-AF33-600DD1317306}"/>
    <cellStyle name="Needs Work" xfId="417" xr:uid="{87EC33D4-AEF3-4981-9AB9-0CAE88BFF0EB}"/>
    <cellStyle name="Needs Work 2" xfId="482" xr:uid="{1D8D0998-F536-4B72-8E98-702F8B83D055}"/>
    <cellStyle name="Needs Work 2 2" xfId="517" xr:uid="{8C12AAC1-CD17-4103-9970-EF58C79C7B62}"/>
    <cellStyle name="Needs Work 3" xfId="502" xr:uid="{44203B00-CA99-460A-99CC-B565F71A6D37}"/>
    <cellStyle name="New Times Roman" xfId="418" xr:uid="{EB0333A4-CD38-4ED0-AEBF-EA2B70051034}"/>
    <cellStyle name="no dec" xfId="419" xr:uid="{9ED56311-1D89-4D30-A139-BA714C70784D}"/>
    <cellStyle name="Norm੎੎" xfId="142" xr:uid="{A3EB3118-37ED-4137-8543-733C0424FC55}"/>
    <cellStyle name="Norm੎੎ 2" xfId="2" xr:uid="{00000000-0005-0000-0000-00004F000000}"/>
    <cellStyle name="Norm੎੎ 3" xfId="420" xr:uid="{EBB421BB-03AB-4B0A-8999-72F886086B42}"/>
    <cellStyle name="Normal - Style1" xfId="74" xr:uid="{00000000-0005-0000-0000-000050000000}"/>
    <cellStyle name="Normal - Style1 2" xfId="421" xr:uid="{F93C7893-310E-4C18-A37D-1F62E8D7A039}"/>
    <cellStyle name="Normal 1" xfId="75" xr:uid="{00000000-0005-0000-0000-000051000000}"/>
    <cellStyle name="Normal_!!!GO" xfId="422" xr:uid="{A136A883-DC9B-4551-A3CE-B9336F3F315A}"/>
    <cellStyle name="number-red" xfId="423" xr:uid="{F6A18FE6-0A07-47ED-8D30-EC66D2AACE09}"/>
    <cellStyle name="Œ…‹æØ‚è [0.00]_laroux" xfId="424" xr:uid="{2B0A482B-F22C-435C-97FE-07E9D700AE02}"/>
    <cellStyle name="Œ…‹æØ‚è_laroux" xfId="425" xr:uid="{17A44413-A60B-4C5F-8B21-84578D8732CC}"/>
    <cellStyle name="per.style" xfId="426" xr:uid="{767B0FC2-791E-4AA8-87BF-109A9C78E687}"/>
    <cellStyle name="Percent [0]" xfId="76" xr:uid="{00000000-0005-0000-0000-000053000000}"/>
    <cellStyle name="Percent [0] 2" xfId="427" xr:uid="{3096F9A3-55C1-4191-99D0-765926E21FEB}"/>
    <cellStyle name="Percent [00]" xfId="77" xr:uid="{00000000-0005-0000-0000-000054000000}"/>
    <cellStyle name="Percent [00] 2" xfId="428" xr:uid="{7006AF8C-CCCC-4A96-863E-6C98B0A10FC1}"/>
    <cellStyle name="Percent [2]" xfId="429" xr:uid="{450F5DC6-8631-4196-8BC8-5888EA67186A}"/>
    <cellStyle name="Percent_#6 Temps &amp; Contractors" xfId="78" xr:uid="{00000000-0005-0000-0000-000055000000}"/>
    <cellStyle name="PrePop Currency (0)" xfId="79" xr:uid="{00000000-0005-0000-0000-000056000000}"/>
    <cellStyle name="PrePop Currency (0) 2" xfId="483" xr:uid="{975A7207-99C7-42C5-8161-9D8E150BE92A}"/>
    <cellStyle name="PrePop Currency (0) 2 2" xfId="518" xr:uid="{154B39F5-86AA-4DF0-A667-754101E0FEEF}"/>
    <cellStyle name="PrePop Currency (0) 3" xfId="430" xr:uid="{9438FACD-E196-4114-BF83-2A725F1AE71E}"/>
    <cellStyle name="PrePop Currency (0) 3 2" xfId="503" xr:uid="{6F11AF86-AF2E-4724-96B5-6EFE6EB6E0BA}"/>
    <cellStyle name="PrePop Currency (2)" xfId="80" xr:uid="{00000000-0005-0000-0000-000057000000}"/>
    <cellStyle name="PrePop Currency (2) 2" xfId="431" xr:uid="{45142DF9-FA33-445E-A90C-2C632F111FF0}"/>
    <cellStyle name="PrePop Units (0)" xfId="81" xr:uid="{00000000-0005-0000-0000-000058000000}"/>
    <cellStyle name="PrePop Units (0) 2" xfId="484" xr:uid="{16006807-DA6C-4ACB-8320-898A71030F57}"/>
    <cellStyle name="PrePop Units (0) 2 2" xfId="519" xr:uid="{23A407E9-11BD-4F07-919A-FF80BE88A14C}"/>
    <cellStyle name="PrePop Units (0) 3" xfId="432" xr:uid="{76BC3FB5-E669-481C-88B9-C69DA6C80F6C}"/>
    <cellStyle name="PrePop Units (0) 3 2" xfId="504" xr:uid="{1C053365-4F02-4100-A43F-8A3E757D7A65}"/>
    <cellStyle name="PrePop Units (1)" xfId="82" xr:uid="{00000000-0005-0000-0000-000059000000}"/>
    <cellStyle name="PrePop Units (1) 2" xfId="433" xr:uid="{A5F8C49A-77DC-44A2-BD7F-383FD29C4462}"/>
    <cellStyle name="PrePop Units (2)" xfId="83" xr:uid="{00000000-0005-0000-0000-00005A000000}"/>
    <cellStyle name="PrePop Units (2) 2" xfId="434" xr:uid="{7881FDDD-BF94-40C1-B3EE-C60CE2510E02}"/>
    <cellStyle name="pricing" xfId="435" xr:uid="{8C6C489C-6B49-4D75-B55E-6780B0D640F2}"/>
    <cellStyle name="pricing 2" xfId="485" xr:uid="{659B667B-7546-4163-BB85-42A1A7B26402}"/>
    <cellStyle name="pricing 2 2" xfId="520" xr:uid="{5622ED27-FA7A-48CC-92A3-28FC341A9057}"/>
    <cellStyle name="pricing 3" xfId="505" xr:uid="{ADDD75F6-760E-4AE8-895A-EC684D19F341}"/>
    <cellStyle name="PSChar" xfId="436" xr:uid="{D2911BF5-2892-482C-B6F5-14E699FCEDBF}"/>
    <cellStyle name="PSDate" xfId="437" xr:uid="{677A3FC0-A7EE-4D48-9997-0FE21523D123}"/>
    <cellStyle name="PSDec" xfId="438" xr:uid="{82CB2858-5F7B-41C3-A430-F90147F92B71}"/>
    <cellStyle name="PSHeading" xfId="439" xr:uid="{5FB12DAC-496F-49EA-B47A-95A22E68188D}"/>
    <cellStyle name="PSInt" xfId="440" xr:uid="{000F02CF-C75E-42F9-846B-191A77F01B05}"/>
    <cellStyle name="PSSpacer" xfId="441" xr:uid="{F34709A3-CDC9-4431-A015-993137D50CA5}"/>
    <cellStyle name="QDF" xfId="442" xr:uid="{8C0FF2C7-2678-4A75-B035-593BF97EF84E}"/>
    <cellStyle name="Red,Bold,12pt" xfId="443" xr:uid="{F429CB9D-6A2E-46A5-8F8D-02F19E3CD5B1}"/>
    <cellStyle name="regstoresfromspecstores" xfId="444" xr:uid="{E422F710-BBD5-4333-B1E8-717675ED818B}"/>
    <cellStyle name="RevList" xfId="445" xr:uid="{3E01282D-16A6-403B-923B-0B303EE2BCB4}"/>
    <cellStyle name="shade" xfId="446" xr:uid="{5D65EDE3-0F5A-4E22-BEA8-88DD72384331}"/>
    <cellStyle name="SHADEDSTORES" xfId="447" xr:uid="{BEF369F6-D88A-4987-9117-8543E3029ED4}"/>
    <cellStyle name="specstores" xfId="448" xr:uid="{6B163CF4-40BC-4FC8-80BF-C61949F57F0A}"/>
    <cellStyle name="STANDARD" xfId="449" xr:uid="{74D21C4F-D223-42C1-831C-DDA1AFDF0A23}"/>
    <cellStyle name="Subtotal" xfId="450" xr:uid="{F7883766-746D-4584-B358-6F591706EC7E}"/>
    <cellStyle name="taples Plaza" xfId="451" xr:uid="{99768645-ED13-4B7E-9188-CC0845533349}"/>
    <cellStyle name="Text Indent A" xfId="84" xr:uid="{00000000-0005-0000-0000-00005B000000}"/>
    <cellStyle name="Text Indent B" xfId="85" xr:uid="{00000000-0005-0000-0000-00005C000000}"/>
    <cellStyle name="Text Indent B 2" xfId="452" xr:uid="{28A778DA-3E4D-464A-BB9E-5B103AE90C1D}"/>
    <cellStyle name="Text Indent C" xfId="86" xr:uid="{00000000-0005-0000-0000-00005D000000}"/>
    <cellStyle name="Text Indent C 2" xfId="453" xr:uid="{8A1AB5C7-F854-4191-8920-2B5C4D92272C}"/>
    <cellStyle name="Total" xfId="454" xr:uid="{F79C24A7-A4EC-494B-A290-EF0A287A2DC7}"/>
    <cellStyle name="UP" xfId="455" xr:uid="{C72A4CD1-2B86-4D3A-8A9C-E6AB6B772994}"/>
    <cellStyle name="一般" xfId="0" builtinId="0"/>
    <cellStyle name="一般 10" xfId="190" xr:uid="{CADB9BAE-BBE8-45A2-B850-9D8059BAF442}"/>
    <cellStyle name="一般 11" xfId="262" xr:uid="{DFEE1687-2F00-4FAA-A01E-F909AADD8805}"/>
    <cellStyle name="一般 2" xfId="3" xr:uid="{00000000-0005-0000-0000-00005F000000}"/>
    <cellStyle name="一般 2 2" xfId="10" xr:uid="{00000000-0005-0000-0000-000060000000}"/>
    <cellStyle name="一般 2 2 2" xfId="136" xr:uid="{00000000-0005-0000-0000-000061000000}"/>
    <cellStyle name="一般 2 2 3" xfId="106" xr:uid="{00000000-0005-0000-0000-000062000000}"/>
    <cellStyle name="一般 2 2 4" xfId="230" xr:uid="{B135502F-4C30-4FCD-9A84-0C1CCF22BD1B}"/>
    <cellStyle name="一般 2 3" xfId="14" xr:uid="{00000000-0005-0000-0000-000063000000}"/>
    <cellStyle name="一般 2 3 2" xfId="125" xr:uid="{00000000-0005-0000-0000-000064000000}"/>
    <cellStyle name="一般 2 3 3" xfId="231" xr:uid="{E0A35916-869F-479E-8F82-A7A3B3B175F0}"/>
    <cellStyle name="一般 2 3 3 2" xfId="260" xr:uid="{A3E15C40-6D29-4722-8867-B5E7F03FBA4F}"/>
    <cellStyle name="一般 2 4" xfId="145" xr:uid="{3F9B1122-A37E-4BB9-BA6F-A87B1F28C5B5}"/>
    <cellStyle name="一般 2 4 2" xfId="266" xr:uid="{4511B824-F0D9-451E-B18B-120B38D8766D}"/>
    <cellStyle name="一般 2 5" xfId="139" xr:uid="{355B2E87-12FD-4B6C-B34E-DC4385390C25}"/>
    <cellStyle name="一般 2 6" xfId="192" xr:uid="{5B62CA05-93FC-4D12-8793-FE634FBF2F74}"/>
    <cellStyle name="一般 3" xfId="4" xr:uid="{00000000-0005-0000-0000-000065000000}"/>
    <cellStyle name="一般 3 2" xfId="17" xr:uid="{00000000-0005-0000-0000-000066000000}"/>
    <cellStyle name="一般 3 3" xfId="87" xr:uid="{00000000-0005-0000-0000-000067000000}"/>
    <cellStyle name="一般 3 3 2" xfId="146" xr:uid="{F5E683A6-EC0E-43D5-BF72-72926187ED2D}"/>
    <cellStyle name="一般 3 4" xfId="140" xr:uid="{1EFAC49F-01B4-496F-9A59-6034716EDFB8}"/>
    <cellStyle name="一般 3 5" xfId="191" xr:uid="{9E93C43C-6AC1-411F-B9C4-1397BBB11841}"/>
    <cellStyle name="一般 4" xfId="8" xr:uid="{00000000-0005-0000-0000-000068000000}"/>
    <cellStyle name="一般 4 2" xfId="15" xr:uid="{00000000-0005-0000-0000-000069000000}"/>
    <cellStyle name="一般 4 3" xfId="147" xr:uid="{F10F9575-71A1-4E08-97F4-220FFB553C14}"/>
    <cellStyle name="一般 4 4" xfId="143" xr:uid="{13D3D6EB-EF71-444D-ACA9-E5AA98B0EA2B}"/>
    <cellStyle name="一般 5" xfId="9" xr:uid="{00000000-0005-0000-0000-00006A000000}"/>
    <cellStyle name="一般 6" xfId="12" xr:uid="{00000000-0005-0000-0000-00006B000000}"/>
    <cellStyle name="一般 7" xfId="19" xr:uid="{00000000-0005-0000-0000-00006C000000}"/>
    <cellStyle name="一般 7 2" xfId="144" xr:uid="{260EF768-A606-4E20-92DE-F171777148EB}"/>
    <cellStyle name="一般 7 2 2" xfId="267" xr:uid="{4AAC5D96-4848-4401-8054-B4655AFA86F2}"/>
    <cellStyle name="一般 7 2 3" xfId="489" xr:uid="{8BCE575F-F238-4645-8057-26C12407DF4D}"/>
    <cellStyle name="一般 7 3" xfId="219" xr:uid="{79758356-61B8-4A26-94E1-37DCE07BB1EB}"/>
    <cellStyle name="一般 7 3 2" xfId="258" xr:uid="{F9FCAF1E-AF9F-497B-BF25-CD2DAB3E410E}"/>
    <cellStyle name="一般 7 3 3" xfId="268" xr:uid="{20F993DB-62CF-44C0-BB2D-56FF435B0487}"/>
    <cellStyle name="一般 7 3 4" xfId="490" xr:uid="{581DDDA3-33F8-42C9-94B8-BE9E41707FF3}"/>
    <cellStyle name="一般 7 4" xfId="236" xr:uid="{223924A1-6CDD-4F7F-A17E-486D5BFD403C}"/>
    <cellStyle name="一般 7 5" xfId="265" xr:uid="{AAF9A007-D36A-4FA8-A3DD-1664FC77E9B0}"/>
    <cellStyle name="一般 7 6" xfId="488" xr:uid="{4ADAE6AC-EB0F-476C-A289-DEE82F76FD7B}"/>
    <cellStyle name="一般 8" xfId="137" xr:uid="{00000000-0005-0000-0000-00006D000000}"/>
    <cellStyle name="一般 8 2" xfId="269" xr:uid="{B576EE5B-5106-4A20-9DA5-7C40B19D4BDD}"/>
    <cellStyle name="一般 9" xfId="138" xr:uid="{162B1CB7-D0AF-4215-A0B1-ECC14E91AB88}"/>
    <cellStyle name="一般 9 2" xfId="237" xr:uid="{50B11000-1464-42D1-8EFE-F5351D8C9FF5}"/>
    <cellStyle name="一般_EPOS ME BOM" xfId="261" xr:uid="{BE9ACBCB-A111-41E0-A825-2F240BA3873B}"/>
    <cellStyle name="一般_S_BOMP_BomForm_~6274372 2 2" xfId="5" xr:uid="{00000000-0005-0000-0000-00006F000000}"/>
    <cellStyle name="千分位" xfId="11" builtinId="3"/>
    <cellStyle name="千分位 2" xfId="13" xr:uid="{00000000-0005-0000-0000-000071000000}"/>
    <cellStyle name="千分位 2 2" xfId="149" xr:uid="{5320D9D5-80F0-4874-A305-8B843A8B2319}"/>
    <cellStyle name="千分位 2 2 2" xfId="239" xr:uid="{E0C609F5-A133-4337-B28E-84DF7A279C45}"/>
    <cellStyle name="千分位 2 3" xfId="235" xr:uid="{DC56023D-9C60-474E-BA2F-2123E682BB99}"/>
    <cellStyle name="千分位 2 4" xfId="264" xr:uid="{17433B2D-3A5E-4D65-AE61-7FAA4CCCCC42}"/>
    <cellStyle name="千分位 2 5" xfId="487" xr:uid="{D86304DE-FFFF-4205-8EF9-256044982B98}"/>
    <cellStyle name="千分位 3" xfId="148" xr:uid="{365B29A8-04EB-4A96-850A-2A108C254E63}"/>
    <cellStyle name="千分位 3 2" xfId="238" xr:uid="{510130E4-ADC1-49B0-B856-9E0B2EF6E197}"/>
    <cellStyle name="千分位 4" xfId="234" xr:uid="{6B046485-A802-4FE0-9D8A-FA7AF2E1ECD6}"/>
    <cellStyle name="千分位 5" xfId="263" xr:uid="{87302A85-3E00-40CF-A966-AACBC5720A67}"/>
    <cellStyle name="千分位 6" xfId="486" xr:uid="{B8A784AF-42F1-466B-8535-DEF1E22D75BF}"/>
    <cellStyle name="中等" xfId="157" builtinId="28" customBuiltin="1"/>
    <cellStyle name="中等 2" xfId="193" xr:uid="{511B69AE-4D11-4097-94D7-37545FE4F284}"/>
    <cellStyle name="计算" xfId="194" xr:uid="{287B4750-29D7-497D-AA73-C5F36FA59ABE}"/>
    <cellStyle name="计算 2" xfId="222" xr:uid="{1B9311BB-8276-464E-AEBF-CD6615F32346}"/>
    <cellStyle name="未定義" xfId="456" xr:uid="{868DE4B2-B287-4FCD-B317-4C6ABCB2D605}"/>
    <cellStyle name="汇总" xfId="88" xr:uid="{00000000-0005-0000-0000-000090000000}"/>
    <cellStyle name="汇总 2" xfId="223" xr:uid="{5F5B296C-81E5-478C-B62B-2B9B14641211}"/>
    <cellStyle name="合計" xfId="165" builtinId="25" customBuiltin="1"/>
    <cellStyle name="合計 2" xfId="126" xr:uid="{00000000-0005-0000-0000-000072000000}"/>
    <cellStyle name="合計 3" xfId="224" xr:uid="{D012F0F6-3706-44FA-B080-C431F3966733}"/>
    <cellStyle name="好" xfId="155" builtinId="26" customBuiltin="1"/>
    <cellStyle name="好 2" xfId="127" xr:uid="{00000000-0005-0000-0000-000073000000}"/>
    <cellStyle name="昗弨_4.13 J88" xfId="457" xr:uid="{8EFA3754-CB1E-467B-857B-72088FF4CF9A}"/>
    <cellStyle name="注释" xfId="89" xr:uid="{00000000-0005-0000-0000-000074000000}"/>
    <cellStyle name="注释 2" xfId="225" xr:uid="{C4EBA0C3-6D8C-4F35-8D79-C233451AB4D1}"/>
    <cellStyle name="标题" xfId="195" xr:uid="{3225B9F7-C36C-4EAD-A018-59AEA5B5F0B1}"/>
    <cellStyle name="标题 1" xfId="196" xr:uid="{96E12B80-C7C5-4082-854E-20EFFF05759C}"/>
    <cellStyle name="标题 2" xfId="197" xr:uid="{64C3759B-E320-421E-9CF4-A06E723208DC}"/>
    <cellStyle name="标题 3" xfId="198" xr:uid="{C6F0704F-8B45-4C88-BECA-139DBD930C7E}"/>
    <cellStyle name="标题 4" xfId="199" xr:uid="{0D86D5B5-B86B-4A2F-BA92-3C33D71B1433}"/>
    <cellStyle name="計算方式" xfId="160" builtinId="22" customBuiltin="1"/>
    <cellStyle name="計算方式 2" xfId="200" xr:uid="{1E8DE50E-BBCD-4E1A-8BD8-55B912F0DC56}"/>
    <cellStyle name="計算方式 3" xfId="226" xr:uid="{A0B6DF31-0D76-4A50-9076-AA3F3BF7AD13}"/>
    <cellStyle name="差" xfId="201" xr:uid="{4B68423A-A70D-4AE1-B5E7-AE702B942C32}"/>
    <cellStyle name="样式 1" xfId="90" xr:uid="{00000000-0005-0000-0000-000075000000}"/>
    <cellStyle name="桁?切? [0.00]_PERSONAL" xfId="91" xr:uid="{00000000-0005-0000-0000-000076000000}"/>
    <cellStyle name="桁?切?_PERSONAL" xfId="92" xr:uid="{00000000-0005-0000-0000-000077000000}"/>
    <cellStyle name="适中" xfId="202" xr:uid="{E198CC90-44FB-445A-9FD8-D330B6D491E2}"/>
    <cellStyle name="常规 2" xfId="6" xr:uid="{00000000-0005-0000-0000-000078000000}"/>
    <cellStyle name="常规 2 2" xfId="93" xr:uid="{00000000-0005-0000-0000-000079000000}"/>
    <cellStyle name="常规 3" xfId="7" xr:uid="{00000000-0005-0000-0000-00007A000000}"/>
    <cellStyle name="常规 6" xfId="16" xr:uid="{00000000-0005-0000-0000-00007B000000}"/>
    <cellStyle name="检查单元格" xfId="203" xr:uid="{51512DBD-82FC-48DD-B62D-AAE2B1EF6B94}"/>
    <cellStyle name="貨幣[0]_laroux" xfId="94" xr:uid="{00000000-0005-0000-0000-00007C000000}"/>
    <cellStyle name="通貨 [0.00]_PERSONAL" xfId="95" xr:uid="{00000000-0005-0000-0000-00007D000000}"/>
    <cellStyle name="通貨_PERSONAL" xfId="96" xr:uid="{00000000-0005-0000-0000-00007E000000}"/>
    <cellStyle name="連結的儲存格" xfId="161" builtinId="24" customBuiltin="1"/>
    <cellStyle name="連結的儲存格 2" xfId="128" xr:uid="{00000000-0005-0000-0000-00007F000000}"/>
    <cellStyle name="똿뗦먛귟 [0.00]_PRODUCT DETAIL Q1" xfId="458" xr:uid="{CAD430E7-1662-4DEB-8FCD-490CDD14ECA3}"/>
    <cellStyle name="똿뗦먛귟_PRODUCT DETAIL Q1" xfId="459" xr:uid="{34FB6D90-91D7-4E50-A578-8C1589C7F08B}"/>
    <cellStyle name="備註 2" xfId="129" xr:uid="{00000000-0005-0000-0000-000080000000}"/>
    <cellStyle name="備註 2 2" xfId="220" xr:uid="{1D614F91-F361-4BEB-8F5E-0AE4E0360A18}"/>
    <cellStyle name="備註 2 2 2" xfId="259" xr:uid="{F50EB2B0-D3D2-49F8-A764-E55B1C2CB8B2}"/>
    <cellStyle name="備註 3" xfId="227" xr:uid="{F0A580A3-E888-4E07-B09C-7D6B0A381A10}"/>
    <cellStyle name="强调文字颜色 1" xfId="97" xr:uid="{00000000-0005-0000-0000-000081000000}"/>
    <cellStyle name="强调文字颜色 2" xfId="98" xr:uid="{00000000-0005-0000-0000-000082000000}"/>
    <cellStyle name="强调文字颜色 3" xfId="99" xr:uid="{00000000-0005-0000-0000-000083000000}"/>
    <cellStyle name="强调文字颜色 4" xfId="100" xr:uid="{00000000-0005-0000-0000-000084000000}"/>
    <cellStyle name="强调文字颜色 5" xfId="101" xr:uid="{00000000-0005-0000-0000-000085000000}"/>
    <cellStyle name="强调文字颜色 6" xfId="102" xr:uid="{00000000-0005-0000-0000-000086000000}"/>
    <cellStyle name="链接单元格" xfId="103" xr:uid="{00000000-0005-0000-0000-000091000000}"/>
    <cellStyle name="解释性文本" xfId="204" xr:uid="{1C211A6C-4DC4-4273-ABA4-635617515375}"/>
    <cellStyle name="输入" xfId="205" xr:uid="{CDF73716-8734-4E5A-AECA-D31EDAE089A2}"/>
    <cellStyle name="输入 2" xfId="228" xr:uid="{523F668A-41CF-4D11-98BC-AD48DDDEB7B6}"/>
    <cellStyle name="输出" xfId="206" xr:uid="{BA743C03-CC58-48EC-A7AB-9B2C1B0BD37E}"/>
    <cellStyle name="输出 2" xfId="229" xr:uid="{BB41CA6E-B0D1-473F-8DA4-BB9172FE2A75}"/>
    <cellStyle name="說明文字" xfId="164" builtinId="53" customBuiltin="1"/>
    <cellStyle name="說明文字 2" xfId="207" xr:uid="{85C8B8D7-9A81-4CF7-9123-EC5F04B8BA88}"/>
    <cellStyle name="輔色1" xfId="166" builtinId="29" customBuiltin="1"/>
    <cellStyle name="輔色1 2" xfId="130" xr:uid="{00000000-0005-0000-0000-000087000000}"/>
    <cellStyle name="輔色2" xfId="170" builtinId="33" customBuiltin="1"/>
    <cellStyle name="輔色2 2" xfId="131" xr:uid="{00000000-0005-0000-0000-000088000000}"/>
    <cellStyle name="輔色3" xfId="174" builtinId="37" customBuiltin="1"/>
    <cellStyle name="輔色3 2" xfId="132" xr:uid="{00000000-0005-0000-0000-000089000000}"/>
    <cellStyle name="輔色4" xfId="178" builtinId="41" customBuiltin="1"/>
    <cellStyle name="輔色4 2" xfId="133" xr:uid="{00000000-0005-0000-0000-00008A000000}"/>
    <cellStyle name="輔色5" xfId="182" builtinId="45" customBuiltin="1"/>
    <cellStyle name="輔色5 2" xfId="134" xr:uid="{00000000-0005-0000-0000-00008B000000}"/>
    <cellStyle name="輔色6" xfId="186" builtinId="49" customBuiltin="1"/>
    <cellStyle name="輔色6 2" xfId="135" xr:uid="{00000000-0005-0000-0000-00008C000000}"/>
    <cellStyle name="標準_4.13 J88" xfId="460" xr:uid="{A88B9587-B3B7-48C7-BECF-34A175E4A10D}"/>
    <cellStyle name="標題" xfId="150" builtinId="15" customBuiltin="1"/>
    <cellStyle name="標題 1" xfId="151" builtinId="16" customBuiltin="1"/>
    <cellStyle name="標題 1 2" xfId="209" xr:uid="{234DD8A5-0DBC-45C8-8938-B63CE050D8F5}"/>
    <cellStyle name="標題 2" xfId="152" builtinId="17" customBuiltin="1"/>
    <cellStyle name="標題 2 2" xfId="210" xr:uid="{69391B22-0A3C-449D-B370-3059F2CF39A9}"/>
    <cellStyle name="標題 3" xfId="153" builtinId="18" customBuiltin="1"/>
    <cellStyle name="標題 3 2" xfId="211" xr:uid="{843F8CCB-1E18-4F69-A010-659189121CF1}"/>
    <cellStyle name="標題 4" xfId="154" builtinId="19" customBuiltin="1"/>
    <cellStyle name="標題 4 2" xfId="212" xr:uid="{CB5A6887-D33D-4F5F-8024-C98D15D2D463}"/>
    <cellStyle name="標題 5" xfId="208" xr:uid="{CD2B5273-6920-4938-B5F3-8FE791EA3C6B}"/>
    <cellStyle name="樣式 1" xfId="141" xr:uid="{3F8DCDD1-013B-4C97-AFA1-DF76905CB1C9}"/>
    <cellStyle name="樣式 1 2" xfId="461" xr:uid="{57A3DCB0-201A-4043-8D31-346174326BBC}"/>
    <cellStyle name="艎" xfId="104" xr:uid="{00000000-0005-0000-0000-00008E000000}"/>
    <cellStyle name="艎 2" xfId="105" xr:uid="{00000000-0005-0000-0000-00008F000000}"/>
    <cellStyle name="輸入" xfId="158" builtinId="20" customBuiltin="1"/>
    <cellStyle name="輸入 2" xfId="213" xr:uid="{CA06EC38-8590-4DA9-9A9A-1EB5C9C86976}"/>
    <cellStyle name="輸入 3" xfId="232" xr:uid="{CF8E11E1-8521-42CA-9788-BF53BE6BBA53}"/>
    <cellStyle name="輸出" xfId="159" builtinId="21" customBuiltin="1"/>
    <cellStyle name="輸出 2" xfId="214" xr:uid="{EC07977F-39FC-47FB-A95F-EB6152895E66}"/>
    <cellStyle name="輸出 3" xfId="233" xr:uid="{73EABA27-BC22-4932-8331-9F5CA0EEAB25}"/>
    <cellStyle name="檢查儲存格" xfId="162" builtinId="23" customBuiltin="1"/>
    <cellStyle name="檢查儲存格 2" xfId="215" xr:uid="{32FAE180-C75D-4EBD-ADD4-C99EF70D0AD6}"/>
    <cellStyle name="믅됞 [0.00]_PRODUCT DETAIL Q1" xfId="462" xr:uid="{B4455FCC-8B6D-451B-95D6-1CB34AA0C5A5}"/>
    <cellStyle name="믅됞_PRODUCT DETAIL Q1" xfId="463" xr:uid="{82A9DC56-DD3B-4C2E-89B5-C1A7D0E1CCAA}"/>
    <cellStyle name="백분율_HOBONG" xfId="464" xr:uid="{93670359-5B2E-4441-8AB6-07CBA6F07DB2}"/>
    <cellStyle name="壞" xfId="156" builtinId="27" customBuiltin="1"/>
    <cellStyle name="壞 2" xfId="216" xr:uid="{F2EB0D7D-2A1F-4F46-BBE3-A0DB24CB6506}"/>
    <cellStyle name="뷭?_BOOKSHIP" xfId="465" xr:uid="{E066B4CD-0045-450A-851C-52DCB40232BC}"/>
    <cellStyle name="警告文本" xfId="217" xr:uid="{695682BF-C4A2-429F-A51A-FF3CAA1E2825}"/>
    <cellStyle name="警告文字" xfId="163" builtinId="11" customBuiltin="1"/>
    <cellStyle name="警告文字 2" xfId="218" xr:uid="{A64CB316-7304-44D1-ADC7-4F679CCBB637}"/>
    <cellStyle name="콤마 [0]_  종  합  " xfId="466" xr:uid="{2CD511F5-AAB9-40A4-ADCB-9EBCAED875D1}"/>
    <cellStyle name="콤마_  종  합  " xfId="467" xr:uid="{AF683285-7027-4AEF-B6A7-091CA3EB1F72}"/>
    <cellStyle name="통화 [0]_  종  합  " xfId="468" xr:uid="{6777D1AE-08D9-4C0C-8FD3-7A1BF87EA70F}"/>
    <cellStyle name="통화_  종  합  " xfId="469" xr:uid="{9EEA95FC-4861-467E-A81C-D13E3215A67B}"/>
    <cellStyle name="표준_  종  합  " xfId="470" xr:uid="{E736C1CD-CB96-40A7-934B-96AF61C2D8F4}"/>
  </cellStyles>
  <dxfs count="58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39994506668294322"/>
        </patternFill>
      </fill>
    </dxf>
    <dxf>
      <fill>
        <patternFill>
          <bgColor theme="4" tint="0.79998168889431442"/>
        </patternFill>
      </fill>
    </dxf>
    <dxf>
      <fill>
        <patternFill>
          <bgColor theme="6"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39994506668294322"/>
        </patternFill>
      </fill>
    </dxf>
    <dxf>
      <fill>
        <patternFill>
          <bgColor theme="4" tint="0.79998168889431442"/>
        </patternFill>
      </fill>
    </dxf>
    <dxf>
      <fill>
        <patternFill>
          <bgColor theme="6"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colors>
    <mruColors>
      <color rgb="FF0000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72390</xdr:colOff>
      <xdr:row>0</xdr:row>
      <xdr:rowOff>0</xdr:rowOff>
    </xdr:from>
    <xdr:to>
      <xdr:col>22</xdr:col>
      <xdr:colOff>549471</xdr:colOff>
      <xdr:row>34</xdr:row>
      <xdr:rowOff>56113</xdr:rowOff>
    </xdr:to>
    <xdr:pic>
      <xdr:nvPicPr>
        <xdr:cNvPr id="2" name="圖片 1">
          <a:extLst>
            <a:ext uri="{FF2B5EF4-FFF2-40B4-BE49-F238E27FC236}">
              <a16:creationId xmlns:a16="http://schemas.microsoft.com/office/drawing/2014/main" id="{B6D7B0AB-5359-454E-8D02-F3E3FAD29D70}"/>
            </a:ext>
          </a:extLst>
        </xdr:cNvPr>
        <xdr:cNvPicPr>
          <a:picLocks noChangeAspect="1"/>
        </xdr:cNvPicPr>
      </xdr:nvPicPr>
      <xdr:blipFill>
        <a:blip xmlns:r="http://schemas.openxmlformats.org/officeDocument/2006/relationships" r:embed="rId1"/>
        <a:stretch>
          <a:fillRect/>
        </a:stretch>
      </xdr:blipFill>
      <xdr:spPr>
        <a:xfrm>
          <a:off x="12600940" y="0"/>
          <a:ext cx="5963481" cy="6317213"/>
        </a:xfrm>
        <a:prstGeom prst="rect">
          <a:avLst/>
        </a:prstGeom>
      </xdr:spPr>
    </xdr:pic>
    <xdr:clientData/>
  </xdr:twoCellAnchor>
  <xdr:twoCellAnchor editAs="oneCell">
    <xdr:from>
      <xdr:col>6</xdr:col>
      <xdr:colOff>87630</xdr:colOff>
      <xdr:row>0</xdr:row>
      <xdr:rowOff>17720</xdr:rowOff>
    </xdr:from>
    <xdr:to>
      <xdr:col>12</xdr:col>
      <xdr:colOff>588645</xdr:colOff>
      <xdr:row>6</xdr:row>
      <xdr:rowOff>25201</xdr:rowOff>
    </xdr:to>
    <xdr:pic>
      <xdr:nvPicPr>
        <xdr:cNvPr id="3" name="圖片 2">
          <a:extLst>
            <a:ext uri="{FF2B5EF4-FFF2-40B4-BE49-F238E27FC236}">
              <a16:creationId xmlns:a16="http://schemas.microsoft.com/office/drawing/2014/main" id="{211E9F3F-F1D4-464F-ACD0-7FEF4AA2C0C7}"/>
            </a:ext>
          </a:extLst>
        </xdr:cNvPr>
        <xdr:cNvPicPr>
          <a:picLocks noChangeAspect="1"/>
        </xdr:cNvPicPr>
      </xdr:nvPicPr>
      <xdr:blipFill>
        <a:blip xmlns:r="http://schemas.openxmlformats.org/officeDocument/2006/relationships" r:embed="rId2"/>
        <a:stretch>
          <a:fillRect/>
        </a:stretch>
      </xdr:blipFill>
      <xdr:spPr>
        <a:xfrm>
          <a:off x="8348980" y="17720"/>
          <a:ext cx="4158615" cy="1112381"/>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cesbgpdm.efoxconn.com/Windchill/ap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zoomScale="115" zoomScaleNormal="115" workbookViewId="0">
      <pane ySplit="2" topLeftCell="A12" activePane="bottomLeft" state="frozen"/>
      <selection activeCell="C17" sqref="C17"/>
      <selection pane="bottomLeft" activeCell="C21" sqref="C21"/>
    </sheetView>
  </sheetViews>
  <sheetFormatPr defaultColWidth="8.875" defaultRowHeight="15.75"/>
  <cols>
    <col min="1" max="1" width="4.875" style="9" bestFit="1" customWidth="1"/>
    <col min="2" max="2" width="10.125" style="9" bestFit="1" customWidth="1"/>
    <col min="3" max="3" width="70.375" style="9" customWidth="1"/>
    <col min="4" max="4" width="7.75" style="9" bestFit="1" customWidth="1"/>
    <col min="5" max="5" width="10.875" style="9" bestFit="1" customWidth="1"/>
    <col min="6" max="6" width="4.75" style="9" bestFit="1" customWidth="1"/>
    <col min="7" max="7" width="27.75" style="9" bestFit="1" customWidth="1"/>
    <col min="8" max="8" width="5.25" style="9" hidden="1" customWidth="1"/>
    <col min="9" max="9" width="27.375" style="9" bestFit="1" customWidth="1"/>
    <col min="10" max="10" width="14.875" style="116" bestFit="1" customWidth="1"/>
    <col min="11" max="11" width="11.75" style="9" customWidth="1"/>
    <col min="12" max="12" width="4.875" style="9" bestFit="1" customWidth="1"/>
    <col min="13" max="16384" width="8.875" style="9"/>
  </cols>
  <sheetData>
    <row r="1" spans="1:12" ht="19.5" thickBot="1">
      <c r="A1" s="147" t="s">
        <v>28</v>
      </c>
      <c r="B1" s="148"/>
      <c r="C1" s="148"/>
      <c r="D1" s="148"/>
      <c r="E1" s="148"/>
      <c r="F1" s="148"/>
      <c r="G1" s="148"/>
      <c r="H1" s="149"/>
    </row>
    <row r="2" spans="1:12" s="23" customFormat="1" ht="15">
      <c r="A2" s="46" t="s">
        <v>23</v>
      </c>
      <c r="B2" s="46" t="s">
        <v>24</v>
      </c>
      <c r="C2" s="46" t="s">
        <v>25</v>
      </c>
      <c r="D2" s="46" t="s">
        <v>26</v>
      </c>
      <c r="E2" s="46" t="s">
        <v>27</v>
      </c>
      <c r="F2" s="46" t="s">
        <v>33</v>
      </c>
      <c r="G2" s="47" t="s">
        <v>319</v>
      </c>
      <c r="H2" s="52" t="s">
        <v>183</v>
      </c>
      <c r="I2" s="47" t="s">
        <v>319</v>
      </c>
      <c r="J2" s="123" t="s">
        <v>496</v>
      </c>
      <c r="K2" s="92" t="s">
        <v>367</v>
      </c>
      <c r="L2" s="89" t="s">
        <v>365</v>
      </c>
    </row>
    <row r="3" spans="1:12" s="23" customFormat="1" ht="15">
      <c r="A3" s="11" t="s">
        <v>126</v>
      </c>
      <c r="B3" s="12">
        <v>45645</v>
      </c>
      <c r="C3" s="13" t="s">
        <v>162</v>
      </c>
      <c r="D3" s="11" t="s">
        <v>32</v>
      </c>
      <c r="E3" s="11" t="s">
        <v>130</v>
      </c>
      <c r="F3" s="14"/>
      <c r="G3" s="24"/>
      <c r="H3" s="24"/>
      <c r="I3" s="24"/>
      <c r="J3" s="119"/>
      <c r="K3" s="24"/>
      <c r="L3" s="24"/>
    </row>
    <row r="4" spans="1:12" s="23" customFormat="1" ht="120">
      <c r="A4" s="11" t="s">
        <v>180</v>
      </c>
      <c r="B4" s="12">
        <v>45651</v>
      </c>
      <c r="C4" s="13" t="s">
        <v>185</v>
      </c>
      <c r="D4" s="11" t="s">
        <v>32</v>
      </c>
      <c r="E4" s="11" t="s">
        <v>181</v>
      </c>
      <c r="F4" s="14"/>
      <c r="G4" s="24" t="s">
        <v>184</v>
      </c>
      <c r="H4" s="24" t="s">
        <v>184</v>
      </c>
      <c r="I4" s="24"/>
      <c r="J4" s="119"/>
      <c r="K4" s="24"/>
      <c r="L4" s="24"/>
    </row>
    <row r="5" spans="1:12" s="23" customFormat="1" ht="150">
      <c r="A5" s="11" t="s">
        <v>232</v>
      </c>
      <c r="B5" s="12">
        <v>45653</v>
      </c>
      <c r="C5" s="13" t="s">
        <v>231</v>
      </c>
      <c r="D5" s="11" t="s">
        <v>32</v>
      </c>
      <c r="E5" s="11" t="s">
        <v>181</v>
      </c>
      <c r="F5" s="14"/>
      <c r="G5" s="24" t="s">
        <v>184</v>
      </c>
      <c r="H5" s="24" t="s">
        <v>184</v>
      </c>
      <c r="I5" s="24"/>
      <c r="J5" s="119"/>
      <c r="K5" s="24"/>
      <c r="L5" s="24"/>
    </row>
    <row r="6" spans="1:12" s="23" customFormat="1" ht="45">
      <c r="A6" s="11" t="s">
        <v>233</v>
      </c>
      <c r="B6" s="12">
        <v>45659</v>
      </c>
      <c r="C6" s="13" t="s">
        <v>271</v>
      </c>
      <c r="D6" s="11" t="s">
        <v>32</v>
      </c>
      <c r="E6" s="11" t="s">
        <v>181</v>
      </c>
      <c r="F6" s="14"/>
      <c r="G6" s="24" t="s">
        <v>184</v>
      </c>
      <c r="H6" s="24"/>
      <c r="I6" s="24"/>
      <c r="J6" s="119"/>
      <c r="K6" s="24"/>
      <c r="L6" s="24"/>
    </row>
    <row r="7" spans="1:12" s="23" customFormat="1" ht="30">
      <c r="A7" s="11" t="s">
        <v>276</v>
      </c>
      <c r="B7" s="12">
        <v>45660</v>
      </c>
      <c r="C7" s="13" t="s">
        <v>292</v>
      </c>
      <c r="D7" s="11" t="s">
        <v>32</v>
      </c>
      <c r="E7" s="11" t="s">
        <v>181</v>
      </c>
      <c r="F7" s="14"/>
      <c r="G7" s="24" t="s">
        <v>184</v>
      </c>
      <c r="H7" s="24"/>
      <c r="I7" s="24"/>
      <c r="J7" s="119"/>
      <c r="K7" s="24"/>
      <c r="L7" s="24"/>
    </row>
    <row r="8" spans="1:12" s="23" customFormat="1" ht="135">
      <c r="A8" s="11" t="s">
        <v>293</v>
      </c>
      <c r="B8" s="12">
        <v>45664</v>
      </c>
      <c r="C8" s="13" t="s">
        <v>332</v>
      </c>
      <c r="D8" s="11" t="s">
        <v>32</v>
      </c>
      <c r="E8" s="11" t="s">
        <v>181</v>
      </c>
      <c r="F8" s="14"/>
      <c r="G8" s="24" t="s">
        <v>184</v>
      </c>
      <c r="H8" s="24"/>
      <c r="I8" s="24" t="s">
        <v>184</v>
      </c>
      <c r="J8" s="119"/>
      <c r="K8" s="24"/>
      <c r="L8" s="24"/>
    </row>
    <row r="9" spans="1:12" s="23" customFormat="1" ht="60">
      <c r="A9" s="11" t="s">
        <v>333</v>
      </c>
      <c r="B9" s="12">
        <v>45666</v>
      </c>
      <c r="C9" s="13" t="s">
        <v>339</v>
      </c>
      <c r="D9" s="11" t="s">
        <v>32</v>
      </c>
      <c r="E9" s="11" t="s">
        <v>181</v>
      </c>
      <c r="F9" s="14"/>
      <c r="G9" s="24" t="s">
        <v>184</v>
      </c>
      <c r="H9" s="24"/>
      <c r="I9" s="24" t="s">
        <v>184</v>
      </c>
      <c r="J9" s="119"/>
      <c r="K9" s="24"/>
      <c r="L9" s="24"/>
    </row>
    <row r="10" spans="1:12" s="23" customFormat="1" ht="90">
      <c r="A10" s="11" t="s">
        <v>340</v>
      </c>
      <c r="B10" s="12">
        <v>45672</v>
      </c>
      <c r="C10" s="13" t="s">
        <v>355</v>
      </c>
      <c r="D10" s="11" t="s">
        <v>32</v>
      </c>
      <c r="E10" s="11" t="s">
        <v>181</v>
      </c>
      <c r="F10" s="14"/>
      <c r="G10" s="24" t="s">
        <v>184</v>
      </c>
      <c r="H10" s="24"/>
      <c r="I10" s="24" t="s">
        <v>184</v>
      </c>
      <c r="J10" s="119"/>
      <c r="K10" s="24"/>
      <c r="L10" s="24"/>
    </row>
    <row r="11" spans="1:12" s="23" customFormat="1" ht="15">
      <c r="A11" s="11" t="s">
        <v>357</v>
      </c>
      <c r="B11" s="12">
        <v>45673</v>
      </c>
      <c r="C11" s="13" t="s">
        <v>364</v>
      </c>
      <c r="D11" s="11" t="s">
        <v>32</v>
      </c>
      <c r="E11" s="11" t="s">
        <v>181</v>
      </c>
      <c r="F11" s="14"/>
      <c r="G11" s="24" t="s">
        <v>184</v>
      </c>
      <c r="H11" s="24"/>
      <c r="I11" s="24" t="s">
        <v>184</v>
      </c>
      <c r="J11" s="119"/>
      <c r="K11" s="24"/>
      <c r="L11" s="24" t="s">
        <v>184</v>
      </c>
    </row>
    <row r="12" spans="1:12" s="23" customFormat="1" ht="75">
      <c r="A12" s="11" t="s">
        <v>366</v>
      </c>
      <c r="B12" s="12">
        <v>45674</v>
      </c>
      <c r="C12" s="13" t="s">
        <v>433</v>
      </c>
      <c r="D12" s="11" t="s">
        <v>32</v>
      </c>
      <c r="E12" s="11" t="s">
        <v>181</v>
      </c>
      <c r="F12" s="14"/>
      <c r="G12" s="24" t="s">
        <v>184</v>
      </c>
      <c r="H12" s="24"/>
      <c r="I12" s="24" t="s">
        <v>184</v>
      </c>
      <c r="J12" s="119"/>
      <c r="K12" s="24" t="s">
        <v>184</v>
      </c>
      <c r="L12" s="24"/>
    </row>
    <row r="13" spans="1:12" s="23" customFormat="1" ht="60">
      <c r="A13" s="11" t="s">
        <v>435</v>
      </c>
      <c r="B13" s="12">
        <v>45680</v>
      </c>
      <c r="C13" s="13" t="s">
        <v>652</v>
      </c>
      <c r="D13" s="11" t="s">
        <v>32</v>
      </c>
      <c r="E13" s="11" t="s">
        <v>181</v>
      </c>
      <c r="F13" s="14"/>
      <c r="G13" s="24" t="s">
        <v>184</v>
      </c>
      <c r="H13" s="24"/>
      <c r="I13" s="24" t="s">
        <v>184</v>
      </c>
      <c r="J13" s="119" t="s">
        <v>184</v>
      </c>
      <c r="K13" s="24" t="s">
        <v>184</v>
      </c>
      <c r="L13" s="24"/>
    </row>
    <row r="14" spans="1:12" s="23" customFormat="1" ht="165">
      <c r="A14" s="117" t="s">
        <v>523</v>
      </c>
      <c r="B14" s="12">
        <v>45694</v>
      </c>
      <c r="C14" s="118" t="s">
        <v>651</v>
      </c>
      <c r="D14" s="117" t="s">
        <v>32</v>
      </c>
      <c r="E14" s="117" t="s">
        <v>181</v>
      </c>
      <c r="F14" s="14"/>
      <c r="G14" s="119" t="s">
        <v>184</v>
      </c>
      <c r="H14" s="119"/>
      <c r="I14" s="119" t="s">
        <v>184</v>
      </c>
      <c r="J14" s="119" t="s">
        <v>184</v>
      </c>
      <c r="K14" s="119"/>
      <c r="L14" s="119"/>
    </row>
    <row r="15" spans="1:12" s="23" customFormat="1" ht="105">
      <c r="A15" s="117" t="s">
        <v>565</v>
      </c>
      <c r="B15" s="12">
        <v>45695</v>
      </c>
      <c r="C15" s="118" t="s">
        <v>614</v>
      </c>
      <c r="D15" s="117" t="s">
        <v>32</v>
      </c>
      <c r="E15" s="117" t="s">
        <v>181</v>
      </c>
      <c r="F15" s="14"/>
      <c r="G15" s="119" t="s">
        <v>184</v>
      </c>
      <c r="H15" s="119"/>
      <c r="I15" s="119" t="s">
        <v>184</v>
      </c>
      <c r="J15" s="119" t="s">
        <v>184</v>
      </c>
      <c r="K15" s="119"/>
      <c r="L15" s="119"/>
    </row>
    <row r="16" spans="1:12" s="23" customFormat="1" ht="120">
      <c r="A16" s="143" t="s">
        <v>641</v>
      </c>
      <c r="B16" s="12">
        <v>45696</v>
      </c>
      <c r="C16" s="118" t="s">
        <v>692</v>
      </c>
      <c r="D16" s="143" t="s">
        <v>32</v>
      </c>
      <c r="E16" s="143" t="s">
        <v>181</v>
      </c>
      <c r="F16" s="14"/>
      <c r="G16" s="119" t="s">
        <v>184</v>
      </c>
      <c r="H16" s="119"/>
      <c r="I16" s="119" t="s">
        <v>184</v>
      </c>
      <c r="J16" s="119" t="s">
        <v>184</v>
      </c>
      <c r="K16" s="119"/>
      <c r="L16" s="119" t="s">
        <v>184</v>
      </c>
    </row>
  </sheetData>
  <mergeCells count="1">
    <mergeCell ref="A1:H1"/>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P89"/>
  <sheetViews>
    <sheetView zoomScale="115" zoomScaleNormal="115" workbookViewId="0">
      <pane ySplit="5" topLeftCell="A6" activePane="bottomLeft" state="frozen"/>
      <selection activeCell="A49" sqref="A49:XFD49"/>
      <selection pane="bottomLeft" activeCell="F7" sqref="F7"/>
    </sheetView>
  </sheetViews>
  <sheetFormatPr defaultColWidth="9" defaultRowHeight="15.75"/>
  <cols>
    <col min="1" max="1" width="9.125" style="6" bestFit="1" customWidth="1"/>
    <col min="2" max="2" width="8.125" style="6" bestFit="1" customWidth="1"/>
    <col min="3" max="3" width="23.125" style="6" bestFit="1" customWidth="1"/>
    <col min="4" max="4" width="20.375" style="6" bestFit="1" customWidth="1"/>
    <col min="5" max="5" width="17.25" style="6" customWidth="1"/>
    <col min="6" max="6" width="15.75" style="6" bestFit="1" customWidth="1"/>
    <col min="7" max="7" width="76.5" style="6" bestFit="1" customWidth="1"/>
    <col min="8" max="8" width="15.625" style="6" bestFit="1" customWidth="1"/>
    <col min="9" max="9" width="25.5" style="6" bestFit="1" customWidth="1"/>
    <col min="10" max="10" width="15.625" style="6" bestFit="1" customWidth="1"/>
    <col min="11" max="11" width="12.25" style="6" bestFit="1" customWidth="1"/>
    <col min="12" max="12" width="18.75" style="6" customWidth="1"/>
    <col min="13" max="13" width="36.875" style="6" customWidth="1"/>
    <col min="14" max="16384" width="9" style="6"/>
  </cols>
  <sheetData>
    <row r="1" spans="1:13">
      <c r="A1" s="151" t="s">
        <v>21</v>
      </c>
      <c r="B1" s="151"/>
      <c r="C1" s="151"/>
      <c r="D1" s="151"/>
      <c r="E1" s="151"/>
      <c r="F1" s="151"/>
      <c r="G1" s="151"/>
      <c r="H1" s="151"/>
      <c r="I1" s="151"/>
      <c r="J1" s="151"/>
      <c r="K1" s="151"/>
      <c r="L1" s="151"/>
      <c r="M1" s="151"/>
    </row>
    <row r="2" spans="1:13">
      <c r="A2" s="151" t="s">
        <v>0</v>
      </c>
      <c r="B2" s="151"/>
      <c r="C2" s="151"/>
      <c r="D2" s="151"/>
      <c r="E2" s="151"/>
      <c r="F2" s="151"/>
      <c r="G2" s="151"/>
      <c r="H2" s="151"/>
      <c r="I2" s="151"/>
      <c r="J2" s="151"/>
      <c r="K2" s="151"/>
      <c r="L2" s="151"/>
      <c r="M2" s="151"/>
    </row>
    <row r="3" spans="1:13" s="8" customFormat="1">
      <c r="A3" s="150" t="s">
        <v>7</v>
      </c>
      <c r="B3" s="150"/>
      <c r="C3" s="30" t="str">
        <f>C6</f>
        <v>1A72BSJ00-600-G</v>
      </c>
      <c r="D3" s="112" t="s">
        <v>1</v>
      </c>
      <c r="E3" s="27" t="s">
        <v>14</v>
      </c>
      <c r="F3" s="112"/>
      <c r="G3" s="112"/>
      <c r="H3" s="112"/>
      <c r="I3" s="112"/>
      <c r="J3" s="112"/>
      <c r="K3" s="112"/>
      <c r="L3" s="112"/>
      <c r="M3" s="120"/>
    </row>
    <row r="4" spans="1:13" s="8" customFormat="1">
      <c r="A4" s="150" t="s">
        <v>8</v>
      </c>
      <c r="B4" s="150"/>
      <c r="C4" s="124" t="str">
        <f>E6</f>
        <v>01-101139(Samsung)
01-101140 (Micron)
01-101141 (WD)</v>
      </c>
      <c r="D4" s="112" t="s">
        <v>9</v>
      </c>
      <c r="E4" s="27" t="s">
        <v>14</v>
      </c>
      <c r="F4" s="112" t="s">
        <v>10</v>
      </c>
      <c r="G4" s="118" t="str">
        <f>G6</f>
        <v>Maxwell Mercury_L10 Compute Tray Assy_MGX-OCP</v>
      </c>
      <c r="H4" s="112"/>
      <c r="I4" s="112"/>
      <c r="J4" s="112"/>
      <c r="K4" s="112"/>
      <c r="L4" s="112"/>
      <c r="M4" s="120"/>
    </row>
    <row r="5" spans="1:13" s="21" customFormat="1" ht="30">
      <c r="A5" s="28" t="s">
        <v>2</v>
      </c>
      <c r="B5" s="28" t="s">
        <v>3</v>
      </c>
      <c r="C5" s="28" t="s">
        <v>11</v>
      </c>
      <c r="D5" s="28" t="s">
        <v>12</v>
      </c>
      <c r="E5" s="28" t="s">
        <v>35</v>
      </c>
      <c r="F5" s="28" t="s">
        <v>13</v>
      </c>
      <c r="G5" s="28" t="s">
        <v>18</v>
      </c>
      <c r="H5" s="28" t="s">
        <v>31</v>
      </c>
      <c r="I5" s="28" t="s">
        <v>19</v>
      </c>
      <c r="J5" s="28" t="s">
        <v>4</v>
      </c>
      <c r="K5" s="28" t="s">
        <v>22</v>
      </c>
      <c r="L5" s="28" t="s">
        <v>49</v>
      </c>
      <c r="M5" s="28" t="s">
        <v>15</v>
      </c>
    </row>
    <row r="6" spans="1:13" ht="45">
      <c r="A6" s="117">
        <f t="shared" ref="A6:A36" si="0">ROW(A6)-5</f>
        <v>1</v>
      </c>
      <c r="B6" s="50" t="s">
        <v>36</v>
      </c>
      <c r="C6" s="53" t="s">
        <v>132</v>
      </c>
      <c r="D6" s="117" t="s">
        <v>17</v>
      </c>
      <c r="E6" s="125" t="s">
        <v>649</v>
      </c>
      <c r="F6" s="117" t="s">
        <v>14</v>
      </c>
      <c r="G6" s="118" t="s">
        <v>334</v>
      </c>
      <c r="H6" s="117" t="s">
        <v>20</v>
      </c>
      <c r="I6" s="53" t="str">
        <f>C6</f>
        <v>1A72BSJ00-600-G</v>
      </c>
      <c r="J6" s="117" t="s">
        <v>14</v>
      </c>
      <c r="K6" s="117">
        <v>1</v>
      </c>
      <c r="L6" s="117" t="s">
        <v>14</v>
      </c>
      <c r="M6" s="144" t="s">
        <v>650</v>
      </c>
    </row>
    <row r="7" spans="1:13" ht="63">
      <c r="A7" s="59">
        <f t="shared" si="0"/>
        <v>2</v>
      </c>
      <c r="B7" s="60" t="s">
        <v>29</v>
      </c>
      <c r="C7" s="61" t="s">
        <v>222</v>
      </c>
      <c r="D7" s="59" t="s">
        <v>17</v>
      </c>
      <c r="E7" s="127" t="s">
        <v>34</v>
      </c>
      <c r="F7" s="59" t="s">
        <v>14</v>
      </c>
      <c r="G7" s="62" t="s">
        <v>193</v>
      </c>
      <c r="H7" s="59" t="s">
        <v>40</v>
      </c>
      <c r="I7" s="63" t="s">
        <v>220</v>
      </c>
      <c r="J7" s="59" t="s">
        <v>14</v>
      </c>
      <c r="K7" s="59">
        <v>1</v>
      </c>
      <c r="L7" s="59" t="s">
        <v>42</v>
      </c>
      <c r="M7" s="121" t="s">
        <v>484</v>
      </c>
    </row>
    <row r="8" spans="1:13" ht="63">
      <c r="A8" s="59">
        <f t="shared" si="0"/>
        <v>3</v>
      </c>
      <c r="B8" s="60" t="s">
        <v>37</v>
      </c>
      <c r="C8" s="61" t="s">
        <v>358</v>
      </c>
      <c r="D8" s="59" t="s">
        <v>17</v>
      </c>
      <c r="E8" s="127" t="s">
        <v>34</v>
      </c>
      <c r="F8" s="59" t="s">
        <v>14</v>
      </c>
      <c r="G8" s="62" t="s">
        <v>239</v>
      </c>
      <c r="H8" s="59" t="s">
        <v>40</v>
      </c>
      <c r="I8" s="61" t="s">
        <v>359</v>
      </c>
      <c r="J8" s="59" t="s">
        <v>14</v>
      </c>
      <c r="K8" s="59">
        <v>2</v>
      </c>
      <c r="L8" s="59" t="s">
        <v>42</v>
      </c>
      <c r="M8" s="121" t="s">
        <v>566</v>
      </c>
    </row>
    <row r="9" spans="1:13" ht="31.5">
      <c r="A9" s="59">
        <f t="shared" si="0"/>
        <v>4</v>
      </c>
      <c r="B9" s="60" t="s">
        <v>117</v>
      </c>
      <c r="C9" s="59" t="s">
        <v>325</v>
      </c>
      <c r="D9" s="64" t="s">
        <v>30</v>
      </c>
      <c r="E9" s="125" t="s">
        <v>646</v>
      </c>
      <c r="F9" s="59" t="s">
        <v>14</v>
      </c>
      <c r="G9" s="62" t="s">
        <v>58</v>
      </c>
      <c r="H9" s="59" t="s">
        <v>40</v>
      </c>
      <c r="I9" s="63" t="s">
        <v>321</v>
      </c>
      <c r="J9" s="64" t="s">
        <v>30</v>
      </c>
      <c r="K9" s="59">
        <v>2</v>
      </c>
      <c r="L9" s="59" t="s">
        <v>41</v>
      </c>
      <c r="M9" s="121" t="s">
        <v>531</v>
      </c>
    </row>
    <row r="10" spans="1:13" ht="47.25">
      <c r="A10" s="59">
        <f t="shared" si="0"/>
        <v>5</v>
      </c>
      <c r="B10" s="60" t="s">
        <v>118</v>
      </c>
      <c r="C10" s="63" t="s">
        <v>223</v>
      </c>
      <c r="D10" s="64" t="s">
        <v>30</v>
      </c>
      <c r="E10" s="125" t="s">
        <v>647</v>
      </c>
      <c r="F10" s="59" t="s">
        <v>14</v>
      </c>
      <c r="G10" s="62" t="s">
        <v>59</v>
      </c>
      <c r="H10" s="59" t="s">
        <v>40</v>
      </c>
      <c r="I10" s="63" t="s">
        <v>221</v>
      </c>
      <c r="J10" s="64" t="s">
        <v>30</v>
      </c>
      <c r="K10" s="59">
        <v>1</v>
      </c>
      <c r="L10" s="59" t="s">
        <v>41</v>
      </c>
      <c r="M10" s="121" t="s">
        <v>344</v>
      </c>
    </row>
    <row r="11" spans="1:13">
      <c r="A11" s="59">
        <f t="shared" si="0"/>
        <v>6</v>
      </c>
      <c r="B11" s="60" t="s">
        <v>119</v>
      </c>
      <c r="C11" s="63" t="s">
        <v>224</v>
      </c>
      <c r="D11" s="64" t="s">
        <v>30</v>
      </c>
      <c r="E11" s="127" t="s">
        <v>493</v>
      </c>
      <c r="F11" s="59" t="s">
        <v>14</v>
      </c>
      <c r="G11" s="66" t="s">
        <v>133</v>
      </c>
      <c r="H11" s="59" t="s">
        <v>138</v>
      </c>
      <c r="I11" s="59" t="s">
        <v>136</v>
      </c>
      <c r="J11" s="64" t="s">
        <v>30</v>
      </c>
      <c r="K11" s="59">
        <v>1</v>
      </c>
      <c r="L11" s="59" t="s">
        <v>43</v>
      </c>
      <c r="M11" s="65"/>
    </row>
    <row r="12" spans="1:13">
      <c r="A12" s="59">
        <f t="shared" si="0"/>
        <v>7</v>
      </c>
      <c r="B12" s="60"/>
      <c r="C12" s="63" t="s">
        <v>225</v>
      </c>
      <c r="D12" s="64" t="s">
        <v>30</v>
      </c>
      <c r="E12" s="127" t="s">
        <v>493</v>
      </c>
      <c r="F12" s="59" t="s">
        <v>14</v>
      </c>
      <c r="G12" s="66" t="s">
        <v>134</v>
      </c>
      <c r="H12" s="59" t="s">
        <v>139</v>
      </c>
      <c r="I12" s="59" t="s">
        <v>141</v>
      </c>
      <c r="J12" s="64" t="s">
        <v>30</v>
      </c>
      <c r="K12" s="59"/>
      <c r="L12" s="59" t="s">
        <v>43</v>
      </c>
      <c r="M12" s="65"/>
    </row>
    <row r="13" spans="1:13">
      <c r="A13" s="59">
        <f t="shared" si="0"/>
        <v>8</v>
      </c>
      <c r="B13" s="60"/>
      <c r="C13" s="63" t="s">
        <v>226</v>
      </c>
      <c r="D13" s="64" t="s">
        <v>30</v>
      </c>
      <c r="E13" s="127" t="s">
        <v>493</v>
      </c>
      <c r="F13" s="59" t="s">
        <v>14</v>
      </c>
      <c r="G13" s="66" t="s">
        <v>135</v>
      </c>
      <c r="H13" s="59" t="s">
        <v>140</v>
      </c>
      <c r="I13" s="59" t="s">
        <v>142</v>
      </c>
      <c r="J13" s="64" t="s">
        <v>30</v>
      </c>
      <c r="K13" s="59"/>
      <c r="L13" s="59" t="s">
        <v>43</v>
      </c>
      <c r="M13" s="65"/>
    </row>
    <row r="14" spans="1:13">
      <c r="A14" s="59">
        <f t="shared" si="0"/>
        <v>9</v>
      </c>
      <c r="B14" s="60" t="s">
        <v>120</v>
      </c>
      <c r="C14" s="63" t="s">
        <v>227</v>
      </c>
      <c r="D14" s="64" t="s">
        <v>30</v>
      </c>
      <c r="E14" s="127" t="s">
        <v>494</v>
      </c>
      <c r="F14" s="59" t="s">
        <v>14</v>
      </c>
      <c r="G14" s="62" t="s">
        <v>192</v>
      </c>
      <c r="H14" s="59" t="s">
        <v>137</v>
      </c>
      <c r="I14" s="59" t="s">
        <v>144</v>
      </c>
      <c r="J14" s="64" t="s">
        <v>30</v>
      </c>
      <c r="K14" s="67">
        <v>4</v>
      </c>
      <c r="L14" s="59" t="s">
        <v>43</v>
      </c>
      <c r="M14" s="185" t="s">
        <v>653</v>
      </c>
    </row>
    <row r="15" spans="1:13">
      <c r="A15" s="59">
        <f t="shared" si="0"/>
        <v>10</v>
      </c>
      <c r="B15" s="60"/>
      <c r="C15" s="63" t="s">
        <v>228</v>
      </c>
      <c r="D15" s="64" t="s">
        <v>30</v>
      </c>
      <c r="E15" s="127" t="s">
        <v>495</v>
      </c>
      <c r="F15" s="59" t="s">
        <v>14</v>
      </c>
      <c r="G15" s="62" t="s">
        <v>192</v>
      </c>
      <c r="H15" s="59" t="s">
        <v>143</v>
      </c>
      <c r="I15" s="59" t="s">
        <v>145</v>
      </c>
      <c r="J15" s="64" t="s">
        <v>30</v>
      </c>
      <c r="K15" s="67"/>
      <c r="L15" s="59" t="s">
        <v>43</v>
      </c>
      <c r="M15" s="185" t="s">
        <v>654</v>
      </c>
    </row>
    <row r="16" spans="1:13">
      <c r="A16" s="59">
        <f t="shared" si="0"/>
        <v>11</v>
      </c>
      <c r="B16" s="60"/>
      <c r="C16" s="63" t="s">
        <v>229</v>
      </c>
      <c r="D16" s="64" t="s">
        <v>30</v>
      </c>
      <c r="E16" s="127" t="s">
        <v>492</v>
      </c>
      <c r="F16" s="59" t="s">
        <v>14</v>
      </c>
      <c r="G16" s="62" t="s">
        <v>192</v>
      </c>
      <c r="H16" s="59" t="s">
        <v>139</v>
      </c>
      <c r="I16" s="59" t="s">
        <v>146</v>
      </c>
      <c r="J16" s="64" t="s">
        <v>30</v>
      </c>
      <c r="K16" s="67"/>
      <c r="L16" s="59" t="s">
        <v>43</v>
      </c>
      <c r="M16" s="185" t="s">
        <v>655</v>
      </c>
    </row>
    <row r="17" spans="1:14" s="17" customFormat="1">
      <c r="A17" s="59">
        <f t="shared" si="0"/>
        <v>12</v>
      </c>
      <c r="B17" s="70" t="s">
        <v>38</v>
      </c>
      <c r="C17" s="59" t="s">
        <v>148</v>
      </c>
      <c r="D17" s="59" t="s">
        <v>30</v>
      </c>
      <c r="E17" s="127" t="s">
        <v>499</v>
      </c>
      <c r="F17" s="59" t="s">
        <v>14</v>
      </c>
      <c r="G17" s="62" t="s">
        <v>190</v>
      </c>
      <c r="H17" s="59" t="s">
        <v>20</v>
      </c>
      <c r="I17" s="59" t="s">
        <v>148</v>
      </c>
      <c r="J17" s="59" t="s">
        <v>30</v>
      </c>
      <c r="K17" s="59">
        <v>1</v>
      </c>
      <c r="L17" s="59" t="s">
        <v>41</v>
      </c>
      <c r="M17" s="69"/>
    </row>
    <row r="18" spans="1:14" s="17" customFormat="1">
      <c r="A18" s="59">
        <f t="shared" si="0"/>
        <v>13</v>
      </c>
      <c r="B18" s="70" t="s">
        <v>147</v>
      </c>
      <c r="C18" s="59" t="s">
        <v>150</v>
      </c>
      <c r="D18" s="59" t="s">
        <v>30</v>
      </c>
      <c r="E18" s="127" t="s">
        <v>559</v>
      </c>
      <c r="F18" s="59" t="s">
        <v>14</v>
      </c>
      <c r="G18" s="62" t="s">
        <v>189</v>
      </c>
      <c r="H18" s="59" t="s">
        <v>20</v>
      </c>
      <c r="I18" s="59" t="s">
        <v>150</v>
      </c>
      <c r="J18" s="59" t="s">
        <v>30</v>
      </c>
      <c r="K18" s="59">
        <v>1</v>
      </c>
      <c r="L18" s="59" t="s">
        <v>41</v>
      </c>
      <c r="M18" s="69"/>
    </row>
    <row r="19" spans="1:14" s="17" customFormat="1">
      <c r="A19" s="59">
        <f t="shared" si="0"/>
        <v>14</v>
      </c>
      <c r="B19" s="70" t="s">
        <v>125</v>
      </c>
      <c r="C19" s="59" t="s">
        <v>151</v>
      </c>
      <c r="D19" s="59" t="s">
        <v>30</v>
      </c>
      <c r="E19" s="127" t="s">
        <v>563</v>
      </c>
      <c r="F19" s="59" t="s">
        <v>14</v>
      </c>
      <c r="G19" s="62" t="s">
        <v>188</v>
      </c>
      <c r="H19" s="59" t="s">
        <v>20</v>
      </c>
      <c r="I19" s="59" t="s">
        <v>151</v>
      </c>
      <c r="J19" s="59" t="s">
        <v>30</v>
      </c>
      <c r="K19" s="59">
        <v>1</v>
      </c>
      <c r="L19" s="59" t="s">
        <v>41</v>
      </c>
      <c r="M19" s="69"/>
    </row>
    <row r="20" spans="1:14" s="17" customFormat="1">
      <c r="A20" s="59">
        <f t="shared" si="0"/>
        <v>15</v>
      </c>
      <c r="B20" s="70" t="s">
        <v>176</v>
      </c>
      <c r="C20" s="59" t="s">
        <v>152</v>
      </c>
      <c r="D20" s="71" t="s">
        <v>30</v>
      </c>
      <c r="E20" s="127" t="s">
        <v>500</v>
      </c>
      <c r="F20" s="59" t="s">
        <v>14</v>
      </c>
      <c r="G20" s="62" t="s">
        <v>187</v>
      </c>
      <c r="H20" s="59" t="s">
        <v>51</v>
      </c>
      <c r="I20" s="59" t="str">
        <f>C20</f>
        <v>1A72BTH00-600-G</v>
      </c>
      <c r="J20" s="59" t="s">
        <v>30</v>
      </c>
      <c r="K20" s="59">
        <v>1</v>
      </c>
      <c r="L20" s="59" t="s">
        <v>41</v>
      </c>
      <c r="M20" s="69"/>
    </row>
    <row r="21" spans="1:14" s="25" customFormat="1" ht="15">
      <c r="A21" s="59">
        <f t="shared" si="0"/>
        <v>16</v>
      </c>
      <c r="B21" s="70" t="s">
        <v>177</v>
      </c>
      <c r="C21" s="82" t="s">
        <v>153</v>
      </c>
      <c r="D21" s="73" t="s">
        <v>14</v>
      </c>
      <c r="E21" s="127" t="s">
        <v>560</v>
      </c>
      <c r="F21" s="59" t="s">
        <v>14</v>
      </c>
      <c r="G21" s="62" t="s">
        <v>567</v>
      </c>
      <c r="H21" s="59" t="s">
        <v>51</v>
      </c>
      <c r="I21" s="82" t="s">
        <v>153</v>
      </c>
      <c r="J21" s="59" t="s">
        <v>30</v>
      </c>
      <c r="K21" s="59">
        <v>1</v>
      </c>
      <c r="L21" s="59" t="s">
        <v>161</v>
      </c>
      <c r="M21" s="76" t="s">
        <v>564</v>
      </c>
      <c r="N21" s="55"/>
    </row>
    <row r="22" spans="1:14">
      <c r="A22" s="59">
        <f t="shared" si="0"/>
        <v>17</v>
      </c>
      <c r="B22" s="70" t="s">
        <v>131</v>
      </c>
      <c r="C22" s="59" t="s">
        <v>154</v>
      </c>
      <c r="D22" s="59" t="s">
        <v>14</v>
      </c>
      <c r="E22" s="127" t="s">
        <v>501</v>
      </c>
      <c r="F22" s="59" t="s">
        <v>14</v>
      </c>
      <c r="G22" s="62" t="s">
        <v>186</v>
      </c>
      <c r="H22" s="59" t="s">
        <v>51</v>
      </c>
      <c r="I22" s="59" t="str">
        <f>C22</f>
        <v>1A72BTD00-600-G</v>
      </c>
      <c r="J22" s="59" t="s">
        <v>14</v>
      </c>
      <c r="K22" s="59">
        <v>1</v>
      </c>
      <c r="L22" s="59" t="s">
        <v>41</v>
      </c>
      <c r="M22" s="65" t="s">
        <v>316</v>
      </c>
    </row>
    <row r="23" spans="1:14">
      <c r="A23" s="59">
        <f t="shared" si="0"/>
        <v>18</v>
      </c>
      <c r="B23" s="70" t="s">
        <v>178</v>
      </c>
      <c r="C23" s="63" t="s">
        <v>165</v>
      </c>
      <c r="D23" s="59" t="s">
        <v>14</v>
      </c>
      <c r="E23" s="127" t="s">
        <v>497</v>
      </c>
      <c r="F23" s="59" t="s">
        <v>14</v>
      </c>
      <c r="G23" s="66" t="s">
        <v>164</v>
      </c>
      <c r="H23" s="59" t="s">
        <v>51</v>
      </c>
      <c r="I23" s="59" t="s">
        <v>165</v>
      </c>
      <c r="J23" s="59" t="s">
        <v>14</v>
      </c>
      <c r="K23" s="59">
        <v>1</v>
      </c>
      <c r="L23" s="59" t="s">
        <v>41</v>
      </c>
      <c r="M23" s="65" t="s">
        <v>316</v>
      </c>
    </row>
    <row r="24" spans="1:14">
      <c r="A24" s="59">
        <f t="shared" si="0"/>
        <v>19</v>
      </c>
      <c r="B24" s="70" t="s">
        <v>322</v>
      </c>
      <c r="C24" s="63" t="s">
        <v>341</v>
      </c>
      <c r="D24" s="59" t="s">
        <v>14</v>
      </c>
      <c r="E24" s="127" t="s">
        <v>498</v>
      </c>
      <c r="F24" s="59" t="s">
        <v>14</v>
      </c>
      <c r="G24" s="66" t="s">
        <v>323</v>
      </c>
      <c r="H24" s="59" t="s">
        <v>51</v>
      </c>
      <c r="I24" s="77" t="s">
        <v>341</v>
      </c>
      <c r="J24" s="59" t="s">
        <v>14</v>
      </c>
      <c r="K24" s="59">
        <v>1</v>
      </c>
      <c r="L24" s="59" t="s">
        <v>41</v>
      </c>
      <c r="M24" s="65"/>
    </row>
    <row r="25" spans="1:14" s="91" customFormat="1">
      <c r="A25" s="59">
        <f t="shared" si="0"/>
        <v>20</v>
      </c>
      <c r="B25" s="70" t="s">
        <v>320</v>
      </c>
      <c r="C25" s="77" t="s">
        <v>528</v>
      </c>
      <c r="D25" s="59" t="s">
        <v>14</v>
      </c>
      <c r="E25" s="114" t="s">
        <v>648</v>
      </c>
      <c r="F25" s="59" t="s">
        <v>14</v>
      </c>
      <c r="G25" s="66" t="s">
        <v>529</v>
      </c>
      <c r="H25" s="59" t="s">
        <v>51</v>
      </c>
      <c r="I25" s="77" t="s">
        <v>528</v>
      </c>
      <c r="J25" s="59" t="s">
        <v>14</v>
      </c>
      <c r="K25" s="59">
        <v>1</v>
      </c>
      <c r="L25" s="59" t="s">
        <v>41</v>
      </c>
      <c r="M25" s="65" t="s">
        <v>530</v>
      </c>
    </row>
    <row r="26" spans="1:14">
      <c r="A26" s="59">
        <f t="shared" si="0"/>
        <v>21</v>
      </c>
      <c r="B26" s="70" t="s">
        <v>289</v>
      </c>
      <c r="C26" s="63" t="s">
        <v>288</v>
      </c>
      <c r="D26" s="59" t="s">
        <v>30</v>
      </c>
      <c r="E26" s="184" t="s">
        <v>645</v>
      </c>
      <c r="F26" s="59" t="s">
        <v>30</v>
      </c>
      <c r="G26" s="66" t="s">
        <v>286</v>
      </c>
      <c r="H26" s="59" t="s">
        <v>284</v>
      </c>
      <c r="I26" s="59" t="s">
        <v>285</v>
      </c>
      <c r="J26" s="59" t="s">
        <v>14</v>
      </c>
      <c r="K26" s="59">
        <v>2</v>
      </c>
      <c r="L26" s="59" t="s">
        <v>283</v>
      </c>
      <c r="M26" s="65" t="s">
        <v>287</v>
      </c>
    </row>
    <row r="27" spans="1:14">
      <c r="A27" s="59">
        <f t="shared" si="0"/>
        <v>22</v>
      </c>
      <c r="B27" s="70" t="s">
        <v>290</v>
      </c>
      <c r="C27" s="63" t="s">
        <v>345</v>
      </c>
      <c r="D27" s="59" t="s">
        <v>14</v>
      </c>
      <c r="E27" s="127" t="s">
        <v>502</v>
      </c>
      <c r="F27" s="59" t="s">
        <v>14</v>
      </c>
      <c r="G27" s="66" t="s">
        <v>297</v>
      </c>
      <c r="H27" s="77" t="s">
        <v>434</v>
      </c>
      <c r="I27" s="78" t="s">
        <v>345</v>
      </c>
      <c r="J27" s="59" t="s">
        <v>14</v>
      </c>
      <c r="K27" s="59">
        <v>1</v>
      </c>
      <c r="L27" s="59" t="s">
        <v>44</v>
      </c>
      <c r="M27" s="65" t="s">
        <v>346</v>
      </c>
    </row>
    <row r="28" spans="1:14">
      <c r="A28" s="59">
        <f t="shared" si="0"/>
        <v>23</v>
      </c>
      <c r="B28" s="70" t="s">
        <v>291</v>
      </c>
      <c r="C28" s="63" t="s">
        <v>296</v>
      </c>
      <c r="D28" s="59" t="s">
        <v>14</v>
      </c>
      <c r="E28" s="127" t="s">
        <v>34</v>
      </c>
      <c r="F28" s="59" t="s">
        <v>14</v>
      </c>
      <c r="G28" s="79" t="s">
        <v>295</v>
      </c>
      <c r="H28" s="77" t="s">
        <v>434</v>
      </c>
      <c r="I28" s="59" t="s">
        <v>296</v>
      </c>
      <c r="J28" s="59" t="s">
        <v>14</v>
      </c>
      <c r="K28" s="59">
        <v>3</v>
      </c>
      <c r="L28" s="59" t="s">
        <v>44</v>
      </c>
      <c r="M28" s="65" t="s">
        <v>294</v>
      </c>
    </row>
    <row r="29" spans="1:14">
      <c r="A29" s="59">
        <f t="shared" si="0"/>
        <v>24</v>
      </c>
      <c r="B29" s="70"/>
      <c r="C29" s="61" t="s">
        <v>424</v>
      </c>
      <c r="D29" s="59" t="s">
        <v>14</v>
      </c>
      <c r="E29" s="127" t="s">
        <v>34</v>
      </c>
      <c r="F29" s="59" t="s">
        <v>14</v>
      </c>
      <c r="G29" s="66" t="s">
        <v>421</v>
      </c>
      <c r="H29" s="77" t="s">
        <v>422</v>
      </c>
      <c r="I29" s="61" t="s">
        <v>423</v>
      </c>
      <c r="J29" s="59" t="s">
        <v>14</v>
      </c>
      <c r="K29" s="59"/>
      <c r="L29" s="59" t="s">
        <v>44</v>
      </c>
      <c r="M29" s="65" t="s">
        <v>294</v>
      </c>
    </row>
    <row r="30" spans="1:14">
      <c r="A30" s="59">
        <f t="shared" si="0"/>
        <v>25</v>
      </c>
      <c r="B30" s="70" t="s">
        <v>425</v>
      </c>
      <c r="C30" s="61" t="s">
        <v>532</v>
      </c>
      <c r="D30" s="59" t="s">
        <v>14</v>
      </c>
      <c r="E30" s="127" t="s">
        <v>34</v>
      </c>
      <c r="F30" s="59" t="s">
        <v>14</v>
      </c>
      <c r="G30" s="79" t="s">
        <v>533</v>
      </c>
      <c r="H30" s="77" t="s">
        <v>434</v>
      </c>
      <c r="I30" s="61" t="s">
        <v>532</v>
      </c>
      <c r="J30" s="59" t="s">
        <v>14</v>
      </c>
      <c r="K30" s="59">
        <v>4</v>
      </c>
      <c r="L30" s="59" t="s">
        <v>44</v>
      </c>
      <c r="M30" s="65" t="s">
        <v>541</v>
      </c>
    </row>
    <row r="31" spans="1:14">
      <c r="A31" s="59">
        <f t="shared" si="0"/>
        <v>26</v>
      </c>
      <c r="B31" s="70"/>
      <c r="C31" s="61" t="s">
        <v>534</v>
      </c>
      <c r="D31" s="59" t="s">
        <v>14</v>
      </c>
      <c r="E31" s="127" t="s">
        <v>34</v>
      </c>
      <c r="F31" s="59" t="s">
        <v>14</v>
      </c>
      <c r="G31" s="66" t="s">
        <v>536</v>
      </c>
      <c r="H31" s="77" t="s">
        <v>537</v>
      </c>
      <c r="I31" s="61" t="s">
        <v>539</v>
      </c>
      <c r="J31" s="59" t="s">
        <v>14</v>
      </c>
      <c r="K31" s="59"/>
      <c r="L31" s="59" t="s">
        <v>44</v>
      </c>
      <c r="M31" s="65" t="s">
        <v>541</v>
      </c>
    </row>
    <row r="32" spans="1:14">
      <c r="A32" s="59">
        <f t="shared" si="0"/>
        <v>27</v>
      </c>
      <c r="B32" s="70"/>
      <c r="C32" s="61" t="s">
        <v>535</v>
      </c>
      <c r="D32" s="59" t="s">
        <v>14</v>
      </c>
      <c r="E32" s="127" t="s">
        <v>34</v>
      </c>
      <c r="F32" s="59" t="s">
        <v>14</v>
      </c>
      <c r="G32" s="66" t="s">
        <v>536</v>
      </c>
      <c r="H32" s="77" t="s">
        <v>538</v>
      </c>
      <c r="I32" s="61" t="s">
        <v>540</v>
      </c>
      <c r="J32" s="59" t="s">
        <v>14</v>
      </c>
      <c r="K32" s="59"/>
      <c r="L32" s="59" t="s">
        <v>44</v>
      </c>
      <c r="M32" s="65" t="s">
        <v>541</v>
      </c>
    </row>
    <row r="33" spans="1:13">
      <c r="A33" s="59">
        <f t="shared" si="0"/>
        <v>28</v>
      </c>
      <c r="B33" s="70" t="s">
        <v>426</v>
      </c>
      <c r="C33" s="61" t="s">
        <v>430</v>
      </c>
      <c r="D33" s="59" t="s">
        <v>14</v>
      </c>
      <c r="E33" s="127" t="s">
        <v>34</v>
      </c>
      <c r="F33" s="59" t="s">
        <v>14</v>
      </c>
      <c r="G33" s="66" t="s">
        <v>327</v>
      </c>
      <c r="H33" s="77" t="s">
        <v>434</v>
      </c>
      <c r="I33" s="61" t="s">
        <v>430</v>
      </c>
      <c r="J33" s="59" t="s">
        <v>14</v>
      </c>
      <c r="K33" s="59">
        <v>4</v>
      </c>
      <c r="L33" s="59" t="s">
        <v>44</v>
      </c>
      <c r="M33" s="65" t="s">
        <v>298</v>
      </c>
    </row>
    <row r="34" spans="1:13">
      <c r="A34" s="59">
        <f t="shared" si="0"/>
        <v>29</v>
      </c>
      <c r="B34" s="70" t="s">
        <v>427</v>
      </c>
      <c r="C34" s="63" t="s">
        <v>300</v>
      </c>
      <c r="D34" s="59" t="s">
        <v>14</v>
      </c>
      <c r="E34" s="125" t="s">
        <v>34</v>
      </c>
      <c r="F34" s="59" t="s">
        <v>14</v>
      </c>
      <c r="G34" s="66" t="s">
        <v>328</v>
      </c>
      <c r="H34" s="77" t="s">
        <v>434</v>
      </c>
      <c r="I34" s="63" t="s">
        <v>300</v>
      </c>
      <c r="J34" s="59" t="s">
        <v>14</v>
      </c>
      <c r="K34" s="59">
        <v>8</v>
      </c>
      <c r="L34" s="59" t="s">
        <v>44</v>
      </c>
      <c r="M34" s="65" t="s">
        <v>299</v>
      </c>
    </row>
    <row r="35" spans="1:13" s="91" customFormat="1">
      <c r="A35" s="59">
        <f t="shared" si="0"/>
        <v>30</v>
      </c>
      <c r="B35" s="70"/>
      <c r="C35" s="61" t="s">
        <v>577</v>
      </c>
      <c r="D35" s="59" t="s">
        <v>14</v>
      </c>
      <c r="E35" s="127" t="s">
        <v>34</v>
      </c>
      <c r="F35" s="59" t="s">
        <v>14</v>
      </c>
      <c r="G35" s="79" t="s">
        <v>579</v>
      </c>
      <c r="H35" s="77" t="s">
        <v>578</v>
      </c>
      <c r="I35" s="77" t="s">
        <v>576</v>
      </c>
      <c r="J35" s="59" t="s">
        <v>14</v>
      </c>
      <c r="K35" s="59"/>
      <c r="L35" s="59" t="s">
        <v>44</v>
      </c>
      <c r="M35" s="65" t="s">
        <v>299</v>
      </c>
    </row>
    <row r="36" spans="1:13">
      <c r="A36" s="59">
        <f t="shared" si="0"/>
        <v>31</v>
      </c>
      <c r="B36" s="70" t="s">
        <v>46</v>
      </c>
      <c r="C36" s="63" t="s">
        <v>348</v>
      </c>
      <c r="D36" s="59" t="s">
        <v>14</v>
      </c>
      <c r="E36" s="125" t="s">
        <v>34</v>
      </c>
      <c r="F36" s="59" t="s">
        <v>14</v>
      </c>
      <c r="G36" s="66" t="s">
        <v>326</v>
      </c>
      <c r="H36" s="77" t="s">
        <v>434</v>
      </c>
      <c r="I36" s="80" t="s">
        <v>348</v>
      </c>
      <c r="J36" s="59" t="s">
        <v>14</v>
      </c>
      <c r="K36" s="59">
        <v>1</v>
      </c>
      <c r="L36" s="59" t="s">
        <v>44</v>
      </c>
      <c r="M36" s="65" t="s">
        <v>347</v>
      </c>
    </row>
    <row r="37" spans="1:13">
      <c r="A37" s="59">
        <f t="shared" ref="A37:A68" si="1">ROW(A37)-5</f>
        <v>32</v>
      </c>
      <c r="B37" s="70" t="s">
        <v>47</v>
      </c>
      <c r="C37" s="63" t="s">
        <v>583</v>
      </c>
      <c r="D37" s="59" t="s">
        <v>14</v>
      </c>
      <c r="E37" s="125" t="s">
        <v>34</v>
      </c>
      <c r="F37" s="59" t="s">
        <v>14</v>
      </c>
      <c r="G37" s="66" t="s">
        <v>349</v>
      </c>
      <c r="H37" s="77" t="s">
        <v>434</v>
      </c>
      <c r="I37" s="80" t="s">
        <v>350</v>
      </c>
      <c r="J37" s="59" t="s">
        <v>14</v>
      </c>
      <c r="K37" s="77">
        <v>2</v>
      </c>
      <c r="L37" s="59" t="s">
        <v>44</v>
      </c>
      <c r="M37" s="65" t="s">
        <v>351</v>
      </c>
    </row>
    <row r="38" spans="1:13" s="91" customFormat="1">
      <c r="A38" s="59">
        <f t="shared" si="1"/>
        <v>33</v>
      </c>
      <c r="B38" s="70"/>
      <c r="C38" s="61" t="s">
        <v>582</v>
      </c>
      <c r="D38" s="59" t="s">
        <v>14</v>
      </c>
      <c r="E38" s="127" t="s">
        <v>34</v>
      </c>
      <c r="F38" s="59" t="s">
        <v>14</v>
      </c>
      <c r="G38" s="79" t="s">
        <v>580</v>
      </c>
      <c r="H38" s="77" t="s">
        <v>578</v>
      </c>
      <c r="I38" s="77" t="s">
        <v>581</v>
      </c>
      <c r="J38" s="59" t="s">
        <v>14</v>
      </c>
      <c r="K38" s="59"/>
      <c r="L38" s="59" t="s">
        <v>44</v>
      </c>
      <c r="M38" s="65" t="s">
        <v>351</v>
      </c>
    </row>
    <row r="39" spans="1:13">
      <c r="A39" s="59">
        <f t="shared" si="1"/>
        <v>34</v>
      </c>
      <c r="B39" s="70" t="s">
        <v>48</v>
      </c>
      <c r="C39" s="63" t="s">
        <v>352</v>
      </c>
      <c r="D39" s="59" t="s">
        <v>14</v>
      </c>
      <c r="E39" s="125" t="s">
        <v>34</v>
      </c>
      <c r="F39" s="59" t="s">
        <v>14</v>
      </c>
      <c r="G39" s="66" t="s">
        <v>304</v>
      </c>
      <c r="H39" s="77" t="s">
        <v>434</v>
      </c>
      <c r="I39" s="80" t="s">
        <v>352</v>
      </c>
      <c r="J39" s="59" t="s">
        <v>14</v>
      </c>
      <c r="K39" s="59">
        <v>8</v>
      </c>
      <c r="L39" s="59" t="s">
        <v>44</v>
      </c>
      <c r="M39" s="65" t="s">
        <v>302</v>
      </c>
    </row>
    <row r="40" spans="1:13">
      <c r="A40" s="59">
        <f t="shared" si="1"/>
        <v>35</v>
      </c>
      <c r="B40" s="70" t="s">
        <v>54</v>
      </c>
      <c r="C40" s="63" t="s">
        <v>353</v>
      </c>
      <c r="D40" s="59" t="s">
        <v>14</v>
      </c>
      <c r="E40" s="125" t="s">
        <v>34</v>
      </c>
      <c r="F40" s="59" t="s">
        <v>14</v>
      </c>
      <c r="G40" s="66" t="s">
        <v>303</v>
      </c>
      <c r="H40" s="77" t="s">
        <v>434</v>
      </c>
      <c r="I40" s="80" t="s">
        <v>353</v>
      </c>
      <c r="J40" s="59" t="s">
        <v>14</v>
      </c>
      <c r="K40" s="59">
        <v>8</v>
      </c>
      <c r="L40" s="59" t="s">
        <v>44</v>
      </c>
      <c r="M40" s="65" t="s">
        <v>305</v>
      </c>
    </row>
    <row r="41" spans="1:13" s="91" customFormat="1">
      <c r="A41" s="59">
        <f t="shared" si="1"/>
        <v>36</v>
      </c>
      <c r="B41" s="70" t="s">
        <v>55</v>
      </c>
      <c r="C41" s="61" t="s">
        <v>414</v>
      </c>
      <c r="D41" s="59" t="s">
        <v>14</v>
      </c>
      <c r="E41" s="125" t="s">
        <v>34</v>
      </c>
      <c r="F41" s="59" t="s">
        <v>14</v>
      </c>
      <c r="G41" s="66" t="s">
        <v>309</v>
      </c>
      <c r="H41" s="77" t="s">
        <v>434</v>
      </c>
      <c r="I41" s="61" t="s">
        <v>414</v>
      </c>
      <c r="J41" s="59" t="s">
        <v>14</v>
      </c>
      <c r="K41" s="59">
        <v>64</v>
      </c>
      <c r="L41" s="59" t="s">
        <v>44</v>
      </c>
      <c r="M41" s="65" t="s">
        <v>306</v>
      </c>
    </row>
    <row r="42" spans="1:13">
      <c r="A42" s="59">
        <f t="shared" si="1"/>
        <v>37</v>
      </c>
      <c r="B42" s="70"/>
      <c r="C42" s="61" t="s">
        <v>416</v>
      </c>
      <c r="D42" s="59" t="s">
        <v>14</v>
      </c>
      <c r="E42" s="125" t="s">
        <v>34</v>
      </c>
      <c r="F42" s="59" t="s">
        <v>14</v>
      </c>
      <c r="G42" s="66" t="s">
        <v>431</v>
      </c>
      <c r="H42" s="77" t="s">
        <v>417</v>
      </c>
      <c r="I42" s="61" t="s">
        <v>418</v>
      </c>
      <c r="J42" s="59" t="s">
        <v>14</v>
      </c>
      <c r="K42" s="59"/>
      <c r="L42" s="59" t="s">
        <v>44</v>
      </c>
      <c r="M42" s="65" t="s">
        <v>306</v>
      </c>
    </row>
    <row r="43" spans="1:13" s="91" customFormat="1">
      <c r="A43" s="59">
        <f t="shared" si="1"/>
        <v>38</v>
      </c>
      <c r="B43" s="70" t="s">
        <v>428</v>
      </c>
      <c r="C43" s="61" t="s">
        <v>415</v>
      </c>
      <c r="D43" s="59" t="s">
        <v>14</v>
      </c>
      <c r="E43" s="125" t="s">
        <v>34</v>
      </c>
      <c r="F43" s="59" t="s">
        <v>14</v>
      </c>
      <c r="G43" s="62" t="s">
        <v>308</v>
      </c>
      <c r="H43" s="77" t="s">
        <v>434</v>
      </c>
      <c r="I43" s="61" t="s">
        <v>415</v>
      </c>
      <c r="J43" s="59" t="s">
        <v>14</v>
      </c>
      <c r="K43" s="59">
        <v>64</v>
      </c>
      <c r="L43" s="59" t="s">
        <v>44</v>
      </c>
      <c r="M43" s="65" t="s">
        <v>307</v>
      </c>
    </row>
    <row r="44" spans="1:13">
      <c r="A44" s="59">
        <f t="shared" si="1"/>
        <v>39</v>
      </c>
      <c r="B44" s="70"/>
      <c r="C44" s="61" t="s">
        <v>420</v>
      </c>
      <c r="D44" s="59" t="s">
        <v>14</v>
      </c>
      <c r="E44" s="125" t="s">
        <v>34</v>
      </c>
      <c r="F44" s="59" t="s">
        <v>14</v>
      </c>
      <c r="G44" s="66" t="s">
        <v>432</v>
      </c>
      <c r="H44" s="77" t="s">
        <v>417</v>
      </c>
      <c r="I44" s="61" t="s">
        <v>419</v>
      </c>
      <c r="J44" s="59" t="s">
        <v>14</v>
      </c>
      <c r="K44" s="59"/>
      <c r="L44" s="59" t="s">
        <v>44</v>
      </c>
      <c r="M44" s="65" t="s">
        <v>307</v>
      </c>
    </row>
    <row r="45" spans="1:13">
      <c r="A45" s="59">
        <f t="shared" si="1"/>
        <v>40</v>
      </c>
      <c r="B45" s="70" t="s">
        <v>329</v>
      </c>
      <c r="C45" s="61" t="s">
        <v>546</v>
      </c>
      <c r="D45" s="59" t="s">
        <v>14</v>
      </c>
      <c r="E45" s="127" t="s">
        <v>34</v>
      </c>
      <c r="F45" s="59" t="s">
        <v>14</v>
      </c>
      <c r="G45" s="79" t="s">
        <v>544</v>
      </c>
      <c r="H45" s="77" t="s">
        <v>155</v>
      </c>
      <c r="I45" s="77" t="s">
        <v>543</v>
      </c>
      <c r="J45" s="59" t="s">
        <v>14</v>
      </c>
      <c r="K45" s="59">
        <v>2</v>
      </c>
      <c r="L45" s="59" t="s">
        <v>44</v>
      </c>
      <c r="M45" s="65" t="s">
        <v>545</v>
      </c>
    </row>
    <row r="46" spans="1:13" s="91" customFormat="1">
      <c r="A46" s="59">
        <f t="shared" si="1"/>
        <v>41</v>
      </c>
      <c r="B46" s="70"/>
      <c r="C46" s="61" t="s">
        <v>570</v>
      </c>
      <c r="D46" s="59" t="s">
        <v>14</v>
      </c>
      <c r="E46" s="127" t="s">
        <v>34</v>
      </c>
      <c r="F46" s="59" t="s">
        <v>14</v>
      </c>
      <c r="G46" s="79" t="s">
        <v>572</v>
      </c>
      <c r="H46" s="77" t="s">
        <v>573</v>
      </c>
      <c r="I46" s="77" t="s">
        <v>574</v>
      </c>
      <c r="J46" s="59" t="s">
        <v>14</v>
      </c>
      <c r="K46" s="59"/>
      <c r="L46" s="59" t="s">
        <v>44</v>
      </c>
      <c r="M46" s="65" t="s">
        <v>545</v>
      </c>
    </row>
    <row r="47" spans="1:13" s="91" customFormat="1">
      <c r="A47" s="59">
        <f t="shared" si="1"/>
        <v>42</v>
      </c>
      <c r="B47" s="70" t="s">
        <v>330</v>
      </c>
      <c r="C47" s="61" t="s">
        <v>553</v>
      </c>
      <c r="D47" s="59" t="s">
        <v>14</v>
      </c>
      <c r="E47" s="127" t="s">
        <v>34</v>
      </c>
      <c r="F47" s="59" t="s">
        <v>14</v>
      </c>
      <c r="G47" s="79" t="s">
        <v>547</v>
      </c>
      <c r="H47" s="77" t="s">
        <v>214</v>
      </c>
      <c r="I47" s="77" t="s">
        <v>548</v>
      </c>
      <c r="J47" s="59" t="s">
        <v>14</v>
      </c>
      <c r="K47" s="59">
        <v>2</v>
      </c>
      <c r="L47" s="59" t="s">
        <v>44</v>
      </c>
      <c r="M47" s="65" t="s">
        <v>557</v>
      </c>
    </row>
    <row r="48" spans="1:13" s="91" customFormat="1">
      <c r="A48" s="59">
        <f t="shared" si="1"/>
        <v>43</v>
      </c>
      <c r="B48" s="70"/>
      <c r="C48" s="61" t="s">
        <v>569</v>
      </c>
      <c r="D48" s="59" t="s">
        <v>14</v>
      </c>
      <c r="E48" s="127" t="s">
        <v>34</v>
      </c>
      <c r="F48" s="59" t="s">
        <v>14</v>
      </c>
      <c r="G48" s="79" t="s">
        <v>571</v>
      </c>
      <c r="H48" s="77" t="s">
        <v>573</v>
      </c>
      <c r="I48" s="77" t="s">
        <v>575</v>
      </c>
      <c r="J48" s="59" t="s">
        <v>14</v>
      </c>
      <c r="K48" s="59"/>
      <c r="L48" s="59" t="s">
        <v>44</v>
      </c>
      <c r="M48" s="65" t="s">
        <v>557</v>
      </c>
    </row>
    <row r="49" spans="1:13" s="91" customFormat="1">
      <c r="A49" s="59">
        <f t="shared" si="1"/>
        <v>44</v>
      </c>
      <c r="B49" s="70" t="s">
        <v>331</v>
      </c>
      <c r="C49" s="61" t="s">
        <v>552</v>
      </c>
      <c r="D49" s="59" t="s">
        <v>14</v>
      </c>
      <c r="E49" s="127" t="s">
        <v>34</v>
      </c>
      <c r="F49" s="59" t="s">
        <v>14</v>
      </c>
      <c r="G49" s="79" t="s">
        <v>550</v>
      </c>
      <c r="H49" s="77" t="s">
        <v>549</v>
      </c>
      <c r="I49" s="61" t="s">
        <v>551</v>
      </c>
      <c r="J49" s="59" t="s">
        <v>14</v>
      </c>
      <c r="K49" s="59">
        <v>2</v>
      </c>
      <c r="L49" s="59" t="s">
        <v>44</v>
      </c>
      <c r="M49" s="65" t="s">
        <v>558</v>
      </c>
    </row>
    <row r="50" spans="1:13" s="91" customFormat="1">
      <c r="A50" s="59">
        <f t="shared" si="1"/>
        <v>45</v>
      </c>
      <c r="B50" s="70" t="s">
        <v>522</v>
      </c>
      <c r="C50" s="61" t="s">
        <v>555</v>
      </c>
      <c r="D50" s="59" t="s">
        <v>14</v>
      </c>
      <c r="E50" s="127" t="s">
        <v>34</v>
      </c>
      <c r="F50" s="59" t="s">
        <v>14</v>
      </c>
      <c r="G50" s="79" t="s">
        <v>554</v>
      </c>
      <c r="H50" s="77" t="s">
        <v>549</v>
      </c>
      <c r="I50" s="61" t="s">
        <v>556</v>
      </c>
      <c r="J50" s="59" t="s">
        <v>14</v>
      </c>
      <c r="K50" s="59">
        <v>2</v>
      </c>
      <c r="L50" s="59" t="s">
        <v>44</v>
      </c>
      <c r="M50" s="65" t="s">
        <v>558</v>
      </c>
    </row>
    <row r="51" spans="1:13" s="91" customFormat="1">
      <c r="A51" s="115">
        <f t="shared" si="1"/>
        <v>46</v>
      </c>
      <c r="B51" s="179" t="s">
        <v>314</v>
      </c>
      <c r="C51" s="180" t="s">
        <v>585</v>
      </c>
      <c r="D51" s="115" t="s">
        <v>14</v>
      </c>
      <c r="E51" s="131" t="s">
        <v>34</v>
      </c>
      <c r="F51" s="115" t="s">
        <v>14</v>
      </c>
      <c r="G51" s="181" t="s">
        <v>586</v>
      </c>
      <c r="H51" s="133" t="s">
        <v>587</v>
      </c>
      <c r="I51" s="133" t="s">
        <v>584</v>
      </c>
      <c r="J51" s="115" t="s">
        <v>14</v>
      </c>
      <c r="K51" s="115">
        <v>1</v>
      </c>
      <c r="L51" s="115" t="s">
        <v>44</v>
      </c>
      <c r="M51" s="182" t="s">
        <v>588</v>
      </c>
    </row>
    <row r="52" spans="1:13" s="17" customFormat="1">
      <c r="A52" s="59">
        <f t="shared" si="1"/>
        <v>47</v>
      </c>
      <c r="B52" s="70" t="s">
        <v>314</v>
      </c>
      <c r="C52" s="63" t="s">
        <v>215</v>
      </c>
      <c r="D52" s="59" t="s">
        <v>30</v>
      </c>
      <c r="E52" s="127" t="s">
        <v>561</v>
      </c>
      <c r="F52" s="59" t="s">
        <v>14</v>
      </c>
      <c r="G52" s="66" t="s">
        <v>213</v>
      </c>
      <c r="H52" s="59" t="s">
        <v>214</v>
      </c>
      <c r="I52" s="63" t="s">
        <v>217</v>
      </c>
      <c r="J52" s="59" t="s">
        <v>30</v>
      </c>
      <c r="K52" s="59">
        <v>8</v>
      </c>
      <c r="L52" s="59" t="s">
        <v>50</v>
      </c>
      <c r="M52" s="69"/>
    </row>
    <row r="53" spans="1:13" s="17" customFormat="1">
      <c r="A53" s="59">
        <f t="shared" si="1"/>
        <v>48</v>
      </c>
      <c r="B53" s="70"/>
      <c r="C53" s="63" t="s">
        <v>216</v>
      </c>
      <c r="D53" s="59" t="s">
        <v>30</v>
      </c>
      <c r="E53" s="127" t="s">
        <v>561</v>
      </c>
      <c r="F53" s="59" t="s">
        <v>14</v>
      </c>
      <c r="G53" s="62" t="s">
        <v>213</v>
      </c>
      <c r="H53" s="59" t="s">
        <v>57</v>
      </c>
      <c r="I53" s="63" t="s">
        <v>218</v>
      </c>
      <c r="J53" s="59" t="s">
        <v>30</v>
      </c>
      <c r="K53" s="59"/>
      <c r="L53" s="59" t="s">
        <v>50</v>
      </c>
      <c r="M53" s="69"/>
    </row>
    <row r="54" spans="1:13" s="39" customFormat="1" ht="15">
      <c r="A54" s="63">
        <f t="shared" si="1"/>
        <v>49</v>
      </c>
      <c r="B54" s="81" t="s">
        <v>596</v>
      </c>
      <c r="C54" s="63" t="s">
        <v>476</v>
      </c>
      <c r="D54" s="129" t="s">
        <v>30</v>
      </c>
      <c r="E54" s="127" t="s">
        <v>562</v>
      </c>
      <c r="F54" s="63" t="s">
        <v>14</v>
      </c>
      <c r="G54" s="62" t="s">
        <v>444</v>
      </c>
      <c r="H54" s="61" t="s">
        <v>488</v>
      </c>
      <c r="I54" s="61" t="s">
        <v>476</v>
      </c>
      <c r="J54" s="63" t="s">
        <v>30</v>
      </c>
      <c r="K54" s="63">
        <v>1</v>
      </c>
      <c r="L54" s="63" t="s">
        <v>50</v>
      </c>
      <c r="M54" s="130"/>
    </row>
    <row r="55" spans="1:13" s="39" customFormat="1" ht="15">
      <c r="A55" s="63">
        <f t="shared" si="1"/>
        <v>50</v>
      </c>
      <c r="B55" s="81"/>
      <c r="C55" s="63" t="s">
        <v>486</v>
      </c>
      <c r="D55" s="129" t="s">
        <v>30</v>
      </c>
      <c r="E55" s="127" t="s">
        <v>562</v>
      </c>
      <c r="F55" s="63" t="s">
        <v>14</v>
      </c>
      <c r="G55" s="62" t="s">
        <v>445</v>
      </c>
      <c r="H55" s="61" t="s">
        <v>488</v>
      </c>
      <c r="I55" s="61" t="s">
        <v>486</v>
      </c>
      <c r="J55" s="63" t="s">
        <v>30</v>
      </c>
      <c r="K55" s="63"/>
      <c r="L55" s="63" t="s">
        <v>50</v>
      </c>
      <c r="M55" s="130"/>
    </row>
    <row r="56" spans="1:13" s="39" customFormat="1" ht="15">
      <c r="A56" s="63">
        <f t="shared" si="1"/>
        <v>51</v>
      </c>
      <c r="B56" s="81"/>
      <c r="C56" s="63" t="s">
        <v>487</v>
      </c>
      <c r="D56" s="129" t="s">
        <v>30</v>
      </c>
      <c r="E56" s="127" t="s">
        <v>562</v>
      </c>
      <c r="F56" s="63" t="s">
        <v>14</v>
      </c>
      <c r="G56" s="62" t="s">
        <v>489</v>
      </c>
      <c r="H56" s="61" t="s">
        <v>488</v>
      </c>
      <c r="I56" s="61" t="s">
        <v>487</v>
      </c>
      <c r="J56" s="63" t="s">
        <v>30</v>
      </c>
      <c r="K56" s="63"/>
      <c r="L56" s="63" t="s">
        <v>50</v>
      </c>
      <c r="M56" s="130"/>
    </row>
    <row r="57" spans="1:13" s="25" customFormat="1" ht="15">
      <c r="A57" s="59">
        <f t="shared" si="1"/>
        <v>52</v>
      </c>
      <c r="B57" s="81" t="s">
        <v>597</v>
      </c>
      <c r="C57" s="59" t="s">
        <v>398</v>
      </c>
      <c r="D57" s="59" t="s">
        <v>30</v>
      </c>
      <c r="E57" s="125" t="s">
        <v>34</v>
      </c>
      <c r="F57" s="59" t="s">
        <v>30</v>
      </c>
      <c r="G57" s="83" t="s">
        <v>324</v>
      </c>
      <c r="H57" s="59" t="s">
        <v>51</v>
      </c>
      <c r="I57" s="59" t="s">
        <v>398</v>
      </c>
      <c r="J57" s="67" t="s">
        <v>127</v>
      </c>
      <c r="K57" s="67">
        <v>1</v>
      </c>
      <c r="L57" s="77" t="s">
        <v>50</v>
      </c>
      <c r="M57" s="59"/>
    </row>
    <row r="58" spans="1:13" s="17" customFormat="1">
      <c r="A58" s="59">
        <f t="shared" si="1"/>
        <v>53</v>
      </c>
      <c r="B58" s="81" t="s">
        <v>599</v>
      </c>
      <c r="C58" s="63" t="s">
        <v>256</v>
      </c>
      <c r="D58" s="59" t="s">
        <v>30</v>
      </c>
      <c r="E58" s="127" t="s">
        <v>503</v>
      </c>
      <c r="F58" s="59" t="s">
        <v>14</v>
      </c>
      <c r="G58" s="62" t="s">
        <v>277</v>
      </c>
      <c r="H58" s="59" t="s">
        <v>39</v>
      </c>
      <c r="I58" s="63" t="s">
        <v>240</v>
      </c>
      <c r="J58" s="59" t="s">
        <v>30</v>
      </c>
      <c r="K58" s="59">
        <v>1</v>
      </c>
      <c r="L58" s="59" t="s">
        <v>45</v>
      </c>
      <c r="M58" s="85" t="s">
        <v>278</v>
      </c>
    </row>
    <row r="59" spans="1:13" s="17" customFormat="1">
      <c r="A59" s="59">
        <f t="shared" si="1"/>
        <v>54</v>
      </c>
      <c r="B59" s="81" t="s">
        <v>600</v>
      </c>
      <c r="C59" s="63" t="s">
        <v>257</v>
      </c>
      <c r="D59" s="59" t="s">
        <v>30</v>
      </c>
      <c r="E59" s="127" t="s">
        <v>504</v>
      </c>
      <c r="F59" s="59" t="s">
        <v>14</v>
      </c>
      <c r="G59" s="62" t="s">
        <v>238</v>
      </c>
      <c r="H59" s="59" t="s">
        <v>39</v>
      </c>
      <c r="I59" s="63" t="s">
        <v>241</v>
      </c>
      <c r="J59" s="59" t="s">
        <v>30</v>
      </c>
      <c r="K59" s="59">
        <v>1</v>
      </c>
      <c r="L59" s="59" t="s">
        <v>45</v>
      </c>
      <c r="M59" s="69" t="s">
        <v>196</v>
      </c>
    </row>
    <row r="60" spans="1:13" s="17" customFormat="1">
      <c r="A60" s="59">
        <f t="shared" si="1"/>
        <v>55</v>
      </c>
      <c r="B60" s="81" t="s">
        <v>313</v>
      </c>
      <c r="C60" s="63" t="s">
        <v>258</v>
      </c>
      <c r="D60" s="59" t="s">
        <v>30</v>
      </c>
      <c r="E60" s="127" t="s">
        <v>505</v>
      </c>
      <c r="F60" s="59" t="s">
        <v>14</v>
      </c>
      <c r="G60" s="62" t="s">
        <v>237</v>
      </c>
      <c r="H60" s="59" t="s">
        <v>39</v>
      </c>
      <c r="I60" s="63" t="s">
        <v>242</v>
      </c>
      <c r="J60" s="59" t="s">
        <v>30</v>
      </c>
      <c r="K60" s="59">
        <v>1</v>
      </c>
      <c r="L60" s="59" t="s">
        <v>45</v>
      </c>
      <c r="M60" s="69" t="s">
        <v>197</v>
      </c>
    </row>
    <row r="61" spans="1:13" s="17" customFormat="1">
      <c r="A61" s="59">
        <f t="shared" si="1"/>
        <v>56</v>
      </c>
      <c r="B61" s="81" t="s">
        <v>230</v>
      </c>
      <c r="C61" s="63" t="s">
        <v>260</v>
      </c>
      <c r="D61" s="59" t="s">
        <v>30</v>
      </c>
      <c r="E61" s="127" t="s">
        <v>506</v>
      </c>
      <c r="F61" s="59" t="s">
        <v>14</v>
      </c>
      <c r="G61" s="62" t="s">
        <v>236</v>
      </c>
      <c r="H61" s="59" t="s">
        <v>39</v>
      </c>
      <c r="I61" s="63" t="s">
        <v>243</v>
      </c>
      <c r="J61" s="59" t="s">
        <v>30</v>
      </c>
      <c r="K61" s="59">
        <v>1</v>
      </c>
      <c r="L61" s="59" t="s">
        <v>45</v>
      </c>
      <c r="M61" s="69" t="s">
        <v>198</v>
      </c>
    </row>
    <row r="62" spans="1:13" s="17" customFormat="1">
      <c r="A62" s="59">
        <f t="shared" si="1"/>
        <v>57</v>
      </c>
      <c r="B62" s="81" t="s">
        <v>157</v>
      </c>
      <c r="C62" s="63" t="s">
        <v>259</v>
      </c>
      <c r="D62" s="59" t="s">
        <v>30</v>
      </c>
      <c r="E62" s="127" t="s">
        <v>507</v>
      </c>
      <c r="F62" s="59" t="s">
        <v>14</v>
      </c>
      <c r="G62" s="62" t="s">
        <v>235</v>
      </c>
      <c r="H62" s="59" t="s">
        <v>39</v>
      </c>
      <c r="I62" s="63" t="s">
        <v>244</v>
      </c>
      <c r="J62" s="59" t="s">
        <v>30</v>
      </c>
      <c r="K62" s="59">
        <v>1</v>
      </c>
      <c r="L62" s="59" t="s">
        <v>45</v>
      </c>
      <c r="M62" s="69" t="s">
        <v>199</v>
      </c>
    </row>
    <row r="63" spans="1:13" s="17" customFormat="1">
      <c r="A63" s="59">
        <f t="shared" si="1"/>
        <v>58</v>
      </c>
      <c r="B63" s="81" t="s">
        <v>121</v>
      </c>
      <c r="C63" s="63" t="s">
        <v>261</v>
      </c>
      <c r="D63" s="59" t="s">
        <v>30</v>
      </c>
      <c r="E63" s="127" t="s">
        <v>508</v>
      </c>
      <c r="F63" s="59" t="s">
        <v>14</v>
      </c>
      <c r="G63" s="66" t="s">
        <v>169</v>
      </c>
      <c r="H63" s="59" t="s">
        <v>39</v>
      </c>
      <c r="I63" s="63" t="s">
        <v>245</v>
      </c>
      <c r="J63" s="59" t="s">
        <v>30</v>
      </c>
      <c r="K63" s="59">
        <v>1</v>
      </c>
      <c r="L63" s="59" t="s">
        <v>45</v>
      </c>
      <c r="M63" s="69" t="s">
        <v>200</v>
      </c>
    </row>
    <row r="64" spans="1:13" s="17" customFormat="1">
      <c r="A64" s="59">
        <f t="shared" si="1"/>
        <v>59</v>
      </c>
      <c r="B64" s="81" t="s">
        <v>122</v>
      </c>
      <c r="C64" s="63" t="s">
        <v>262</v>
      </c>
      <c r="D64" s="59" t="s">
        <v>30</v>
      </c>
      <c r="E64" s="127" t="s">
        <v>509</v>
      </c>
      <c r="F64" s="59" t="s">
        <v>14</v>
      </c>
      <c r="G64" s="66" t="s">
        <v>170</v>
      </c>
      <c r="H64" s="59" t="s">
        <v>39</v>
      </c>
      <c r="I64" s="63" t="s">
        <v>246</v>
      </c>
      <c r="J64" s="59" t="s">
        <v>30</v>
      </c>
      <c r="K64" s="59">
        <v>1</v>
      </c>
      <c r="L64" s="59" t="s">
        <v>45</v>
      </c>
      <c r="M64" s="69" t="s">
        <v>201</v>
      </c>
    </row>
    <row r="65" spans="1:16" s="17" customFormat="1">
      <c r="A65" s="59">
        <f t="shared" si="1"/>
        <v>60</v>
      </c>
      <c r="B65" s="81" t="s">
        <v>123</v>
      </c>
      <c r="C65" s="63" t="s">
        <v>263</v>
      </c>
      <c r="D65" s="59" t="s">
        <v>30</v>
      </c>
      <c r="E65" s="127" t="s">
        <v>510</v>
      </c>
      <c r="F65" s="59" t="s">
        <v>14</v>
      </c>
      <c r="G65" s="66" t="s">
        <v>171</v>
      </c>
      <c r="H65" s="59" t="s">
        <v>39</v>
      </c>
      <c r="I65" s="63" t="s">
        <v>247</v>
      </c>
      <c r="J65" s="59" t="s">
        <v>30</v>
      </c>
      <c r="K65" s="59">
        <v>1</v>
      </c>
      <c r="L65" s="59" t="s">
        <v>45</v>
      </c>
      <c r="M65" s="69" t="s">
        <v>202</v>
      </c>
    </row>
    <row r="66" spans="1:16" s="17" customFormat="1">
      <c r="A66" s="59">
        <f t="shared" si="1"/>
        <v>61</v>
      </c>
      <c r="B66" s="81" t="s">
        <v>124</v>
      </c>
      <c r="C66" s="63" t="s">
        <v>264</v>
      </c>
      <c r="D66" s="59" t="s">
        <v>30</v>
      </c>
      <c r="E66" s="127" t="s">
        <v>511</v>
      </c>
      <c r="F66" s="59" t="s">
        <v>14</v>
      </c>
      <c r="G66" s="66" t="s">
        <v>167</v>
      </c>
      <c r="H66" s="59" t="s">
        <v>39</v>
      </c>
      <c r="I66" s="63" t="s">
        <v>248</v>
      </c>
      <c r="J66" s="59" t="s">
        <v>30</v>
      </c>
      <c r="K66" s="59">
        <v>1</v>
      </c>
      <c r="L66" s="59" t="s">
        <v>45</v>
      </c>
      <c r="M66" s="69" t="s">
        <v>203</v>
      </c>
    </row>
    <row r="67" spans="1:16" s="17" customFormat="1">
      <c r="A67" s="59">
        <f t="shared" si="1"/>
        <v>62</v>
      </c>
      <c r="B67" s="81" t="s">
        <v>158</v>
      </c>
      <c r="C67" s="63" t="s">
        <v>338</v>
      </c>
      <c r="D67" s="59" t="s">
        <v>30</v>
      </c>
      <c r="E67" s="127" t="s">
        <v>512</v>
      </c>
      <c r="F67" s="59" t="s">
        <v>14</v>
      </c>
      <c r="G67" s="66" t="s">
        <v>172</v>
      </c>
      <c r="H67" s="59" t="s">
        <v>39</v>
      </c>
      <c r="I67" s="63" t="s">
        <v>249</v>
      </c>
      <c r="J67" s="59" t="s">
        <v>30</v>
      </c>
      <c r="K67" s="59">
        <v>1</v>
      </c>
      <c r="L67" s="59" t="s">
        <v>45</v>
      </c>
      <c r="M67" s="69" t="s">
        <v>204</v>
      </c>
    </row>
    <row r="68" spans="1:16" s="17" customFormat="1">
      <c r="A68" s="59">
        <f t="shared" si="1"/>
        <v>63</v>
      </c>
      <c r="B68" s="81" t="s">
        <v>159</v>
      </c>
      <c r="C68" s="63" t="s">
        <v>265</v>
      </c>
      <c r="D68" s="59" t="s">
        <v>30</v>
      </c>
      <c r="E68" s="127" t="s">
        <v>513</v>
      </c>
      <c r="F68" s="59" t="s">
        <v>14</v>
      </c>
      <c r="G68" s="66" t="s">
        <v>168</v>
      </c>
      <c r="H68" s="59" t="s">
        <v>39</v>
      </c>
      <c r="I68" s="63" t="s">
        <v>250</v>
      </c>
      <c r="J68" s="59" t="s">
        <v>30</v>
      </c>
      <c r="K68" s="59">
        <v>1</v>
      </c>
      <c r="L68" s="59" t="s">
        <v>45</v>
      </c>
      <c r="M68" s="69" t="s">
        <v>205</v>
      </c>
    </row>
    <row r="69" spans="1:16" s="17" customFormat="1">
      <c r="A69" s="59">
        <f t="shared" ref="A69:A77" si="2">ROW(A69)-5</f>
        <v>64</v>
      </c>
      <c r="B69" s="81" t="s">
        <v>179</v>
      </c>
      <c r="C69" s="63" t="s">
        <v>266</v>
      </c>
      <c r="D69" s="59" t="s">
        <v>30</v>
      </c>
      <c r="E69" s="127" t="s">
        <v>514</v>
      </c>
      <c r="F69" s="59" t="s">
        <v>14</v>
      </c>
      <c r="G69" s="66" t="s">
        <v>173</v>
      </c>
      <c r="H69" s="59" t="s">
        <v>39</v>
      </c>
      <c r="I69" s="63" t="s">
        <v>251</v>
      </c>
      <c r="J69" s="59" t="s">
        <v>30</v>
      </c>
      <c r="K69" s="59">
        <v>1</v>
      </c>
      <c r="L69" s="59" t="s">
        <v>45</v>
      </c>
      <c r="M69" s="69" t="s">
        <v>206</v>
      </c>
    </row>
    <row r="70" spans="1:16" s="17" customFormat="1">
      <c r="A70" s="59">
        <f t="shared" si="2"/>
        <v>65</v>
      </c>
      <c r="B70" s="81" t="s">
        <v>160</v>
      </c>
      <c r="C70" s="63" t="s">
        <v>272</v>
      </c>
      <c r="D70" s="59" t="s">
        <v>30</v>
      </c>
      <c r="E70" s="127" t="s">
        <v>515</v>
      </c>
      <c r="F70" s="59" t="s">
        <v>14</v>
      </c>
      <c r="G70" s="66" t="s">
        <v>166</v>
      </c>
      <c r="H70" s="59" t="s">
        <v>39</v>
      </c>
      <c r="I70" s="86" t="s">
        <v>275</v>
      </c>
      <c r="J70" s="59" t="s">
        <v>30</v>
      </c>
      <c r="K70" s="59">
        <v>1</v>
      </c>
      <c r="L70" s="59" t="s">
        <v>45</v>
      </c>
      <c r="M70" s="69" t="s">
        <v>207</v>
      </c>
    </row>
    <row r="71" spans="1:16" s="17" customFormat="1">
      <c r="A71" s="59">
        <f t="shared" si="2"/>
        <v>66</v>
      </c>
      <c r="B71" s="81" t="s">
        <v>280</v>
      </c>
      <c r="C71" s="63" t="s">
        <v>267</v>
      </c>
      <c r="D71" s="59" t="s">
        <v>30</v>
      </c>
      <c r="E71" s="127" t="s">
        <v>516</v>
      </c>
      <c r="F71" s="59" t="s">
        <v>14</v>
      </c>
      <c r="G71" s="66" t="s">
        <v>174</v>
      </c>
      <c r="H71" s="59" t="s">
        <v>39</v>
      </c>
      <c r="I71" s="63" t="s">
        <v>252</v>
      </c>
      <c r="J71" s="59" t="s">
        <v>30</v>
      </c>
      <c r="K71" s="59">
        <v>1</v>
      </c>
      <c r="L71" s="59" t="s">
        <v>45</v>
      </c>
      <c r="M71" s="69" t="s">
        <v>208</v>
      </c>
    </row>
    <row r="72" spans="1:16" s="17" customFormat="1">
      <c r="A72" s="59">
        <f t="shared" si="2"/>
        <v>67</v>
      </c>
      <c r="B72" s="81" t="s">
        <v>281</v>
      </c>
      <c r="C72" s="59" t="s">
        <v>268</v>
      </c>
      <c r="D72" s="59" t="s">
        <v>30</v>
      </c>
      <c r="E72" s="127" t="s">
        <v>517</v>
      </c>
      <c r="F72" s="59" t="s">
        <v>14</v>
      </c>
      <c r="G72" s="66" t="s">
        <v>175</v>
      </c>
      <c r="H72" s="59" t="s">
        <v>39</v>
      </c>
      <c r="I72" s="63" t="s">
        <v>253</v>
      </c>
      <c r="J72" s="59" t="s">
        <v>30</v>
      </c>
      <c r="K72" s="59">
        <v>1</v>
      </c>
      <c r="L72" s="59" t="s">
        <v>45</v>
      </c>
      <c r="M72" s="69" t="s">
        <v>209</v>
      </c>
    </row>
    <row r="73" spans="1:16" s="17" customFormat="1">
      <c r="A73" s="59">
        <f t="shared" si="2"/>
        <v>68</v>
      </c>
      <c r="B73" s="81" t="s">
        <v>282</v>
      </c>
      <c r="C73" s="59" t="s">
        <v>269</v>
      </c>
      <c r="D73" s="59" t="s">
        <v>30</v>
      </c>
      <c r="E73" s="127" t="s">
        <v>518</v>
      </c>
      <c r="F73" s="59" t="s">
        <v>14</v>
      </c>
      <c r="G73" s="66" t="s">
        <v>194</v>
      </c>
      <c r="H73" s="59" t="s">
        <v>39</v>
      </c>
      <c r="I73" s="63" t="s">
        <v>254</v>
      </c>
      <c r="J73" s="59" t="s">
        <v>30</v>
      </c>
      <c r="K73" s="59">
        <v>1</v>
      </c>
      <c r="L73" s="59" t="s">
        <v>45</v>
      </c>
      <c r="M73" s="69" t="s">
        <v>210</v>
      </c>
    </row>
    <row r="74" spans="1:16" s="17" customFormat="1">
      <c r="A74" s="59">
        <f t="shared" si="2"/>
        <v>69</v>
      </c>
      <c r="B74" s="81" t="s">
        <v>601</v>
      </c>
      <c r="C74" s="59" t="s">
        <v>270</v>
      </c>
      <c r="D74" s="59" t="s">
        <v>30</v>
      </c>
      <c r="E74" s="127" t="s">
        <v>519</v>
      </c>
      <c r="F74" s="59" t="s">
        <v>14</v>
      </c>
      <c r="G74" s="66" t="s">
        <v>195</v>
      </c>
      <c r="H74" s="59" t="s">
        <v>39</v>
      </c>
      <c r="I74" s="63" t="s">
        <v>255</v>
      </c>
      <c r="J74" s="59" t="s">
        <v>30</v>
      </c>
      <c r="K74" s="59">
        <v>1</v>
      </c>
      <c r="L74" s="59" t="s">
        <v>45</v>
      </c>
      <c r="M74" s="69" t="s">
        <v>211</v>
      </c>
    </row>
    <row r="75" spans="1:16" s="17" customFormat="1">
      <c r="A75" s="59">
        <f t="shared" si="2"/>
        <v>70</v>
      </c>
      <c r="B75" s="81" t="s">
        <v>602</v>
      </c>
      <c r="C75" s="59" t="s">
        <v>273</v>
      </c>
      <c r="D75" s="59" t="s">
        <v>30</v>
      </c>
      <c r="E75" s="127" t="s">
        <v>520</v>
      </c>
      <c r="F75" s="59" t="s">
        <v>14</v>
      </c>
      <c r="G75" s="66" t="s">
        <v>212</v>
      </c>
      <c r="H75" s="59" t="s">
        <v>39</v>
      </c>
      <c r="I75" s="63" t="s">
        <v>274</v>
      </c>
      <c r="J75" s="59" t="s">
        <v>30</v>
      </c>
      <c r="K75" s="59">
        <v>1</v>
      </c>
      <c r="L75" s="59" t="s">
        <v>45</v>
      </c>
      <c r="M75" s="69" t="s">
        <v>219</v>
      </c>
    </row>
    <row r="76" spans="1:16" s="93" customFormat="1">
      <c r="A76" s="59">
        <f t="shared" si="2"/>
        <v>71</v>
      </c>
      <c r="B76" s="81" t="s">
        <v>603</v>
      </c>
      <c r="C76" s="77" t="s">
        <v>632</v>
      </c>
      <c r="D76" s="59" t="s">
        <v>30</v>
      </c>
      <c r="E76" s="127" t="s">
        <v>521</v>
      </c>
      <c r="F76" s="59" t="s">
        <v>14</v>
      </c>
      <c r="G76" s="62" t="s">
        <v>568</v>
      </c>
      <c r="H76" s="77" t="s">
        <v>633</v>
      </c>
      <c r="I76" s="61" t="s">
        <v>634</v>
      </c>
      <c r="J76" s="59" t="s">
        <v>30</v>
      </c>
      <c r="K76" s="59">
        <v>1</v>
      </c>
      <c r="L76" s="59" t="s">
        <v>279</v>
      </c>
      <c r="M76" s="69" t="s">
        <v>485</v>
      </c>
    </row>
    <row r="77" spans="1:16" s="93" customFormat="1">
      <c r="A77" s="59">
        <f t="shared" si="2"/>
        <v>72</v>
      </c>
      <c r="B77" s="81"/>
      <c r="C77" s="77" t="s">
        <v>635</v>
      </c>
      <c r="D77" s="59" t="s">
        <v>30</v>
      </c>
      <c r="E77" s="127" t="s">
        <v>521</v>
      </c>
      <c r="F77" s="59" t="s">
        <v>14</v>
      </c>
      <c r="G77" s="62" t="s">
        <v>568</v>
      </c>
      <c r="H77" s="77" t="s">
        <v>636</v>
      </c>
      <c r="I77" s="61" t="s">
        <v>637</v>
      </c>
      <c r="J77" s="59" t="s">
        <v>30</v>
      </c>
      <c r="K77" s="59"/>
      <c r="L77" s="59" t="s">
        <v>279</v>
      </c>
      <c r="M77" s="69"/>
    </row>
    <row r="78" spans="1:16" s="93" customFormat="1">
      <c r="A78" s="59">
        <v>63</v>
      </c>
      <c r="B78" s="81" t="s">
        <v>642</v>
      </c>
      <c r="C78" s="166" t="s">
        <v>610</v>
      </c>
      <c r="D78" s="59" t="s">
        <v>30</v>
      </c>
      <c r="E78" s="127" t="s">
        <v>34</v>
      </c>
      <c r="F78" s="59" t="s">
        <v>30</v>
      </c>
      <c r="G78" s="83" t="s">
        <v>611</v>
      </c>
      <c r="H78" s="59" t="s">
        <v>612</v>
      </c>
      <c r="I78" s="166" t="s">
        <v>609</v>
      </c>
      <c r="J78" s="67" t="s">
        <v>127</v>
      </c>
      <c r="K78" s="67">
        <v>1</v>
      </c>
      <c r="L78" s="77" t="s">
        <v>608</v>
      </c>
      <c r="M78" s="167" t="s">
        <v>613</v>
      </c>
      <c r="N78" s="168"/>
      <c r="O78" s="169"/>
    </row>
    <row r="79" spans="1:16" s="91" customFormat="1">
      <c r="A79" s="65">
        <f t="shared" ref="A79:A81" si="3">ROW(A79)-5</f>
        <v>74</v>
      </c>
      <c r="B79" s="170" t="s">
        <v>604</v>
      </c>
      <c r="C79" s="65" t="s">
        <v>615</v>
      </c>
      <c r="D79" s="171" t="s">
        <v>14</v>
      </c>
      <c r="E79" s="65" t="s">
        <v>34</v>
      </c>
      <c r="F79" s="65" t="s">
        <v>14</v>
      </c>
      <c r="G79" s="172" t="s">
        <v>616</v>
      </c>
      <c r="H79" s="173" t="s">
        <v>51</v>
      </c>
      <c r="I79" s="65" t="s">
        <v>615</v>
      </c>
      <c r="J79" s="171" t="s">
        <v>14</v>
      </c>
      <c r="K79" s="174">
        <v>3</v>
      </c>
      <c r="L79" s="173" t="s">
        <v>129</v>
      </c>
      <c r="M79" s="175" t="s">
        <v>620</v>
      </c>
      <c r="N79" s="168"/>
      <c r="O79" s="169"/>
      <c r="P79" s="176"/>
    </row>
    <row r="80" spans="1:16" s="91" customFormat="1">
      <c r="A80" s="65">
        <f t="shared" si="3"/>
        <v>75</v>
      </c>
      <c r="B80" s="170" t="s">
        <v>605</v>
      </c>
      <c r="C80" s="65" t="s">
        <v>617</v>
      </c>
      <c r="D80" s="171" t="s">
        <v>14</v>
      </c>
      <c r="E80" s="65" t="s">
        <v>34</v>
      </c>
      <c r="F80" s="65" t="s">
        <v>14</v>
      </c>
      <c r="G80" s="177" t="s">
        <v>618</v>
      </c>
      <c r="H80" s="173" t="s">
        <v>51</v>
      </c>
      <c r="I80" s="65" t="s">
        <v>617</v>
      </c>
      <c r="J80" s="171" t="s">
        <v>14</v>
      </c>
      <c r="K80" s="178">
        <v>4</v>
      </c>
      <c r="L80" s="173" t="s">
        <v>129</v>
      </c>
      <c r="M80" s="167" t="s">
        <v>619</v>
      </c>
      <c r="N80" s="168"/>
      <c r="O80" s="169"/>
      <c r="P80" s="176"/>
    </row>
    <row r="81" spans="1:16" s="25" customFormat="1" ht="15">
      <c r="A81" s="117">
        <f t="shared" si="3"/>
        <v>76</v>
      </c>
      <c r="B81" s="48" t="s">
        <v>606</v>
      </c>
      <c r="C81" s="117" t="s">
        <v>182</v>
      </c>
      <c r="D81" s="117" t="s">
        <v>128</v>
      </c>
      <c r="E81" s="125" t="s">
        <v>34</v>
      </c>
      <c r="F81" s="117" t="s">
        <v>128</v>
      </c>
      <c r="G81" s="54" t="s">
        <v>234</v>
      </c>
      <c r="H81" s="117" t="s">
        <v>156</v>
      </c>
      <c r="I81" s="117" t="s">
        <v>182</v>
      </c>
      <c r="J81" s="51" t="s">
        <v>127</v>
      </c>
      <c r="K81" s="51">
        <v>1</v>
      </c>
      <c r="L81" s="53" t="s">
        <v>129</v>
      </c>
      <c r="M81" s="143"/>
      <c r="N81" s="140"/>
      <c r="O81" s="140"/>
      <c r="P81" s="140"/>
    </row>
    <row r="82" spans="1:16">
      <c r="B82" s="3"/>
      <c r="C82" s="2"/>
      <c r="H82" s="5"/>
      <c r="I82" s="2"/>
      <c r="N82" s="138"/>
      <c r="O82" s="138"/>
      <c r="P82" s="138"/>
    </row>
    <row r="83" spans="1:16">
      <c r="A83" s="17"/>
      <c r="B83" s="1" t="s">
        <v>15</v>
      </c>
      <c r="C83" s="10" t="s">
        <v>16</v>
      </c>
      <c r="D83" s="18"/>
      <c r="E83" s="17"/>
      <c r="F83" s="17"/>
      <c r="G83" s="4"/>
      <c r="H83" s="17"/>
      <c r="I83" s="17"/>
      <c r="J83" s="17"/>
      <c r="L83" s="17"/>
      <c r="N83" s="138"/>
      <c r="O83" s="138"/>
      <c r="P83" s="138"/>
    </row>
    <row r="84" spans="1:16">
      <c r="A84" s="17"/>
      <c r="B84" s="17"/>
      <c r="C84" s="15" t="s">
        <v>5</v>
      </c>
      <c r="D84" s="17"/>
      <c r="E84" s="17"/>
      <c r="F84" s="17"/>
      <c r="G84" s="16"/>
      <c r="H84" s="17"/>
      <c r="I84" s="17"/>
      <c r="J84" s="17"/>
      <c r="L84" s="17"/>
    </row>
    <row r="85" spans="1:16">
      <c r="A85" s="17"/>
      <c r="B85" s="17"/>
      <c r="C85" s="19" t="s">
        <v>6</v>
      </c>
      <c r="D85" s="17"/>
      <c r="E85" s="17"/>
      <c r="F85" s="17"/>
      <c r="G85" s="16"/>
      <c r="H85" s="17"/>
      <c r="I85" s="17"/>
      <c r="J85" s="17"/>
      <c r="L85" s="17"/>
    </row>
    <row r="86" spans="1:16">
      <c r="C86" s="20" t="s">
        <v>52</v>
      </c>
      <c r="G86" s="18"/>
    </row>
    <row r="87" spans="1:16" ht="47.25">
      <c r="C87" s="29" t="s">
        <v>53</v>
      </c>
    </row>
    <row r="88" spans="1:16">
      <c r="K88" s="7"/>
    </row>
    <row r="89" spans="1:16">
      <c r="G89" s="22"/>
    </row>
  </sheetData>
  <autoFilter ref="A5:L81" xr:uid="{00000000-0009-0000-0000-000001000000}"/>
  <mergeCells count="4">
    <mergeCell ref="A3:B3"/>
    <mergeCell ref="A4:B4"/>
    <mergeCell ref="A1:M1"/>
    <mergeCell ref="A2:M2"/>
  </mergeCells>
  <phoneticPr fontId="18" type="noConversion"/>
  <conditionalFormatting sqref="A1:A2 A27:B27 D27 J27:XFD27 C23:C24 A28:XFD28 I33:XFD34 A33:G34 C52:C53 F27:H27 C57:C71 C26:C28 A26:D26 E27:E29 B36:C37 C39:C44 B39:B41 A11:D17 E6:E8 A57:B77 F26:XFD26 E11:E24 F11:XFD17">
    <cfRule type="containsText" dxfId="579" priority="334" operator="containsText" text="TBD">
      <formula>NOT(ISERROR(SEARCH("TBD",A1)))</formula>
    </cfRule>
  </conditionalFormatting>
  <conditionalFormatting sqref="A58:A74 C74:D74 F74:L74">
    <cfRule type="containsText" dxfId="578" priority="275" operator="containsText" text="TBD">
      <formula>NOT(ISERROR(SEARCH("TBD",A58)))</formula>
    </cfRule>
  </conditionalFormatting>
  <conditionalFormatting sqref="A36:A37 D36:G37 J36:XFD37">
    <cfRule type="containsText" dxfId="577" priority="234" operator="containsText" text="TBD">
      <formula>NOT(ISERROR(SEARCH("TBD",A36)))</formula>
    </cfRule>
  </conditionalFormatting>
  <conditionalFormatting sqref="A3:L8 A20:D20 F20:L20 A18:L19 A9:D10 F9:L10">
    <cfRule type="containsText" dxfId="576" priority="239" operator="containsText" text="TBD">
      <formula>NOT(ISERROR(SEARCH("TBD",A3)))</formula>
    </cfRule>
  </conditionalFormatting>
  <conditionalFormatting sqref="A52:L52">
    <cfRule type="containsText" dxfId="575" priority="272" operator="containsText" text="TBD">
      <formula>NOT(ISERROR(SEARCH("TBD",A52)))</formula>
    </cfRule>
  </conditionalFormatting>
  <conditionalFormatting sqref="A1:XFD6">
    <cfRule type="containsText" dxfId="574" priority="255" operator="containsText" text="TBD">
      <formula>NOT(ISERROR(SEARCH("TBD",A1)))</formula>
    </cfRule>
  </conditionalFormatting>
  <conditionalFormatting sqref="A20:D24 F20:XFD24 A18:XFD19">
    <cfRule type="containsText" dxfId="573" priority="233" operator="containsText" text="TBD">
      <formula>NOT(ISERROR(SEARCH("TBD",A18)))</formula>
    </cfRule>
  </conditionalFormatting>
  <conditionalFormatting sqref="A82:XFD1048576 I57:XFD57 A39:A41 I39:XFD41 I43:XFD43 C39:G40 C41:F41 A42:F44 H44:XFD44 H42:XFD42 H76:H77 D76:D77 J76:XFD77 A54:B54 J54:XFD54 C57:D75 F58:XFD75 F76:F77 A52:XFD53 D54:F54 F57:G57 F81:XFD81 A81:D81">
    <cfRule type="containsText" dxfId="572" priority="232" operator="containsText" text="TBD">
      <formula>NOT(ISERROR(SEARCH("TBD",A39)))</formula>
    </cfRule>
  </conditionalFormatting>
  <conditionalFormatting sqref="C27">
    <cfRule type="duplicateValues" dxfId="571" priority="237"/>
    <cfRule type="duplicateValues" dxfId="570" priority="238"/>
  </conditionalFormatting>
  <conditionalFormatting sqref="C53">
    <cfRule type="containsText" dxfId="569" priority="242" operator="containsText" text="TBD">
      <formula>NOT(ISERROR(SEARCH("TBD",C53)))</formula>
    </cfRule>
  </conditionalFormatting>
  <conditionalFormatting sqref="C62">
    <cfRule type="containsText" dxfId="568" priority="254" operator="containsText" text="TBD">
      <formula>NOT(ISERROR(SEARCH("TBD",C62)))</formula>
    </cfRule>
  </conditionalFormatting>
  <conditionalFormatting sqref="C81">
    <cfRule type="containsText" dxfId="567" priority="282" operator="containsText" text="TBD">
      <formula>NOT(ISERROR(SEARCH("TBD",C81)))</formula>
    </cfRule>
  </conditionalFormatting>
  <conditionalFormatting sqref="C83:C86">
    <cfRule type="containsText" dxfId="566" priority="329" operator="containsText" text="TBD">
      <formula>NOT(ISERROR(SEARCH("TBD",C83)))</formula>
    </cfRule>
  </conditionalFormatting>
  <conditionalFormatting sqref="C58:D69 F58:L69">
    <cfRule type="containsText" dxfId="565" priority="287" operator="containsText" text="TBD">
      <formula>NOT(ISERROR(SEARCH("TBD",C58)))</formula>
    </cfRule>
  </conditionalFormatting>
  <conditionalFormatting sqref="H81">
    <cfRule type="containsText" dxfId="564" priority="309" operator="containsText" text="TBD">
      <formula>NOT(ISERROR(SEARCH("TBD",H81)))</formula>
    </cfRule>
  </conditionalFormatting>
  <conditionalFormatting sqref="I57">
    <cfRule type="containsText" dxfId="563" priority="243" operator="containsText" text="TBD">
      <formula>NOT(ISERROR(SEARCH("TBD",I57)))</formula>
    </cfRule>
  </conditionalFormatting>
  <conditionalFormatting sqref="I27">
    <cfRule type="duplicateValues" dxfId="562" priority="235"/>
    <cfRule type="duplicateValues" dxfId="561" priority="236"/>
  </conditionalFormatting>
  <conditionalFormatting sqref="I81">
    <cfRule type="containsText" dxfId="560" priority="241" operator="containsText" text="TBD">
      <formula>NOT(ISERROR(SEARCH("TBD",I81)))</formula>
    </cfRule>
  </conditionalFormatting>
  <conditionalFormatting sqref="M5">
    <cfRule type="containsText" dxfId="559" priority="302" operator="containsText" text="TBD">
      <formula>NOT(ISERROR(SEARCH("TBD",M5)))</formula>
    </cfRule>
  </conditionalFormatting>
  <conditionalFormatting sqref="M10:XFD10 N7:XFD9">
    <cfRule type="containsText" dxfId="558" priority="240" operator="containsText" text="TBD">
      <formula>NOT(ISERROR(SEARCH("TBD",M7)))</formula>
    </cfRule>
  </conditionalFormatting>
  <conditionalFormatting sqref="H57">
    <cfRule type="containsText" dxfId="557" priority="230" operator="containsText" text="TBD">
      <formula>NOT(ISERROR(SEARCH("TBD",H57)))</formula>
    </cfRule>
  </conditionalFormatting>
  <conditionalFormatting sqref="C57">
    <cfRule type="containsText" dxfId="556" priority="231" operator="containsText" text="TBD">
      <formula>NOT(ISERROR(SEARCH("TBD",C57)))</formula>
    </cfRule>
  </conditionalFormatting>
  <conditionalFormatting sqref="C29">
    <cfRule type="containsText" dxfId="555" priority="228" operator="containsText" text="TBD">
      <formula>NOT(ISERROR(SEARCH("TBD",C29)))</formula>
    </cfRule>
  </conditionalFormatting>
  <conditionalFormatting sqref="A29:L29 N29:XFD29">
    <cfRule type="containsText" dxfId="554" priority="227" operator="containsText" text="TBD">
      <formula>NOT(ISERROR(SEARCH("TBD",A29)))</formula>
    </cfRule>
  </conditionalFormatting>
  <conditionalFormatting sqref="G41">
    <cfRule type="containsText" dxfId="553" priority="224" operator="containsText" text="TBD">
      <formula>NOT(ISERROR(SEARCH("TBD",G41)))</formula>
    </cfRule>
  </conditionalFormatting>
  <conditionalFormatting sqref="G42">
    <cfRule type="containsText" dxfId="552" priority="223" operator="containsText" text="TBD">
      <formula>NOT(ISERROR(SEARCH("TBD",G42)))</formula>
    </cfRule>
  </conditionalFormatting>
  <conditionalFormatting sqref="G43:G44">
    <cfRule type="containsText" dxfId="551" priority="222" operator="containsText" text="TBD">
      <formula>NOT(ISERROR(SEARCH("TBD",G43)))</formula>
    </cfRule>
  </conditionalFormatting>
  <conditionalFormatting sqref="H33:H34 H36:H37 H39:H41">
    <cfRule type="containsText" dxfId="550" priority="221" operator="containsText" text="TBD">
      <formula>NOT(ISERROR(SEARCH("TBD",H33)))</formula>
    </cfRule>
  </conditionalFormatting>
  <conditionalFormatting sqref="H43">
    <cfRule type="containsText" dxfId="549" priority="220" operator="containsText" text="TBD">
      <formula>NOT(ISERROR(SEARCH("TBD",H43)))</formula>
    </cfRule>
  </conditionalFormatting>
  <conditionalFormatting sqref="G76:G77">
    <cfRule type="containsText" dxfId="548" priority="218" operator="containsText" text="TBD">
      <formula>NOT(ISERROR(SEARCH("TBD",G76)))</formula>
    </cfRule>
  </conditionalFormatting>
  <conditionalFormatting sqref="C76:C77">
    <cfRule type="containsText" dxfId="547" priority="213" operator="containsText" text="TBD">
      <formula>NOT(ISERROR(SEARCH("TBD",C76)))</formula>
    </cfRule>
  </conditionalFormatting>
  <conditionalFormatting sqref="G76:G77">
    <cfRule type="containsText" dxfId="546" priority="217" operator="containsText" text="TBD">
      <formula>NOT(ISERROR(SEARCH("TBD",G76)))</formula>
    </cfRule>
  </conditionalFormatting>
  <conditionalFormatting sqref="I76">
    <cfRule type="containsText" dxfId="545" priority="212" operator="containsText" text="TBD">
      <formula>NOT(ISERROR(SEARCH("TBD",I76)))</formula>
    </cfRule>
  </conditionalFormatting>
  <conditionalFormatting sqref="I76:I77">
    <cfRule type="containsText" dxfId="544" priority="211" operator="containsText" text="TBD">
      <formula>NOT(ISERROR(SEARCH("TBD",I76)))</formula>
    </cfRule>
  </conditionalFormatting>
  <conditionalFormatting sqref="C76">
    <cfRule type="containsText" dxfId="543" priority="214" operator="containsText" text="TBD">
      <formula>NOT(ISERROR(SEARCH("TBD",C76)))</formula>
    </cfRule>
  </conditionalFormatting>
  <conditionalFormatting sqref="A55:B55 J55:XFD55 D55 F55">
    <cfRule type="containsText" dxfId="542" priority="207" operator="containsText" text="TBD">
      <formula>NOT(ISERROR(SEARCH("TBD",A55)))</formula>
    </cfRule>
  </conditionalFormatting>
  <conditionalFormatting sqref="M7:M9">
    <cfRule type="containsText" dxfId="541" priority="156" operator="containsText" text="TBD">
      <formula>NOT(ISERROR(SEARCH("TBD",M7)))</formula>
    </cfRule>
  </conditionalFormatting>
  <conditionalFormatting sqref="A56:B56 J56:XFD56 D56 F56">
    <cfRule type="containsText" dxfId="540" priority="203" operator="containsText" text="TBD">
      <formula>NOT(ISERROR(SEARCH("TBD",A56)))</formula>
    </cfRule>
  </conditionalFormatting>
  <conditionalFormatting sqref="H54:I56">
    <cfRule type="containsText" dxfId="539" priority="189" operator="containsText" text="TBD">
      <formula>NOT(ISERROR(SEARCH("TBD",H54)))</formula>
    </cfRule>
  </conditionalFormatting>
  <conditionalFormatting sqref="G54:G56">
    <cfRule type="containsText" dxfId="538" priority="188" operator="containsText" text="TBD">
      <formula>NOT(ISERROR(SEARCH("TBD",G54)))</formula>
    </cfRule>
  </conditionalFormatting>
  <conditionalFormatting sqref="H54:I56">
    <cfRule type="containsText" dxfId="537" priority="190" operator="containsText" text="TBD">
      <formula>NOT(ISERROR(SEARCH("TBD",H54)))</formula>
    </cfRule>
  </conditionalFormatting>
  <conditionalFormatting sqref="C54:C56">
    <cfRule type="containsText" dxfId="536" priority="193" operator="containsText" text="TBD">
      <formula>NOT(ISERROR(SEARCH("TBD",C54)))</formula>
    </cfRule>
  </conditionalFormatting>
  <conditionalFormatting sqref="C54:C56">
    <cfRule type="containsText" dxfId="535" priority="191" operator="containsText" text="TBD">
      <formula>NOT(ISERROR(SEARCH("TBD",C54)))</formula>
    </cfRule>
  </conditionalFormatting>
  <conditionalFormatting sqref="C54:C56">
    <cfRule type="containsText" dxfId="534" priority="192" operator="containsText" text="TBD">
      <formula>NOT(ISERROR(SEARCH("TBD",C54)))</formula>
    </cfRule>
  </conditionalFormatting>
  <conditionalFormatting sqref="E27">
    <cfRule type="containsText" dxfId="533" priority="174" operator="containsText" text="TBD">
      <formula>NOT(ISERROR(SEARCH("TBD",E27)))</formula>
    </cfRule>
  </conditionalFormatting>
  <conditionalFormatting sqref="E58:E77 E81">
    <cfRule type="containsText" dxfId="532" priority="168" operator="containsText" text="TBD">
      <formula>NOT(ISERROR(SEARCH("TBD",E58)))</formula>
    </cfRule>
  </conditionalFormatting>
  <conditionalFormatting sqref="C30">
    <cfRule type="containsText" dxfId="531" priority="150" operator="containsText" text="TBD">
      <formula>NOT(ISERROR(SEARCH("TBD",C30)))</formula>
    </cfRule>
  </conditionalFormatting>
  <conditionalFormatting sqref="E33:E34 E52:E54 E36:E37 E39:E44">
    <cfRule type="containsText" dxfId="530" priority="172" operator="containsText" text="TBD">
      <formula>NOT(ISERROR(SEARCH("TBD",E33)))</formula>
    </cfRule>
  </conditionalFormatting>
  <conditionalFormatting sqref="E27">
    <cfRule type="containsText" dxfId="529" priority="173" operator="containsText" text="TBD">
      <formula>NOT(ISERROR(SEARCH("TBD",E27)))</formula>
    </cfRule>
  </conditionalFormatting>
  <conditionalFormatting sqref="C25">
    <cfRule type="containsText" dxfId="528" priority="158" operator="containsText" text="TBD">
      <formula>NOT(ISERROR(SEARCH("TBD",C25)))</formula>
    </cfRule>
  </conditionalFormatting>
  <conditionalFormatting sqref="C30">
    <cfRule type="containsText" dxfId="527" priority="149" operator="containsText" text="TBD">
      <formula>NOT(ISERROR(SEARCH("TBD",C30)))</formula>
    </cfRule>
  </conditionalFormatting>
  <conditionalFormatting sqref="E20:E24">
    <cfRule type="containsText" dxfId="526" priority="170" operator="containsText" text="TBD">
      <formula>NOT(ISERROR(SEARCH("TBD",E20)))</formula>
    </cfRule>
  </conditionalFormatting>
  <conditionalFormatting sqref="E33:E34 E52:E54 E36:E37 E39:E44">
    <cfRule type="containsText" dxfId="525" priority="171" operator="containsText" text="TBD">
      <formula>NOT(ISERROR(SEARCH("TBD",E33)))</formula>
    </cfRule>
  </conditionalFormatting>
  <conditionalFormatting sqref="E58:E77 E81">
    <cfRule type="containsText" dxfId="524" priority="165" operator="containsText" text="TBD">
      <formula>NOT(ISERROR(SEARCH("TBD",E58)))</formula>
    </cfRule>
  </conditionalFormatting>
  <conditionalFormatting sqref="I30">
    <cfRule type="containsText" dxfId="523" priority="146" operator="containsText" text="TBD">
      <formula>NOT(ISERROR(SEARCH("TBD",I30)))</formula>
    </cfRule>
  </conditionalFormatting>
  <conditionalFormatting sqref="I25">
    <cfRule type="containsText" dxfId="522" priority="157" operator="containsText" text="TBD">
      <formula>NOT(ISERROR(SEARCH("TBD",I25)))</formula>
    </cfRule>
  </conditionalFormatting>
  <conditionalFormatting sqref="A25:B25 F25:H25 D25 J25:XFD25">
    <cfRule type="containsText" dxfId="521" priority="163" operator="containsText" text="TBD">
      <formula>NOT(ISERROR(SEARCH("TBD",A25)))</formula>
    </cfRule>
  </conditionalFormatting>
  <conditionalFormatting sqref="E20:E24">
    <cfRule type="containsText" dxfId="520" priority="169" operator="containsText" text="TBD">
      <formula>NOT(ISERROR(SEARCH("TBD",E20)))</formula>
    </cfRule>
  </conditionalFormatting>
  <conditionalFormatting sqref="G30">
    <cfRule type="containsText" dxfId="519" priority="148" operator="containsText" text="TBD">
      <formula>NOT(ISERROR(SEARCH("TBD",G30)))</formula>
    </cfRule>
  </conditionalFormatting>
  <conditionalFormatting sqref="E58:E77 E81">
    <cfRule type="containsText" dxfId="518" priority="167" operator="containsText" text="TBD">
      <formula>NOT(ISERROR(SEARCH("TBD",E58)))</formula>
    </cfRule>
  </conditionalFormatting>
  <conditionalFormatting sqref="I30">
    <cfRule type="containsText" dxfId="517" priority="147" operator="containsText" text="TBD">
      <formula>NOT(ISERROR(SEARCH("TBD",I30)))</formula>
    </cfRule>
  </conditionalFormatting>
  <conditionalFormatting sqref="E58:E77 E81">
    <cfRule type="containsText" dxfId="516" priority="166" operator="containsText" text="TBD">
      <formula>NOT(ISERROR(SEARCH("TBD",E58)))</formula>
    </cfRule>
  </conditionalFormatting>
  <conditionalFormatting sqref="E30:E32">
    <cfRule type="containsText" dxfId="515" priority="151" operator="containsText" text="TBD">
      <formula>NOT(ISERROR(SEARCH("TBD",E30)))</formula>
    </cfRule>
  </conditionalFormatting>
  <conditionalFormatting sqref="M30:M32">
    <cfRule type="containsText" dxfId="514" priority="145" operator="containsText" text="TBD">
      <formula>NOT(ISERROR(SEARCH("TBD",M30)))</formula>
    </cfRule>
  </conditionalFormatting>
  <conditionalFormatting sqref="E30:E32">
    <cfRule type="containsText" dxfId="513" priority="152" operator="containsText" text="TBD">
      <formula>NOT(ISERROR(SEARCH("TBD",E30)))</formula>
    </cfRule>
  </conditionalFormatting>
  <conditionalFormatting sqref="E45">
    <cfRule type="containsText" dxfId="512" priority="143" operator="containsText" text="TBD">
      <formula>NOT(ISERROR(SEARCH("TBD",E45)))</formula>
    </cfRule>
  </conditionalFormatting>
  <conditionalFormatting sqref="A30:B30 D30:F30 H30 J30:L30 N30:XFD30">
    <cfRule type="containsText" dxfId="511" priority="155" operator="containsText" text="TBD">
      <formula>NOT(ISERROR(SEARCH("TBD",A30)))</formula>
    </cfRule>
  </conditionalFormatting>
  <conditionalFormatting sqref="C31:C32">
    <cfRule type="containsText" dxfId="510" priority="154" operator="containsText" text="TBD">
      <formula>NOT(ISERROR(SEARCH("TBD",C31)))</formula>
    </cfRule>
  </conditionalFormatting>
  <conditionalFormatting sqref="A31:L32 N31:XFD32">
    <cfRule type="containsText" dxfId="509" priority="153" operator="containsText" text="TBD">
      <formula>NOT(ISERROR(SEARCH("TBD",A31)))</formula>
    </cfRule>
  </conditionalFormatting>
  <conditionalFormatting sqref="E45">
    <cfRule type="containsText" dxfId="508" priority="142" operator="containsText" text="TBD">
      <formula>NOT(ISERROR(SEARCH("TBD",E45)))</formula>
    </cfRule>
  </conditionalFormatting>
  <conditionalFormatting sqref="A45:B45 D45:F45 H45 J45:L45 N45:XFD45">
    <cfRule type="containsText" dxfId="507" priority="144" operator="containsText" text="TBD">
      <formula>NOT(ISERROR(SEARCH("TBD",A45)))</formula>
    </cfRule>
  </conditionalFormatting>
  <conditionalFormatting sqref="C45 C47">
    <cfRule type="containsText" dxfId="506" priority="141" operator="containsText" text="TBD">
      <formula>NOT(ISERROR(SEARCH("TBD",C45)))</formula>
    </cfRule>
  </conditionalFormatting>
  <conditionalFormatting sqref="A47:B47 D47:F47 H47 J47:L47 N47:XFD47">
    <cfRule type="containsText" dxfId="505" priority="132" operator="containsText" text="TBD">
      <formula>NOT(ISERROR(SEARCH("TBD",A47)))</formula>
    </cfRule>
  </conditionalFormatting>
  <conditionalFormatting sqref="C45 C47">
    <cfRule type="containsText" dxfId="504" priority="140" operator="containsText" text="TBD">
      <formula>NOT(ISERROR(SEARCH("TBD",C45)))</formula>
    </cfRule>
  </conditionalFormatting>
  <conditionalFormatting sqref="C49">
    <cfRule type="containsText" dxfId="503" priority="120" operator="containsText" text="TBD">
      <formula>NOT(ISERROR(SEARCH("TBD",C49)))</formula>
    </cfRule>
  </conditionalFormatting>
  <conditionalFormatting sqref="E47">
    <cfRule type="containsText" dxfId="502" priority="131" operator="containsText" text="TBD">
      <formula>NOT(ISERROR(SEARCH("TBD",E47)))</formula>
    </cfRule>
  </conditionalFormatting>
  <conditionalFormatting sqref="E47">
    <cfRule type="containsText" dxfId="501" priority="130" operator="containsText" text="TBD">
      <formula>NOT(ISERROR(SEARCH("TBD",E47)))</formula>
    </cfRule>
  </conditionalFormatting>
  <conditionalFormatting sqref="E49">
    <cfRule type="containsText" dxfId="500" priority="122" operator="containsText" text="TBD">
      <formula>NOT(ISERROR(SEARCH("TBD",E49)))</formula>
    </cfRule>
  </conditionalFormatting>
  <conditionalFormatting sqref="M45">
    <cfRule type="containsText" dxfId="499" priority="136" operator="containsText" text="TBD">
      <formula>NOT(ISERROR(SEARCH("TBD",M45)))</formula>
    </cfRule>
  </conditionalFormatting>
  <conditionalFormatting sqref="C50">
    <cfRule type="containsText" dxfId="498" priority="111" operator="containsText" text="TBD">
      <formula>NOT(ISERROR(SEARCH("TBD",C50)))</formula>
    </cfRule>
  </conditionalFormatting>
  <conditionalFormatting sqref="M47">
    <cfRule type="containsText" dxfId="497" priority="124" operator="containsText" text="TBD">
      <formula>NOT(ISERROR(SEARCH("TBD",M47)))</formula>
    </cfRule>
  </conditionalFormatting>
  <conditionalFormatting sqref="E50">
    <cfRule type="containsText" dxfId="496" priority="112" operator="containsText" text="TBD">
      <formula>NOT(ISERROR(SEARCH("TBD",E50)))</formula>
    </cfRule>
  </conditionalFormatting>
  <conditionalFormatting sqref="I47">
    <cfRule type="containsText" dxfId="495" priority="103" operator="containsText" text="TBD">
      <formula>NOT(ISERROR(SEARCH("TBD",I47)))</formula>
    </cfRule>
  </conditionalFormatting>
  <conditionalFormatting sqref="E49">
    <cfRule type="containsText" dxfId="494" priority="121" operator="containsText" text="TBD">
      <formula>NOT(ISERROR(SEARCH("TBD",E49)))</formula>
    </cfRule>
  </conditionalFormatting>
  <conditionalFormatting sqref="C49">
    <cfRule type="containsText" dxfId="493" priority="119" operator="containsText" text="TBD">
      <formula>NOT(ISERROR(SEARCH("TBD",C49)))</formula>
    </cfRule>
  </conditionalFormatting>
  <conditionalFormatting sqref="G47">
    <cfRule type="containsText" dxfId="492" priority="127" operator="containsText" text="TBD">
      <formula>NOT(ISERROR(SEARCH("TBD",G47)))</formula>
    </cfRule>
  </conditionalFormatting>
  <conditionalFormatting sqref="A49:B49 D49:F49 H49 J49:L49 N49:XFD49">
    <cfRule type="containsText" dxfId="491" priority="123" operator="containsText" text="TBD">
      <formula>NOT(ISERROR(SEARCH("TBD",A49)))</formula>
    </cfRule>
  </conditionalFormatting>
  <conditionalFormatting sqref="I49">
    <cfRule type="containsText" dxfId="490" priority="117" operator="containsText" text="TBD">
      <formula>NOT(ISERROR(SEARCH("TBD",I49)))</formula>
    </cfRule>
  </conditionalFormatting>
  <conditionalFormatting sqref="I49">
    <cfRule type="containsText" dxfId="489" priority="116" operator="containsText" text="TBD">
      <formula>NOT(ISERROR(SEARCH("TBD",I49)))</formula>
    </cfRule>
  </conditionalFormatting>
  <conditionalFormatting sqref="M49">
    <cfRule type="containsText" dxfId="488" priority="115" operator="containsText" text="TBD">
      <formula>NOT(ISERROR(SEARCH("TBD",M49)))</formula>
    </cfRule>
  </conditionalFormatting>
  <conditionalFormatting sqref="G45">
    <cfRule type="containsText" dxfId="487" priority="104" operator="containsText" text="TBD">
      <formula>NOT(ISERROR(SEARCH("TBD",G45)))</formula>
    </cfRule>
  </conditionalFormatting>
  <conditionalFormatting sqref="A50:B50 D50:F50 J50:L50 N50:XFD50">
    <cfRule type="containsText" dxfId="486" priority="114" operator="containsText" text="TBD">
      <formula>NOT(ISERROR(SEARCH("TBD",A50)))</formula>
    </cfRule>
  </conditionalFormatting>
  <conditionalFormatting sqref="I50">
    <cfRule type="containsText" dxfId="485" priority="108" operator="containsText" text="TBD">
      <formula>NOT(ISERROR(SEARCH("TBD",I50)))</formula>
    </cfRule>
  </conditionalFormatting>
  <conditionalFormatting sqref="E50">
    <cfRule type="containsText" dxfId="484" priority="113" operator="containsText" text="TBD">
      <formula>NOT(ISERROR(SEARCH("TBD",E50)))</formula>
    </cfRule>
  </conditionalFormatting>
  <conditionalFormatting sqref="C50">
    <cfRule type="containsText" dxfId="483" priority="110" operator="containsText" text="TBD">
      <formula>NOT(ISERROR(SEARCH("TBD",C50)))</formula>
    </cfRule>
  </conditionalFormatting>
  <conditionalFormatting sqref="G50">
    <cfRule type="containsText" dxfId="482" priority="109" operator="containsText" text="TBD">
      <formula>NOT(ISERROR(SEARCH("TBD",G50)))</formula>
    </cfRule>
  </conditionalFormatting>
  <conditionalFormatting sqref="I50">
    <cfRule type="containsText" dxfId="481" priority="107" operator="containsText" text="TBD">
      <formula>NOT(ISERROR(SEARCH("TBD",I50)))</formula>
    </cfRule>
  </conditionalFormatting>
  <conditionalFormatting sqref="I45">
    <cfRule type="containsText" dxfId="480" priority="105" operator="containsText" text="TBD">
      <formula>NOT(ISERROR(SEARCH("TBD",I45)))</formula>
    </cfRule>
  </conditionalFormatting>
  <conditionalFormatting sqref="E55:E56">
    <cfRule type="containsText" dxfId="479" priority="96" operator="containsText" text="TBD">
      <formula>NOT(ISERROR(SEARCH("TBD",E55)))</formula>
    </cfRule>
  </conditionalFormatting>
  <conditionalFormatting sqref="E55:E56">
    <cfRule type="containsText" dxfId="478" priority="95" operator="containsText" text="TBD">
      <formula>NOT(ISERROR(SEARCH("TBD",E55)))</formula>
    </cfRule>
  </conditionalFormatting>
  <conditionalFormatting sqref="G49">
    <cfRule type="containsText" dxfId="477" priority="102" operator="containsText" text="TBD">
      <formula>NOT(ISERROR(SEARCH("TBD",G49)))</formula>
    </cfRule>
  </conditionalFormatting>
  <conditionalFormatting sqref="H50">
    <cfRule type="containsText" dxfId="476" priority="101" operator="containsText" text="TBD">
      <formula>NOT(ISERROR(SEARCH("TBD",H50)))</formula>
    </cfRule>
  </conditionalFormatting>
  <conditionalFormatting sqref="M50">
    <cfRule type="containsText" dxfId="475" priority="100" operator="containsText" text="TBD">
      <formula>NOT(ISERROR(SEARCH("TBD",M50)))</formula>
    </cfRule>
  </conditionalFormatting>
  <conditionalFormatting sqref="E53">
    <cfRule type="containsText" dxfId="474" priority="99" operator="containsText" text="TBD">
      <formula>NOT(ISERROR(SEARCH("TBD",E53)))</formula>
    </cfRule>
  </conditionalFormatting>
  <conditionalFormatting sqref="E54">
    <cfRule type="containsText" dxfId="473" priority="98" operator="containsText" text="TBD">
      <formula>NOT(ISERROR(SEARCH("TBD",E54)))</formula>
    </cfRule>
  </conditionalFormatting>
  <conditionalFormatting sqref="E55:E56">
    <cfRule type="containsText" dxfId="472" priority="97" operator="containsText" text="TBD">
      <formula>NOT(ISERROR(SEARCH("TBD",E55)))</formula>
    </cfRule>
  </conditionalFormatting>
  <conditionalFormatting sqref="E46">
    <cfRule type="containsText" dxfId="471" priority="87" operator="containsText" text="TBD">
      <formula>NOT(ISERROR(SEARCH("TBD",E46)))</formula>
    </cfRule>
  </conditionalFormatting>
  <conditionalFormatting sqref="C46">
    <cfRule type="containsText" dxfId="470" priority="86" operator="containsText" text="TBD">
      <formula>NOT(ISERROR(SEARCH("TBD",C46)))</formula>
    </cfRule>
  </conditionalFormatting>
  <conditionalFormatting sqref="E55:E56">
    <cfRule type="containsText" dxfId="469" priority="94" operator="containsText" text="TBD">
      <formula>NOT(ISERROR(SEARCH("TBD",E55)))</formula>
    </cfRule>
  </conditionalFormatting>
  <conditionalFormatting sqref="E57">
    <cfRule type="containsText" dxfId="468" priority="91" operator="containsText" text="TBD">
      <formula>NOT(ISERROR(SEARCH("TBD",E57)))</formula>
    </cfRule>
  </conditionalFormatting>
  <conditionalFormatting sqref="E57">
    <cfRule type="containsText" dxfId="467" priority="93" operator="containsText" text="TBD">
      <formula>NOT(ISERROR(SEARCH("TBD",E57)))</formula>
    </cfRule>
  </conditionalFormatting>
  <conditionalFormatting sqref="E57">
    <cfRule type="containsText" dxfId="466" priority="92" operator="containsText" text="TBD">
      <formula>NOT(ISERROR(SEARCH("TBD",E57)))</formula>
    </cfRule>
  </conditionalFormatting>
  <conditionalFormatting sqref="M29">
    <cfRule type="containsText" dxfId="465" priority="90" operator="containsText" text="TBD">
      <formula>NOT(ISERROR(SEARCH("TBD",M29)))</formula>
    </cfRule>
  </conditionalFormatting>
  <conditionalFormatting sqref="G46">
    <cfRule type="containsText" dxfId="464" priority="82" operator="containsText" text="TBD">
      <formula>NOT(ISERROR(SEARCH("TBD",G46)))</formula>
    </cfRule>
  </conditionalFormatting>
  <conditionalFormatting sqref="I46">
    <cfRule type="containsText" dxfId="463" priority="83" operator="containsText" text="TBD">
      <formula>NOT(ISERROR(SEARCH("TBD",I46)))</formula>
    </cfRule>
  </conditionalFormatting>
  <conditionalFormatting sqref="A46:B46 D46:F46 H46 J46:L46 N46:XFD46">
    <cfRule type="containsText" dxfId="462" priority="89" operator="containsText" text="TBD">
      <formula>NOT(ISERROR(SEARCH("TBD",A46)))</formula>
    </cfRule>
  </conditionalFormatting>
  <conditionalFormatting sqref="E46">
    <cfRule type="containsText" dxfId="461" priority="88" operator="containsText" text="TBD">
      <formula>NOT(ISERROR(SEARCH("TBD",E46)))</formula>
    </cfRule>
  </conditionalFormatting>
  <conditionalFormatting sqref="C46">
    <cfRule type="containsText" dxfId="460" priority="85" operator="containsText" text="TBD">
      <formula>NOT(ISERROR(SEARCH("TBD",C46)))</formula>
    </cfRule>
  </conditionalFormatting>
  <conditionalFormatting sqref="M46">
    <cfRule type="containsText" dxfId="459" priority="84" operator="containsText" text="TBD">
      <formula>NOT(ISERROR(SEARCH("TBD",M46)))</formula>
    </cfRule>
  </conditionalFormatting>
  <conditionalFormatting sqref="C35">
    <cfRule type="containsText" dxfId="458" priority="64" operator="containsText" text="TBD">
      <formula>NOT(ISERROR(SEARCH("TBD",C35)))</formula>
    </cfRule>
  </conditionalFormatting>
  <conditionalFormatting sqref="E48">
    <cfRule type="containsText" dxfId="457" priority="79" operator="containsText" text="TBD">
      <formula>NOT(ISERROR(SEARCH("TBD",E48)))</formula>
    </cfRule>
  </conditionalFormatting>
  <conditionalFormatting sqref="A48:B48 D48:F48 J48:L48 N48:XFD48">
    <cfRule type="containsText" dxfId="456" priority="81" operator="containsText" text="TBD">
      <formula>NOT(ISERROR(SEARCH("TBD",A48)))</formula>
    </cfRule>
  </conditionalFormatting>
  <conditionalFormatting sqref="E48">
    <cfRule type="containsText" dxfId="455" priority="80" operator="containsText" text="TBD">
      <formula>NOT(ISERROR(SEARCH("TBD",E48)))</formula>
    </cfRule>
  </conditionalFormatting>
  <conditionalFormatting sqref="C48">
    <cfRule type="containsText" dxfId="454" priority="71" operator="containsText" text="TBD">
      <formula>NOT(ISERROR(SEARCH("TBD",C48)))</formula>
    </cfRule>
  </conditionalFormatting>
  <conditionalFormatting sqref="M48">
    <cfRule type="containsText" dxfId="453" priority="76" operator="containsText" text="TBD">
      <formula>NOT(ISERROR(SEARCH("TBD",M48)))</formula>
    </cfRule>
  </conditionalFormatting>
  <conditionalFormatting sqref="I48">
    <cfRule type="containsText" dxfId="452" priority="75" operator="containsText" text="TBD">
      <formula>NOT(ISERROR(SEARCH("TBD",I48)))</formula>
    </cfRule>
  </conditionalFormatting>
  <conditionalFormatting sqref="C48">
    <cfRule type="containsText" dxfId="451" priority="70" operator="containsText" text="TBD">
      <formula>NOT(ISERROR(SEARCH("TBD",C48)))</formula>
    </cfRule>
  </conditionalFormatting>
  <conditionalFormatting sqref="G48">
    <cfRule type="containsText" dxfId="450" priority="69" operator="containsText" text="TBD">
      <formula>NOT(ISERROR(SEARCH("TBD",G48)))</formula>
    </cfRule>
  </conditionalFormatting>
  <conditionalFormatting sqref="H48">
    <cfRule type="containsText" dxfId="449" priority="68" operator="containsText" text="TBD">
      <formula>NOT(ISERROR(SEARCH("TBD",H48)))</formula>
    </cfRule>
  </conditionalFormatting>
  <conditionalFormatting sqref="C35">
    <cfRule type="containsText" dxfId="448" priority="63" operator="containsText" text="TBD">
      <formula>NOT(ISERROR(SEARCH("TBD",C35)))</formula>
    </cfRule>
  </conditionalFormatting>
  <conditionalFormatting sqref="M35">
    <cfRule type="containsText" dxfId="447" priority="62" operator="containsText" text="TBD">
      <formula>NOT(ISERROR(SEARCH("TBD",M35)))</formula>
    </cfRule>
  </conditionalFormatting>
  <conditionalFormatting sqref="I35">
    <cfRule type="containsText" dxfId="446" priority="61" operator="containsText" text="TBD">
      <formula>NOT(ISERROR(SEARCH("TBD",I35)))</formula>
    </cfRule>
  </conditionalFormatting>
  <conditionalFormatting sqref="G35">
    <cfRule type="containsText" dxfId="445" priority="60" operator="containsText" text="TBD">
      <formula>NOT(ISERROR(SEARCH("TBD",G35)))</formula>
    </cfRule>
  </conditionalFormatting>
  <conditionalFormatting sqref="C38">
    <cfRule type="containsText" dxfId="444" priority="56" operator="containsText" text="TBD">
      <formula>NOT(ISERROR(SEARCH("TBD",C38)))</formula>
    </cfRule>
  </conditionalFormatting>
  <conditionalFormatting sqref="E35">
    <cfRule type="containsText" dxfId="443" priority="65" operator="containsText" text="TBD">
      <formula>NOT(ISERROR(SEARCH("TBD",E35)))</formula>
    </cfRule>
  </conditionalFormatting>
  <conditionalFormatting sqref="A35:B35 D35:F35 H35 J35:L35 N35:XFD35">
    <cfRule type="containsText" dxfId="442" priority="67" operator="containsText" text="TBD">
      <formula>NOT(ISERROR(SEARCH("TBD",A35)))</formula>
    </cfRule>
  </conditionalFormatting>
  <conditionalFormatting sqref="E35">
    <cfRule type="containsText" dxfId="441" priority="66" operator="containsText" text="TBD">
      <formula>NOT(ISERROR(SEARCH("TBD",E35)))</formula>
    </cfRule>
  </conditionalFormatting>
  <conditionalFormatting sqref="C38">
    <cfRule type="containsText" dxfId="440" priority="55" operator="containsText" text="TBD">
      <formula>NOT(ISERROR(SEARCH("TBD",C38)))</formula>
    </cfRule>
  </conditionalFormatting>
  <conditionalFormatting sqref="M38">
    <cfRule type="containsText" dxfId="439" priority="54" operator="containsText" text="TBD">
      <formula>NOT(ISERROR(SEARCH("TBD",M38)))</formula>
    </cfRule>
  </conditionalFormatting>
  <conditionalFormatting sqref="I38">
    <cfRule type="containsText" dxfId="438" priority="53" operator="containsText" text="TBD">
      <formula>NOT(ISERROR(SEARCH("TBD",I38)))</formula>
    </cfRule>
  </conditionalFormatting>
  <conditionalFormatting sqref="G38">
    <cfRule type="containsText" dxfId="437" priority="52" operator="containsText" text="TBD">
      <formula>NOT(ISERROR(SEARCH("TBD",G38)))</formula>
    </cfRule>
  </conditionalFormatting>
  <conditionalFormatting sqref="H51">
    <cfRule type="containsText" dxfId="436" priority="43" operator="containsText" text="TBD">
      <formula>NOT(ISERROR(SEARCH("TBD",H51)))</formula>
    </cfRule>
  </conditionalFormatting>
  <conditionalFormatting sqref="I51">
    <cfRule type="containsText" dxfId="435" priority="47" operator="containsText" text="TBD">
      <formula>NOT(ISERROR(SEARCH("TBD",I51)))</formula>
    </cfRule>
  </conditionalFormatting>
  <conditionalFormatting sqref="C51">
    <cfRule type="containsText" dxfId="434" priority="42" operator="containsText" text="TBD">
      <formula>NOT(ISERROR(SEARCH("TBD",C51)))</formula>
    </cfRule>
  </conditionalFormatting>
  <conditionalFormatting sqref="C51">
    <cfRule type="containsText" dxfId="433" priority="41" operator="containsText" text="TBD">
      <formula>NOT(ISERROR(SEARCH("TBD",C51)))</formula>
    </cfRule>
  </conditionalFormatting>
  <conditionalFormatting sqref="G51">
    <cfRule type="containsText" dxfId="432" priority="44" operator="containsText" text="TBD">
      <formula>NOT(ISERROR(SEARCH("TBD",G51)))</formula>
    </cfRule>
  </conditionalFormatting>
  <conditionalFormatting sqref="E25">
    <cfRule type="containsText" dxfId="431" priority="39" operator="containsText" text="TBD">
      <formula>NOT(ISERROR(SEARCH("TBD",E25)))</formula>
    </cfRule>
  </conditionalFormatting>
  <conditionalFormatting sqref="E38">
    <cfRule type="containsText" dxfId="430" priority="57" operator="containsText" text="TBD">
      <formula>NOT(ISERROR(SEARCH("TBD",E38)))</formula>
    </cfRule>
  </conditionalFormatting>
  <conditionalFormatting sqref="A38:B38 D38:F38 H38 J38:L38 N38:XFD38">
    <cfRule type="containsText" dxfId="429" priority="59" operator="containsText" text="TBD">
      <formula>NOT(ISERROR(SEARCH("TBD",A38)))</formula>
    </cfRule>
  </conditionalFormatting>
  <conditionalFormatting sqref="E38">
    <cfRule type="containsText" dxfId="428" priority="58" operator="containsText" text="TBD">
      <formula>NOT(ISERROR(SEARCH("TBD",E38)))</formula>
    </cfRule>
  </conditionalFormatting>
  <conditionalFormatting sqref="E51">
    <cfRule type="containsText" dxfId="427" priority="49" operator="containsText" text="TBD">
      <formula>NOT(ISERROR(SEARCH("TBD",E51)))</formula>
    </cfRule>
  </conditionalFormatting>
  <conditionalFormatting sqref="A51:B51 D51:F51 J51:L51 N51:XFD51">
    <cfRule type="containsText" dxfId="426" priority="51" operator="containsText" text="TBD">
      <formula>NOT(ISERROR(SEARCH("TBD",A51)))</formula>
    </cfRule>
  </conditionalFormatting>
  <conditionalFormatting sqref="E51">
    <cfRule type="containsText" dxfId="425" priority="50" operator="containsText" text="TBD">
      <formula>NOT(ISERROR(SEARCH("TBD",E51)))</formula>
    </cfRule>
  </conditionalFormatting>
  <conditionalFormatting sqref="M51">
    <cfRule type="containsText" dxfId="424" priority="40" operator="containsText" text="TBD">
      <formula>NOT(ISERROR(SEARCH("TBD",M51)))</formula>
    </cfRule>
  </conditionalFormatting>
  <conditionalFormatting sqref="H78">
    <cfRule type="containsText" dxfId="423" priority="23" operator="containsText" text="TBD">
      <formula>NOT(ISERROR(SEARCH("TBD",H78)))</formula>
    </cfRule>
  </conditionalFormatting>
  <conditionalFormatting sqref="M78:XFD78">
    <cfRule type="containsText" dxfId="422" priority="28" operator="containsText" text="TBD">
      <formula>NOT(ISERROR(SEARCH("TBD",M78)))</formula>
    </cfRule>
  </conditionalFormatting>
  <conditionalFormatting sqref="E78">
    <cfRule type="containsText" dxfId="421" priority="21" operator="containsText" text="TBD">
      <formula>NOT(ISERROR(SEARCH("TBD",E78)))</formula>
    </cfRule>
  </conditionalFormatting>
  <conditionalFormatting sqref="E78">
    <cfRule type="containsText" dxfId="420" priority="18" operator="containsText" text="TBD">
      <formula>NOT(ISERROR(SEARCH("TBD",E78)))</formula>
    </cfRule>
  </conditionalFormatting>
  <conditionalFormatting sqref="E78">
    <cfRule type="containsText" dxfId="419" priority="20" operator="containsText" text="TBD">
      <formula>NOT(ISERROR(SEARCH("TBD",E78)))</formula>
    </cfRule>
  </conditionalFormatting>
  <conditionalFormatting sqref="E78">
    <cfRule type="containsText" dxfId="418" priority="19" operator="containsText" text="TBD">
      <formula>NOT(ISERROR(SEARCH("TBD",E78)))</formula>
    </cfRule>
  </conditionalFormatting>
  <conditionalFormatting sqref="A78:D78 F78:L78">
    <cfRule type="containsText" dxfId="417" priority="22" operator="containsText" text="TBD">
      <formula>NOT(ISERROR(SEARCH("TBD",A78)))</formula>
    </cfRule>
  </conditionalFormatting>
  <conditionalFormatting sqref="A79:I79">
    <cfRule type="containsText" dxfId="416" priority="15" operator="containsText" text="TBD">
      <formula>NOT(ISERROR(SEARCH("TBD",A79)))</formula>
    </cfRule>
  </conditionalFormatting>
  <conditionalFormatting sqref="J79">
    <cfRule type="containsText" dxfId="415" priority="17" operator="containsText" text="TBD">
      <formula>NOT(ISERROR(SEARCH("TBD",J79)))</formula>
    </cfRule>
  </conditionalFormatting>
  <conditionalFormatting sqref="K79:L79">
    <cfRule type="containsText" dxfId="414" priority="16" operator="containsText" text="TBD">
      <formula>NOT(ISERROR(SEARCH("TBD",K79)))</formula>
    </cfRule>
  </conditionalFormatting>
  <conditionalFormatting sqref="M80">
    <cfRule type="containsText" dxfId="413" priority="3" operator="containsText" text="Group A">
      <formula>NOT(ISERROR(SEARCH("Group A",M80)))</formula>
    </cfRule>
    <cfRule type="containsText" dxfId="412" priority="4" operator="containsText" text="Group B">
      <formula>NOT(ISERROR(SEARCH("Group B",M80)))</formula>
    </cfRule>
    <cfRule type="containsText" dxfId="411" priority="5" operator="containsText" text="Group A">
      <formula>NOT(ISERROR(SEARCH("Group A",M80)))</formula>
    </cfRule>
    <cfRule type="containsText" dxfId="410" priority="6" operator="containsText" text="Group A">
      <formula>NOT(ISERROR(SEARCH("Group A",M80)))</formula>
    </cfRule>
  </conditionalFormatting>
  <conditionalFormatting sqref="A80:H80">
    <cfRule type="containsText" dxfId="409" priority="9" operator="containsText" text="TBD">
      <formula>NOT(ISERROR(SEARCH("TBD",A80)))</formula>
    </cfRule>
  </conditionalFormatting>
  <conditionalFormatting sqref="J80">
    <cfRule type="containsText" dxfId="408" priority="10" operator="containsText" text="TBD">
      <formula>NOT(ISERROR(SEARCH("TBD",J80)))</formula>
    </cfRule>
  </conditionalFormatting>
  <conditionalFormatting sqref="I80">
    <cfRule type="containsText" dxfId="407" priority="7" operator="containsText" text="TBD">
      <formula>NOT(ISERROR(SEARCH("TBD",I80)))</formula>
    </cfRule>
  </conditionalFormatting>
  <conditionalFormatting sqref="K80:L80">
    <cfRule type="containsText" dxfId="406" priority="8" operator="containsText" text="TBD">
      <formula>NOT(ISERROR(SEARCH("TBD",K80)))</formula>
    </cfRule>
  </conditionalFormatting>
  <conditionalFormatting sqref="E9:E10">
    <cfRule type="containsText" dxfId="405" priority="2" operator="containsText" text="TBD">
      <formula>NOT(ISERROR(SEARCH("TBD",E9)))</formula>
    </cfRule>
  </conditionalFormatting>
  <conditionalFormatting sqref="E9:E10">
    <cfRule type="containsText" dxfId="404" priority="1" operator="containsText" text="TBD">
      <formula>NOT(ISERROR(SEARCH("TBD",E9)))</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EA63-61BA-409E-B3E9-648764AADB42}">
  <sheetPr>
    <tabColor rgb="FF92D050"/>
  </sheetPr>
  <dimension ref="A1:N90"/>
  <sheetViews>
    <sheetView zoomScale="115" zoomScaleNormal="115" workbookViewId="0">
      <pane ySplit="5" topLeftCell="A6" activePane="bottomLeft" state="frozen"/>
      <selection activeCell="G32" sqref="G32"/>
      <selection pane="bottomLeft" activeCell="A11" sqref="A11:XFD13"/>
    </sheetView>
  </sheetViews>
  <sheetFormatPr defaultColWidth="9" defaultRowHeight="15.75"/>
  <cols>
    <col min="1" max="1" width="9.125" style="6" bestFit="1" customWidth="1"/>
    <col min="2" max="2" width="8.125" style="6" bestFit="1" customWidth="1"/>
    <col min="3" max="3" width="23.125" style="6" bestFit="1" customWidth="1"/>
    <col min="4" max="4" width="20.375" style="6" bestFit="1" customWidth="1"/>
    <col min="5" max="5" width="17.625" style="6" customWidth="1"/>
    <col min="6" max="6" width="15.75" style="6" bestFit="1" customWidth="1"/>
    <col min="7" max="7" width="76.5" style="6" bestFit="1" customWidth="1"/>
    <col min="8" max="8" width="15.625" style="6" bestFit="1" customWidth="1"/>
    <col min="9" max="9" width="25.5" style="6" bestFit="1" customWidth="1"/>
    <col min="10" max="10" width="15.625" style="6" bestFit="1" customWidth="1"/>
    <col min="11" max="11" width="12.25" style="6" bestFit="1" customWidth="1"/>
    <col min="12" max="12" width="17.25" style="6" customWidth="1"/>
    <col min="13" max="13" width="36.875" style="6" customWidth="1"/>
    <col min="14" max="16384" width="9" style="6"/>
  </cols>
  <sheetData>
    <row r="1" spans="1:13">
      <c r="A1" s="152" t="s">
        <v>21</v>
      </c>
      <c r="B1" s="153"/>
      <c r="C1" s="153"/>
      <c r="D1" s="153"/>
      <c r="E1" s="153"/>
      <c r="F1" s="153"/>
      <c r="G1" s="153"/>
      <c r="H1" s="153"/>
      <c r="I1" s="153"/>
      <c r="J1" s="153"/>
      <c r="K1" s="153"/>
      <c r="L1" s="153"/>
      <c r="M1" s="154"/>
    </row>
    <row r="2" spans="1:13">
      <c r="A2" s="152" t="s">
        <v>0</v>
      </c>
      <c r="B2" s="153"/>
      <c r="C2" s="153"/>
      <c r="D2" s="153"/>
      <c r="E2" s="153"/>
      <c r="F2" s="153"/>
      <c r="G2" s="153"/>
      <c r="H2" s="153"/>
      <c r="I2" s="153"/>
      <c r="J2" s="153"/>
      <c r="K2" s="153"/>
      <c r="L2" s="153"/>
      <c r="M2" s="154"/>
    </row>
    <row r="3" spans="1:13" s="8" customFormat="1">
      <c r="A3" s="150" t="s">
        <v>7</v>
      </c>
      <c r="B3" s="150"/>
      <c r="C3" s="30" t="str">
        <f>C6</f>
        <v>1A72CF400-600-G</v>
      </c>
      <c r="D3" s="26" t="s">
        <v>1</v>
      </c>
      <c r="E3" s="27" t="s">
        <v>14</v>
      </c>
      <c r="F3" s="26"/>
      <c r="G3" s="26"/>
      <c r="H3" s="26"/>
      <c r="I3" s="26"/>
      <c r="J3" s="26"/>
      <c r="K3" s="26"/>
      <c r="L3" s="26"/>
      <c r="M3" s="44"/>
    </row>
    <row r="4" spans="1:13" s="8" customFormat="1">
      <c r="A4" s="155" t="s">
        <v>8</v>
      </c>
      <c r="B4" s="155"/>
      <c r="C4" s="40" t="str">
        <f>E6</f>
        <v>01-101139(Samsung)
01-101140 (Micron)
01-101141 (WD)</v>
      </c>
      <c r="D4" s="41" t="s">
        <v>9</v>
      </c>
      <c r="E4" s="42" t="s">
        <v>14</v>
      </c>
      <c r="F4" s="41" t="s">
        <v>10</v>
      </c>
      <c r="G4" s="13" t="str">
        <f>G6</f>
        <v>Maxwell Mercury_L10 Compute Tray Assy_Sun-Ref</v>
      </c>
      <c r="H4" s="41"/>
      <c r="I4" s="41"/>
      <c r="J4" s="41"/>
      <c r="K4" s="41"/>
      <c r="L4" s="41"/>
      <c r="M4" s="44"/>
    </row>
    <row r="5" spans="1:13" s="21" customFormat="1" ht="30">
      <c r="A5" s="28" t="s">
        <v>2</v>
      </c>
      <c r="B5" s="28" t="s">
        <v>3</v>
      </c>
      <c r="C5" s="28" t="s">
        <v>11</v>
      </c>
      <c r="D5" s="28" t="s">
        <v>12</v>
      </c>
      <c r="E5" s="28" t="s">
        <v>35</v>
      </c>
      <c r="F5" s="28" t="s">
        <v>13</v>
      </c>
      <c r="G5" s="28" t="s">
        <v>18</v>
      </c>
      <c r="H5" s="28" t="s">
        <v>31</v>
      </c>
      <c r="I5" s="28" t="s">
        <v>19</v>
      </c>
      <c r="J5" s="28" t="s">
        <v>4</v>
      </c>
      <c r="K5" s="28" t="s">
        <v>22</v>
      </c>
      <c r="L5" s="28" t="s">
        <v>49</v>
      </c>
      <c r="M5" s="28" t="s">
        <v>15</v>
      </c>
    </row>
    <row r="6" spans="1:13" ht="60">
      <c r="A6" s="11">
        <f>ROW(A6)-5</f>
        <v>1</v>
      </c>
      <c r="B6" s="50" t="s">
        <v>36</v>
      </c>
      <c r="C6" s="53" t="s">
        <v>337</v>
      </c>
      <c r="D6" s="11" t="s">
        <v>17</v>
      </c>
      <c r="E6" s="125" t="s">
        <v>649</v>
      </c>
      <c r="F6" s="11" t="s">
        <v>14</v>
      </c>
      <c r="G6" s="13" t="s">
        <v>312</v>
      </c>
      <c r="H6" s="11" t="s">
        <v>20</v>
      </c>
      <c r="I6" s="53" t="str">
        <f>C6</f>
        <v>1A72CF400-600-G</v>
      </c>
      <c r="J6" s="11" t="s">
        <v>14</v>
      </c>
      <c r="K6" s="11">
        <v>1</v>
      </c>
      <c r="L6" s="11" t="s">
        <v>14</v>
      </c>
      <c r="M6" s="144" t="s">
        <v>650</v>
      </c>
    </row>
    <row r="7" spans="1:13" ht="63">
      <c r="A7" s="59">
        <f>ROW(A7)-5</f>
        <v>2</v>
      </c>
      <c r="B7" s="60" t="s">
        <v>29</v>
      </c>
      <c r="C7" s="61" t="s">
        <v>222</v>
      </c>
      <c r="D7" s="59" t="s">
        <v>17</v>
      </c>
      <c r="E7" s="59" t="s">
        <v>34</v>
      </c>
      <c r="F7" s="59" t="s">
        <v>14</v>
      </c>
      <c r="G7" s="62" t="s">
        <v>193</v>
      </c>
      <c r="H7" s="59" t="s">
        <v>40</v>
      </c>
      <c r="I7" s="63" t="s">
        <v>220</v>
      </c>
      <c r="J7" s="59" t="s">
        <v>14</v>
      </c>
      <c r="K7" s="59">
        <v>1</v>
      </c>
      <c r="L7" s="59" t="s">
        <v>42</v>
      </c>
      <c r="M7" s="121" t="s">
        <v>484</v>
      </c>
    </row>
    <row r="8" spans="1:13" ht="63">
      <c r="A8" s="59">
        <f>ROW(A8)-5</f>
        <v>3</v>
      </c>
      <c r="B8" s="60" t="s">
        <v>37</v>
      </c>
      <c r="C8" s="61" t="s">
        <v>358</v>
      </c>
      <c r="D8" s="59" t="s">
        <v>17</v>
      </c>
      <c r="E8" s="59" t="s">
        <v>34</v>
      </c>
      <c r="F8" s="59" t="s">
        <v>14</v>
      </c>
      <c r="G8" s="62" t="s">
        <v>239</v>
      </c>
      <c r="H8" s="59" t="s">
        <v>40</v>
      </c>
      <c r="I8" s="61" t="s">
        <v>359</v>
      </c>
      <c r="J8" s="59" t="s">
        <v>14</v>
      </c>
      <c r="K8" s="59">
        <v>2</v>
      </c>
      <c r="L8" s="59" t="s">
        <v>42</v>
      </c>
      <c r="M8" s="121" t="s">
        <v>566</v>
      </c>
    </row>
    <row r="9" spans="1:13" ht="31.5">
      <c r="A9" s="59">
        <f t="shared" ref="A9:A78" si="0">ROW(A9)-5</f>
        <v>4</v>
      </c>
      <c r="B9" s="60" t="s">
        <v>117</v>
      </c>
      <c r="C9" s="59" t="s">
        <v>325</v>
      </c>
      <c r="D9" s="64" t="s">
        <v>30</v>
      </c>
      <c r="E9" s="59" t="s">
        <v>34</v>
      </c>
      <c r="F9" s="59" t="s">
        <v>14</v>
      </c>
      <c r="G9" s="62" t="s">
        <v>58</v>
      </c>
      <c r="H9" s="59" t="s">
        <v>40</v>
      </c>
      <c r="I9" s="63" t="s">
        <v>321</v>
      </c>
      <c r="J9" s="64" t="s">
        <v>30</v>
      </c>
      <c r="K9" s="59">
        <v>2</v>
      </c>
      <c r="L9" s="59" t="s">
        <v>41</v>
      </c>
      <c r="M9" s="121" t="s">
        <v>531</v>
      </c>
    </row>
    <row r="10" spans="1:13" ht="47.25">
      <c r="A10" s="59">
        <f t="shared" si="0"/>
        <v>5</v>
      </c>
      <c r="B10" s="60" t="s">
        <v>118</v>
      </c>
      <c r="C10" s="63" t="s">
        <v>223</v>
      </c>
      <c r="D10" s="64" t="s">
        <v>30</v>
      </c>
      <c r="E10" s="59" t="s">
        <v>34</v>
      </c>
      <c r="F10" s="59" t="s">
        <v>14</v>
      </c>
      <c r="G10" s="62" t="s">
        <v>59</v>
      </c>
      <c r="H10" s="59" t="s">
        <v>40</v>
      </c>
      <c r="I10" s="63" t="s">
        <v>221</v>
      </c>
      <c r="J10" s="64" t="s">
        <v>30</v>
      </c>
      <c r="K10" s="59">
        <v>1</v>
      </c>
      <c r="L10" s="59" t="s">
        <v>41</v>
      </c>
      <c r="M10" s="121" t="s">
        <v>344</v>
      </c>
    </row>
    <row r="11" spans="1:13">
      <c r="A11" s="59">
        <f t="shared" si="0"/>
        <v>6</v>
      </c>
      <c r="B11" s="60" t="s">
        <v>119</v>
      </c>
      <c r="C11" s="63" t="s">
        <v>224</v>
      </c>
      <c r="D11" s="64" t="s">
        <v>30</v>
      </c>
      <c r="E11" s="127" t="s">
        <v>493</v>
      </c>
      <c r="F11" s="59" t="s">
        <v>14</v>
      </c>
      <c r="G11" s="66" t="s">
        <v>133</v>
      </c>
      <c r="H11" s="59" t="s">
        <v>138</v>
      </c>
      <c r="I11" s="59" t="s">
        <v>136</v>
      </c>
      <c r="J11" s="64" t="s">
        <v>30</v>
      </c>
      <c r="K11" s="59">
        <v>1</v>
      </c>
      <c r="L11" s="59" t="s">
        <v>43</v>
      </c>
      <c r="M11" s="65"/>
    </row>
    <row r="12" spans="1:13">
      <c r="A12" s="59">
        <f t="shared" si="0"/>
        <v>7</v>
      </c>
      <c r="B12" s="60"/>
      <c r="C12" s="63" t="s">
        <v>225</v>
      </c>
      <c r="D12" s="64" t="s">
        <v>30</v>
      </c>
      <c r="E12" s="127" t="s">
        <v>493</v>
      </c>
      <c r="F12" s="59" t="s">
        <v>14</v>
      </c>
      <c r="G12" s="66" t="s">
        <v>134</v>
      </c>
      <c r="H12" s="59" t="s">
        <v>139</v>
      </c>
      <c r="I12" s="59" t="s">
        <v>141</v>
      </c>
      <c r="J12" s="64" t="s">
        <v>30</v>
      </c>
      <c r="K12" s="59"/>
      <c r="L12" s="59" t="s">
        <v>43</v>
      </c>
      <c r="M12" s="65"/>
    </row>
    <row r="13" spans="1:13">
      <c r="A13" s="59">
        <f t="shared" si="0"/>
        <v>8</v>
      </c>
      <c r="B13" s="60"/>
      <c r="C13" s="63" t="s">
        <v>226</v>
      </c>
      <c r="D13" s="64" t="s">
        <v>30</v>
      </c>
      <c r="E13" s="127" t="s">
        <v>493</v>
      </c>
      <c r="F13" s="59" t="s">
        <v>14</v>
      </c>
      <c r="G13" s="66" t="s">
        <v>135</v>
      </c>
      <c r="H13" s="59" t="s">
        <v>140</v>
      </c>
      <c r="I13" s="59" t="s">
        <v>142</v>
      </c>
      <c r="J13" s="64" t="s">
        <v>30</v>
      </c>
      <c r="K13" s="59"/>
      <c r="L13" s="59" t="s">
        <v>43</v>
      </c>
      <c r="M13" s="65"/>
    </row>
    <row r="14" spans="1:13">
      <c r="A14" s="59">
        <f t="shared" si="0"/>
        <v>9</v>
      </c>
      <c r="B14" s="60" t="s">
        <v>120</v>
      </c>
      <c r="C14" s="63" t="s">
        <v>227</v>
      </c>
      <c r="D14" s="64" t="s">
        <v>30</v>
      </c>
      <c r="E14" s="127" t="s">
        <v>494</v>
      </c>
      <c r="F14" s="59" t="s">
        <v>14</v>
      </c>
      <c r="G14" s="62" t="s">
        <v>192</v>
      </c>
      <c r="H14" s="59" t="s">
        <v>137</v>
      </c>
      <c r="I14" s="59" t="s">
        <v>144</v>
      </c>
      <c r="J14" s="64" t="s">
        <v>30</v>
      </c>
      <c r="K14" s="67">
        <v>4</v>
      </c>
      <c r="L14" s="59" t="s">
        <v>43</v>
      </c>
      <c r="M14" s="185" t="s">
        <v>653</v>
      </c>
    </row>
    <row r="15" spans="1:13">
      <c r="A15" s="59">
        <f t="shared" si="0"/>
        <v>10</v>
      </c>
      <c r="B15" s="60"/>
      <c r="C15" s="63" t="s">
        <v>228</v>
      </c>
      <c r="D15" s="64" t="s">
        <v>30</v>
      </c>
      <c r="E15" s="127" t="s">
        <v>495</v>
      </c>
      <c r="F15" s="59" t="s">
        <v>14</v>
      </c>
      <c r="G15" s="62" t="s">
        <v>192</v>
      </c>
      <c r="H15" s="59" t="s">
        <v>143</v>
      </c>
      <c r="I15" s="59" t="s">
        <v>145</v>
      </c>
      <c r="J15" s="64" t="s">
        <v>30</v>
      </c>
      <c r="K15" s="67"/>
      <c r="L15" s="59" t="s">
        <v>43</v>
      </c>
      <c r="M15" s="185" t="s">
        <v>654</v>
      </c>
    </row>
    <row r="16" spans="1:13">
      <c r="A16" s="59">
        <f t="shared" si="0"/>
        <v>11</v>
      </c>
      <c r="B16" s="60"/>
      <c r="C16" s="63" t="s">
        <v>229</v>
      </c>
      <c r="D16" s="64" t="s">
        <v>30</v>
      </c>
      <c r="E16" s="127" t="s">
        <v>492</v>
      </c>
      <c r="F16" s="59" t="s">
        <v>14</v>
      </c>
      <c r="G16" s="62" t="s">
        <v>192</v>
      </c>
      <c r="H16" s="59" t="s">
        <v>139</v>
      </c>
      <c r="I16" s="59" t="s">
        <v>146</v>
      </c>
      <c r="J16" s="64" t="s">
        <v>30</v>
      </c>
      <c r="K16" s="67"/>
      <c r="L16" s="59" t="s">
        <v>43</v>
      </c>
      <c r="M16" s="185" t="s">
        <v>655</v>
      </c>
    </row>
    <row r="17" spans="1:14" s="17" customFormat="1">
      <c r="A17" s="59">
        <f t="shared" si="0"/>
        <v>12</v>
      </c>
      <c r="B17" s="70" t="s">
        <v>38</v>
      </c>
      <c r="C17" s="59" t="s">
        <v>148</v>
      </c>
      <c r="D17" s="59" t="s">
        <v>30</v>
      </c>
      <c r="E17" s="127" t="s">
        <v>499</v>
      </c>
      <c r="F17" s="59" t="s">
        <v>14</v>
      </c>
      <c r="G17" s="62" t="s">
        <v>190</v>
      </c>
      <c r="H17" s="59" t="s">
        <v>20</v>
      </c>
      <c r="I17" s="59" t="s">
        <v>148</v>
      </c>
      <c r="J17" s="59" t="s">
        <v>30</v>
      </c>
      <c r="K17" s="59">
        <v>1</v>
      </c>
      <c r="L17" s="59" t="s">
        <v>41</v>
      </c>
      <c r="M17" s="69"/>
    </row>
    <row r="18" spans="1:14" s="17" customFormat="1">
      <c r="A18" s="59">
        <f t="shared" si="0"/>
        <v>13</v>
      </c>
      <c r="B18" s="70" t="s">
        <v>147</v>
      </c>
      <c r="C18" s="59" t="s">
        <v>150</v>
      </c>
      <c r="D18" s="59" t="s">
        <v>30</v>
      </c>
      <c r="E18" s="127" t="s">
        <v>559</v>
      </c>
      <c r="F18" s="59" t="s">
        <v>14</v>
      </c>
      <c r="G18" s="62" t="s">
        <v>189</v>
      </c>
      <c r="H18" s="59" t="s">
        <v>20</v>
      </c>
      <c r="I18" s="59" t="s">
        <v>150</v>
      </c>
      <c r="J18" s="59" t="s">
        <v>30</v>
      </c>
      <c r="K18" s="59">
        <v>1</v>
      </c>
      <c r="L18" s="59" t="s">
        <v>41</v>
      </c>
      <c r="M18" s="69"/>
    </row>
    <row r="19" spans="1:14" s="17" customFormat="1">
      <c r="A19" s="59">
        <f t="shared" si="0"/>
        <v>14</v>
      </c>
      <c r="B19" s="70" t="s">
        <v>125</v>
      </c>
      <c r="C19" s="59" t="s">
        <v>151</v>
      </c>
      <c r="D19" s="59" t="s">
        <v>30</v>
      </c>
      <c r="E19" s="127" t="s">
        <v>563</v>
      </c>
      <c r="F19" s="59" t="s">
        <v>14</v>
      </c>
      <c r="G19" s="62" t="s">
        <v>188</v>
      </c>
      <c r="H19" s="59" t="s">
        <v>20</v>
      </c>
      <c r="I19" s="59" t="s">
        <v>151</v>
      </c>
      <c r="J19" s="59" t="s">
        <v>30</v>
      </c>
      <c r="K19" s="59">
        <v>1</v>
      </c>
      <c r="L19" s="59" t="s">
        <v>41</v>
      </c>
      <c r="M19" s="69"/>
    </row>
    <row r="20" spans="1:14" s="17" customFormat="1">
      <c r="A20" s="59">
        <f t="shared" si="0"/>
        <v>15</v>
      </c>
      <c r="B20" s="70" t="s">
        <v>176</v>
      </c>
      <c r="C20" s="59" t="s">
        <v>152</v>
      </c>
      <c r="D20" s="71" t="s">
        <v>30</v>
      </c>
      <c r="E20" s="127" t="s">
        <v>500</v>
      </c>
      <c r="F20" s="59" t="s">
        <v>14</v>
      </c>
      <c r="G20" s="62" t="s">
        <v>187</v>
      </c>
      <c r="H20" s="59" t="s">
        <v>51</v>
      </c>
      <c r="I20" s="59" t="str">
        <f>C20</f>
        <v>1A72BTH00-600-G</v>
      </c>
      <c r="J20" s="59" t="s">
        <v>30</v>
      </c>
      <c r="K20" s="59">
        <v>1</v>
      </c>
      <c r="L20" s="59" t="s">
        <v>41</v>
      </c>
      <c r="M20" s="69"/>
    </row>
    <row r="21" spans="1:14" s="25" customFormat="1" ht="15">
      <c r="A21" s="59">
        <f>ROW(A21)-5</f>
        <v>16</v>
      </c>
      <c r="B21" s="70" t="s">
        <v>177</v>
      </c>
      <c r="C21" s="72" t="s">
        <v>153</v>
      </c>
      <c r="D21" s="73" t="s">
        <v>14</v>
      </c>
      <c r="E21" s="127" t="s">
        <v>560</v>
      </c>
      <c r="F21" s="59" t="s">
        <v>14</v>
      </c>
      <c r="G21" s="134" t="s">
        <v>567</v>
      </c>
      <c r="H21" s="74" t="s">
        <v>51</v>
      </c>
      <c r="I21" s="72" t="s">
        <v>153</v>
      </c>
      <c r="J21" s="59" t="s">
        <v>30</v>
      </c>
      <c r="K21" s="75">
        <v>1</v>
      </c>
      <c r="L21" s="75" t="s">
        <v>161</v>
      </c>
      <c r="M21" s="76" t="s">
        <v>356</v>
      </c>
      <c r="N21" s="55"/>
    </row>
    <row r="22" spans="1:14">
      <c r="A22" s="59">
        <f t="shared" si="0"/>
        <v>17</v>
      </c>
      <c r="B22" s="70" t="s">
        <v>131</v>
      </c>
      <c r="C22" s="61" t="s">
        <v>360</v>
      </c>
      <c r="D22" s="59" t="s">
        <v>14</v>
      </c>
      <c r="E22" s="127" t="s">
        <v>542</v>
      </c>
      <c r="F22" s="59" t="s">
        <v>14</v>
      </c>
      <c r="G22" s="88" t="s">
        <v>361</v>
      </c>
      <c r="H22" s="59" t="s">
        <v>51</v>
      </c>
      <c r="I22" s="61" t="s">
        <v>360</v>
      </c>
      <c r="J22" s="59" t="s">
        <v>14</v>
      </c>
      <c r="K22" s="59">
        <v>1</v>
      </c>
      <c r="L22" s="59" t="s">
        <v>41</v>
      </c>
      <c r="M22" s="65" t="s">
        <v>315</v>
      </c>
    </row>
    <row r="23" spans="1:14">
      <c r="A23" s="59">
        <f t="shared" si="0"/>
        <v>18</v>
      </c>
      <c r="B23" s="70" t="s">
        <v>396</v>
      </c>
      <c r="C23" s="61" t="s">
        <v>362</v>
      </c>
      <c r="D23" s="59" t="s">
        <v>14</v>
      </c>
      <c r="E23" s="127" t="s">
        <v>497</v>
      </c>
      <c r="F23" s="59" t="s">
        <v>14</v>
      </c>
      <c r="G23" s="88" t="s">
        <v>363</v>
      </c>
      <c r="H23" s="59" t="s">
        <v>51</v>
      </c>
      <c r="I23" s="61" t="s">
        <v>362</v>
      </c>
      <c r="J23" s="59" t="s">
        <v>14</v>
      </c>
      <c r="K23" s="59">
        <v>1</v>
      </c>
      <c r="L23" s="59" t="s">
        <v>41</v>
      </c>
      <c r="M23" s="65" t="s">
        <v>315</v>
      </c>
    </row>
    <row r="24" spans="1:14">
      <c r="A24" s="59">
        <f t="shared" si="0"/>
        <v>19</v>
      </c>
      <c r="B24" s="70" t="s">
        <v>397</v>
      </c>
      <c r="C24" s="77" t="s">
        <v>341</v>
      </c>
      <c r="D24" s="59" t="s">
        <v>14</v>
      </c>
      <c r="E24" s="127" t="s">
        <v>498</v>
      </c>
      <c r="F24" s="59" t="s">
        <v>14</v>
      </c>
      <c r="G24" s="66" t="s">
        <v>323</v>
      </c>
      <c r="H24" s="59" t="s">
        <v>51</v>
      </c>
      <c r="I24" s="77" t="s">
        <v>341</v>
      </c>
      <c r="J24" s="59" t="s">
        <v>14</v>
      </c>
      <c r="K24" s="59">
        <v>1</v>
      </c>
      <c r="L24" s="59" t="s">
        <v>41</v>
      </c>
      <c r="M24" s="65"/>
    </row>
    <row r="25" spans="1:14" s="91" customFormat="1">
      <c r="A25" s="59">
        <f t="shared" si="0"/>
        <v>20</v>
      </c>
      <c r="B25" s="70" t="s">
        <v>592</v>
      </c>
      <c r="C25" s="77" t="s">
        <v>528</v>
      </c>
      <c r="D25" s="59" t="s">
        <v>14</v>
      </c>
      <c r="E25" s="114" t="s">
        <v>648</v>
      </c>
      <c r="F25" s="59" t="s">
        <v>14</v>
      </c>
      <c r="G25" s="66" t="s">
        <v>529</v>
      </c>
      <c r="H25" s="59" t="s">
        <v>51</v>
      </c>
      <c r="I25" s="77" t="s">
        <v>528</v>
      </c>
      <c r="J25" s="59" t="s">
        <v>14</v>
      </c>
      <c r="K25" s="59">
        <v>1</v>
      </c>
      <c r="L25" s="59" t="s">
        <v>41</v>
      </c>
      <c r="M25" s="65" t="s">
        <v>530</v>
      </c>
    </row>
    <row r="26" spans="1:14" s="91" customFormat="1">
      <c r="A26" s="59">
        <f t="shared" si="0"/>
        <v>21</v>
      </c>
      <c r="B26" s="70" t="s">
        <v>593</v>
      </c>
      <c r="C26" s="63" t="s">
        <v>288</v>
      </c>
      <c r="D26" s="59" t="s">
        <v>30</v>
      </c>
      <c r="E26" s="184" t="s">
        <v>645</v>
      </c>
      <c r="F26" s="59" t="s">
        <v>30</v>
      </c>
      <c r="G26" s="66" t="s">
        <v>286</v>
      </c>
      <c r="H26" s="59" t="s">
        <v>284</v>
      </c>
      <c r="I26" s="59" t="s">
        <v>285</v>
      </c>
      <c r="J26" s="59" t="s">
        <v>14</v>
      </c>
      <c r="K26" s="59">
        <v>2</v>
      </c>
      <c r="L26" s="59" t="s">
        <v>283</v>
      </c>
      <c r="M26" s="65" t="s">
        <v>287</v>
      </c>
    </row>
    <row r="27" spans="1:14" s="91" customFormat="1">
      <c r="A27" s="59">
        <f t="shared" si="0"/>
        <v>22</v>
      </c>
      <c r="B27" s="70" t="s">
        <v>594</v>
      </c>
      <c r="C27" s="63" t="s">
        <v>354</v>
      </c>
      <c r="D27" s="59" t="s">
        <v>14</v>
      </c>
      <c r="E27" s="59" t="s">
        <v>34</v>
      </c>
      <c r="F27" s="59" t="s">
        <v>14</v>
      </c>
      <c r="G27" s="66" t="s">
        <v>317</v>
      </c>
      <c r="H27" s="77" t="s">
        <v>434</v>
      </c>
      <c r="I27" s="63" t="s">
        <v>354</v>
      </c>
      <c r="J27" s="59" t="s">
        <v>14</v>
      </c>
      <c r="K27" s="59">
        <v>1</v>
      </c>
      <c r="L27" s="59" t="s">
        <v>44</v>
      </c>
      <c r="M27" s="65" t="s">
        <v>318</v>
      </c>
    </row>
    <row r="28" spans="1:14" s="91" customFormat="1">
      <c r="A28" s="59">
        <f>ROW(A28)-5</f>
        <v>23</v>
      </c>
      <c r="B28" s="70" t="s">
        <v>595</v>
      </c>
      <c r="C28" s="59" t="s">
        <v>296</v>
      </c>
      <c r="D28" s="59" t="s">
        <v>14</v>
      </c>
      <c r="E28" s="59" t="s">
        <v>34</v>
      </c>
      <c r="F28" s="59" t="s">
        <v>14</v>
      </c>
      <c r="G28" s="66" t="s">
        <v>295</v>
      </c>
      <c r="H28" s="77" t="s">
        <v>434</v>
      </c>
      <c r="I28" s="59" t="s">
        <v>296</v>
      </c>
      <c r="J28" s="59" t="s">
        <v>14</v>
      </c>
      <c r="K28" s="59">
        <v>3</v>
      </c>
      <c r="L28" s="59" t="s">
        <v>44</v>
      </c>
      <c r="M28" s="65" t="s">
        <v>294</v>
      </c>
    </row>
    <row r="29" spans="1:14" s="91" customFormat="1">
      <c r="A29" s="59">
        <f t="shared" ref="A29:A32" si="1">ROW(A29)-5</f>
        <v>24</v>
      </c>
      <c r="B29" s="70"/>
      <c r="C29" s="61" t="s">
        <v>424</v>
      </c>
      <c r="D29" s="59" t="s">
        <v>14</v>
      </c>
      <c r="E29" s="59" t="s">
        <v>34</v>
      </c>
      <c r="F29" s="59" t="s">
        <v>14</v>
      </c>
      <c r="G29" s="66" t="s">
        <v>421</v>
      </c>
      <c r="H29" s="77" t="s">
        <v>422</v>
      </c>
      <c r="I29" s="61" t="s">
        <v>423</v>
      </c>
      <c r="J29" s="59" t="s">
        <v>14</v>
      </c>
      <c r="K29" s="59"/>
      <c r="L29" s="59" t="s">
        <v>44</v>
      </c>
      <c r="M29" s="65" t="s">
        <v>306</v>
      </c>
    </row>
    <row r="30" spans="1:14" s="91" customFormat="1">
      <c r="A30" s="59">
        <f>ROW(A30)-5</f>
        <v>25</v>
      </c>
      <c r="B30" s="70" t="s">
        <v>425</v>
      </c>
      <c r="C30" s="61" t="s">
        <v>532</v>
      </c>
      <c r="D30" s="59" t="s">
        <v>14</v>
      </c>
      <c r="E30" s="59" t="s">
        <v>34</v>
      </c>
      <c r="F30" s="59" t="s">
        <v>14</v>
      </c>
      <c r="G30" s="66" t="s">
        <v>533</v>
      </c>
      <c r="H30" s="77" t="s">
        <v>434</v>
      </c>
      <c r="I30" s="61" t="s">
        <v>532</v>
      </c>
      <c r="J30" s="59" t="s">
        <v>14</v>
      </c>
      <c r="K30" s="59">
        <v>4</v>
      </c>
      <c r="L30" s="59" t="s">
        <v>44</v>
      </c>
      <c r="M30" s="65" t="s">
        <v>541</v>
      </c>
    </row>
    <row r="31" spans="1:14" s="91" customFormat="1">
      <c r="A31" s="59">
        <f t="shared" si="1"/>
        <v>26</v>
      </c>
      <c r="B31" s="70"/>
      <c r="C31" s="61" t="s">
        <v>534</v>
      </c>
      <c r="D31" s="59" t="s">
        <v>14</v>
      </c>
      <c r="E31" s="59" t="s">
        <v>34</v>
      </c>
      <c r="F31" s="59" t="s">
        <v>14</v>
      </c>
      <c r="G31" s="66" t="s">
        <v>536</v>
      </c>
      <c r="H31" s="77" t="s">
        <v>537</v>
      </c>
      <c r="I31" s="61" t="s">
        <v>539</v>
      </c>
      <c r="J31" s="59" t="s">
        <v>14</v>
      </c>
      <c r="K31" s="59"/>
      <c r="L31" s="59" t="s">
        <v>44</v>
      </c>
      <c r="M31" s="65" t="s">
        <v>541</v>
      </c>
    </row>
    <row r="32" spans="1:14" s="91" customFormat="1">
      <c r="A32" s="59">
        <f t="shared" si="1"/>
        <v>27</v>
      </c>
      <c r="B32" s="70"/>
      <c r="C32" s="61" t="s">
        <v>535</v>
      </c>
      <c r="D32" s="59" t="s">
        <v>14</v>
      </c>
      <c r="E32" s="59" t="s">
        <v>34</v>
      </c>
      <c r="F32" s="59" t="s">
        <v>14</v>
      </c>
      <c r="G32" s="66" t="s">
        <v>536</v>
      </c>
      <c r="H32" s="77" t="s">
        <v>538</v>
      </c>
      <c r="I32" s="61" t="s">
        <v>540</v>
      </c>
      <c r="J32" s="59" t="s">
        <v>14</v>
      </c>
      <c r="K32" s="59"/>
      <c r="L32" s="59" t="s">
        <v>44</v>
      </c>
      <c r="M32" s="65" t="s">
        <v>541</v>
      </c>
    </row>
    <row r="33" spans="1:13" s="91" customFormat="1">
      <c r="A33" s="59">
        <f t="shared" si="0"/>
        <v>28</v>
      </c>
      <c r="B33" s="70" t="s">
        <v>426</v>
      </c>
      <c r="C33" s="61" t="s">
        <v>430</v>
      </c>
      <c r="D33" s="59" t="s">
        <v>14</v>
      </c>
      <c r="E33" s="59" t="s">
        <v>34</v>
      </c>
      <c r="F33" s="59" t="s">
        <v>14</v>
      </c>
      <c r="G33" s="66" t="s">
        <v>327</v>
      </c>
      <c r="H33" s="77" t="s">
        <v>434</v>
      </c>
      <c r="I33" s="61" t="s">
        <v>430</v>
      </c>
      <c r="J33" s="59" t="s">
        <v>14</v>
      </c>
      <c r="K33" s="59">
        <v>4</v>
      </c>
      <c r="L33" s="59" t="s">
        <v>44</v>
      </c>
      <c r="M33" s="65" t="s">
        <v>298</v>
      </c>
    </row>
    <row r="34" spans="1:13" s="91" customFormat="1">
      <c r="A34" s="59">
        <f t="shared" si="0"/>
        <v>29</v>
      </c>
      <c r="B34" s="70" t="s">
        <v>427</v>
      </c>
      <c r="C34" s="63" t="s">
        <v>300</v>
      </c>
      <c r="D34" s="59" t="s">
        <v>14</v>
      </c>
      <c r="E34" s="59" t="s">
        <v>34</v>
      </c>
      <c r="F34" s="59" t="s">
        <v>14</v>
      </c>
      <c r="G34" s="66" t="s">
        <v>328</v>
      </c>
      <c r="H34" s="77" t="s">
        <v>434</v>
      </c>
      <c r="I34" s="63" t="s">
        <v>300</v>
      </c>
      <c r="J34" s="59" t="s">
        <v>14</v>
      </c>
      <c r="K34" s="59">
        <v>8</v>
      </c>
      <c r="L34" s="59" t="s">
        <v>44</v>
      </c>
      <c r="M34" s="65" t="s">
        <v>299</v>
      </c>
    </row>
    <row r="35" spans="1:13" s="91" customFormat="1">
      <c r="A35" s="59">
        <f>ROW(A35)-5</f>
        <v>30</v>
      </c>
      <c r="B35" s="70"/>
      <c r="C35" s="61" t="s">
        <v>577</v>
      </c>
      <c r="D35" s="59" t="s">
        <v>14</v>
      </c>
      <c r="E35" s="127" t="s">
        <v>34</v>
      </c>
      <c r="F35" s="59" t="s">
        <v>14</v>
      </c>
      <c r="G35" s="79" t="s">
        <v>579</v>
      </c>
      <c r="H35" s="77" t="s">
        <v>578</v>
      </c>
      <c r="I35" s="77" t="s">
        <v>576</v>
      </c>
      <c r="J35" s="59" t="s">
        <v>14</v>
      </c>
      <c r="K35" s="59"/>
      <c r="L35" s="59" t="s">
        <v>44</v>
      </c>
      <c r="M35" s="65" t="s">
        <v>299</v>
      </c>
    </row>
    <row r="36" spans="1:13" s="91" customFormat="1">
      <c r="A36" s="59">
        <f t="shared" si="0"/>
        <v>31</v>
      </c>
      <c r="B36" s="70" t="s">
        <v>429</v>
      </c>
      <c r="C36" s="63" t="s">
        <v>348</v>
      </c>
      <c r="D36" s="59" t="s">
        <v>14</v>
      </c>
      <c r="E36" s="59" t="s">
        <v>34</v>
      </c>
      <c r="F36" s="59" t="s">
        <v>14</v>
      </c>
      <c r="G36" s="66" t="s">
        <v>326</v>
      </c>
      <c r="H36" s="77" t="s">
        <v>434</v>
      </c>
      <c r="I36" s="80" t="s">
        <v>348</v>
      </c>
      <c r="J36" s="59" t="s">
        <v>14</v>
      </c>
      <c r="K36" s="59">
        <v>1</v>
      </c>
      <c r="L36" s="59" t="s">
        <v>44</v>
      </c>
      <c r="M36" s="65" t="s">
        <v>301</v>
      </c>
    </row>
    <row r="37" spans="1:13" s="91" customFormat="1">
      <c r="A37" s="59">
        <f t="shared" si="0"/>
        <v>32</v>
      </c>
      <c r="B37" s="70" t="s">
        <v>47</v>
      </c>
      <c r="C37" s="63" t="s">
        <v>350</v>
      </c>
      <c r="D37" s="59" t="s">
        <v>14</v>
      </c>
      <c r="E37" s="59" t="s">
        <v>34</v>
      </c>
      <c r="F37" s="59" t="s">
        <v>14</v>
      </c>
      <c r="G37" s="66" t="s">
        <v>349</v>
      </c>
      <c r="H37" s="77" t="s">
        <v>434</v>
      </c>
      <c r="I37" s="80" t="s">
        <v>350</v>
      </c>
      <c r="J37" s="59" t="s">
        <v>14</v>
      </c>
      <c r="K37" s="77">
        <v>2</v>
      </c>
      <c r="L37" s="59" t="s">
        <v>44</v>
      </c>
      <c r="M37" s="65" t="s">
        <v>351</v>
      </c>
    </row>
    <row r="38" spans="1:13" s="91" customFormat="1">
      <c r="A38" s="59">
        <f>ROW(A38)-5</f>
        <v>33</v>
      </c>
      <c r="B38" s="70"/>
      <c r="C38" s="61" t="s">
        <v>582</v>
      </c>
      <c r="D38" s="59" t="s">
        <v>14</v>
      </c>
      <c r="E38" s="127" t="s">
        <v>34</v>
      </c>
      <c r="F38" s="59" t="s">
        <v>14</v>
      </c>
      <c r="G38" s="79" t="s">
        <v>580</v>
      </c>
      <c r="H38" s="77" t="s">
        <v>578</v>
      </c>
      <c r="I38" s="77" t="s">
        <v>581</v>
      </c>
      <c r="J38" s="59" t="s">
        <v>14</v>
      </c>
      <c r="K38" s="59"/>
      <c r="L38" s="59" t="s">
        <v>44</v>
      </c>
      <c r="M38" s="65" t="s">
        <v>351</v>
      </c>
    </row>
    <row r="39" spans="1:13" s="91" customFormat="1">
      <c r="A39" s="59">
        <f t="shared" si="0"/>
        <v>34</v>
      </c>
      <c r="B39" s="70" t="s">
        <v>48</v>
      </c>
      <c r="C39" s="63" t="s">
        <v>352</v>
      </c>
      <c r="D39" s="59" t="s">
        <v>14</v>
      </c>
      <c r="E39" s="59" t="s">
        <v>34</v>
      </c>
      <c r="F39" s="59" t="s">
        <v>14</v>
      </c>
      <c r="G39" s="66" t="s">
        <v>304</v>
      </c>
      <c r="H39" s="77" t="s">
        <v>434</v>
      </c>
      <c r="I39" s="80" t="s">
        <v>352</v>
      </c>
      <c r="J39" s="59" t="s">
        <v>14</v>
      </c>
      <c r="K39" s="59">
        <v>8</v>
      </c>
      <c r="L39" s="59" t="s">
        <v>44</v>
      </c>
      <c r="M39" s="65" t="s">
        <v>302</v>
      </c>
    </row>
    <row r="40" spans="1:13" s="91" customFormat="1">
      <c r="A40" s="59">
        <f t="shared" si="0"/>
        <v>35</v>
      </c>
      <c r="B40" s="70" t="s">
        <v>54</v>
      </c>
      <c r="C40" s="63" t="s">
        <v>353</v>
      </c>
      <c r="D40" s="59" t="s">
        <v>14</v>
      </c>
      <c r="E40" s="59" t="s">
        <v>34</v>
      </c>
      <c r="F40" s="59" t="s">
        <v>14</v>
      </c>
      <c r="G40" s="66" t="s">
        <v>303</v>
      </c>
      <c r="H40" s="77" t="s">
        <v>434</v>
      </c>
      <c r="I40" s="80" t="s">
        <v>353</v>
      </c>
      <c r="J40" s="59" t="s">
        <v>14</v>
      </c>
      <c r="K40" s="59">
        <v>8</v>
      </c>
      <c r="L40" s="59" t="s">
        <v>44</v>
      </c>
      <c r="M40" s="65" t="s">
        <v>305</v>
      </c>
    </row>
    <row r="41" spans="1:13" s="91" customFormat="1">
      <c r="A41" s="59">
        <f t="shared" si="0"/>
        <v>36</v>
      </c>
      <c r="B41" s="70" t="s">
        <v>55</v>
      </c>
      <c r="C41" s="63" t="s">
        <v>310</v>
      </c>
      <c r="D41" s="59" t="s">
        <v>14</v>
      </c>
      <c r="E41" s="59" t="s">
        <v>34</v>
      </c>
      <c r="F41" s="59" t="s">
        <v>14</v>
      </c>
      <c r="G41" s="66" t="s">
        <v>309</v>
      </c>
      <c r="H41" s="77" t="s">
        <v>434</v>
      </c>
      <c r="I41" s="63" t="s">
        <v>310</v>
      </c>
      <c r="J41" s="59" t="s">
        <v>14</v>
      </c>
      <c r="K41" s="59">
        <v>64</v>
      </c>
      <c r="L41" s="59" t="s">
        <v>44</v>
      </c>
      <c r="M41" s="65" t="s">
        <v>306</v>
      </c>
    </row>
    <row r="42" spans="1:13" s="91" customFormat="1">
      <c r="A42" s="59">
        <f t="shared" si="0"/>
        <v>37</v>
      </c>
      <c r="B42" s="70"/>
      <c r="C42" s="61" t="s">
        <v>416</v>
      </c>
      <c r="D42" s="59" t="s">
        <v>14</v>
      </c>
      <c r="E42" s="59" t="s">
        <v>34</v>
      </c>
      <c r="F42" s="59" t="s">
        <v>14</v>
      </c>
      <c r="G42" s="66" t="s">
        <v>431</v>
      </c>
      <c r="H42" s="77" t="s">
        <v>417</v>
      </c>
      <c r="I42" s="61" t="s">
        <v>418</v>
      </c>
      <c r="J42" s="59" t="s">
        <v>14</v>
      </c>
      <c r="K42" s="59"/>
      <c r="L42" s="59" t="s">
        <v>44</v>
      </c>
      <c r="M42" s="65" t="s">
        <v>306</v>
      </c>
    </row>
    <row r="43" spans="1:13" s="91" customFormat="1">
      <c r="A43" s="59">
        <f t="shared" si="0"/>
        <v>38</v>
      </c>
      <c r="B43" s="70" t="s">
        <v>56</v>
      </c>
      <c r="C43" s="63" t="s">
        <v>311</v>
      </c>
      <c r="D43" s="59" t="s">
        <v>14</v>
      </c>
      <c r="E43" s="59" t="s">
        <v>34</v>
      </c>
      <c r="F43" s="59" t="s">
        <v>14</v>
      </c>
      <c r="G43" s="62" t="s">
        <v>308</v>
      </c>
      <c r="H43" s="77" t="s">
        <v>434</v>
      </c>
      <c r="I43" s="63" t="s">
        <v>311</v>
      </c>
      <c r="J43" s="59" t="s">
        <v>14</v>
      </c>
      <c r="K43" s="59">
        <v>64</v>
      </c>
      <c r="L43" s="59" t="s">
        <v>44</v>
      </c>
      <c r="M43" s="65" t="s">
        <v>307</v>
      </c>
    </row>
    <row r="44" spans="1:13" s="91" customFormat="1">
      <c r="A44" s="59">
        <f t="shared" si="0"/>
        <v>39</v>
      </c>
      <c r="B44" s="70"/>
      <c r="C44" s="61" t="s">
        <v>420</v>
      </c>
      <c r="D44" s="59" t="s">
        <v>14</v>
      </c>
      <c r="E44" s="59" t="s">
        <v>34</v>
      </c>
      <c r="F44" s="59" t="s">
        <v>14</v>
      </c>
      <c r="G44" s="66" t="s">
        <v>432</v>
      </c>
      <c r="H44" s="77" t="s">
        <v>417</v>
      </c>
      <c r="I44" s="61" t="s">
        <v>419</v>
      </c>
      <c r="J44" s="59" t="s">
        <v>14</v>
      </c>
      <c r="K44" s="59"/>
      <c r="L44" s="59" t="s">
        <v>44</v>
      </c>
      <c r="M44" s="65" t="s">
        <v>307</v>
      </c>
    </row>
    <row r="45" spans="1:13" s="91" customFormat="1">
      <c r="A45" s="59">
        <f t="shared" ref="A45:A52" si="2">ROW(A45)-5</f>
        <v>40</v>
      </c>
      <c r="B45" s="70" t="s">
        <v>329</v>
      </c>
      <c r="C45" s="61" t="s">
        <v>546</v>
      </c>
      <c r="D45" s="59" t="s">
        <v>14</v>
      </c>
      <c r="E45" s="59" t="s">
        <v>34</v>
      </c>
      <c r="F45" s="59" t="s">
        <v>14</v>
      </c>
      <c r="G45" s="66" t="s">
        <v>544</v>
      </c>
      <c r="H45" s="77" t="s">
        <v>155</v>
      </c>
      <c r="I45" s="77" t="s">
        <v>543</v>
      </c>
      <c r="J45" s="59" t="s">
        <v>14</v>
      </c>
      <c r="K45" s="59">
        <v>2</v>
      </c>
      <c r="L45" s="59" t="s">
        <v>44</v>
      </c>
      <c r="M45" s="65" t="s">
        <v>545</v>
      </c>
    </row>
    <row r="46" spans="1:13" s="91" customFormat="1">
      <c r="A46" s="59">
        <f t="shared" si="2"/>
        <v>41</v>
      </c>
      <c r="B46" s="70"/>
      <c r="C46" s="61" t="s">
        <v>570</v>
      </c>
      <c r="D46" s="59" t="s">
        <v>14</v>
      </c>
      <c r="E46" s="59" t="s">
        <v>34</v>
      </c>
      <c r="F46" s="59" t="s">
        <v>14</v>
      </c>
      <c r="G46" s="66" t="s">
        <v>572</v>
      </c>
      <c r="H46" s="77" t="s">
        <v>573</v>
      </c>
      <c r="I46" s="77" t="s">
        <v>574</v>
      </c>
      <c r="J46" s="59" t="s">
        <v>14</v>
      </c>
      <c r="K46" s="59"/>
      <c r="L46" s="59" t="s">
        <v>44</v>
      </c>
      <c r="M46" s="65" t="s">
        <v>545</v>
      </c>
    </row>
    <row r="47" spans="1:13" s="91" customFormat="1">
      <c r="A47" s="59">
        <f t="shared" si="2"/>
        <v>42</v>
      </c>
      <c r="B47" s="70" t="s">
        <v>330</v>
      </c>
      <c r="C47" s="61" t="s">
        <v>553</v>
      </c>
      <c r="D47" s="59" t="s">
        <v>14</v>
      </c>
      <c r="E47" s="59" t="s">
        <v>34</v>
      </c>
      <c r="F47" s="59" t="s">
        <v>14</v>
      </c>
      <c r="G47" s="66" t="s">
        <v>547</v>
      </c>
      <c r="H47" s="77" t="s">
        <v>214</v>
      </c>
      <c r="I47" s="77" t="s">
        <v>548</v>
      </c>
      <c r="J47" s="59" t="s">
        <v>14</v>
      </c>
      <c r="K47" s="59">
        <v>2</v>
      </c>
      <c r="L47" s="59" t="s">
        <v>44</v>
      </c>
      <c r="M47" s="65" t="s">
        <v>557</v>
      </c>
    </row>
    <row r="48" spans="1:13" s="91" customFormat="1">
      <c r="A48" s="59">
        <f t="shared" si="2"/>
        <v>43</v>
      </c>
      <c r="B48" s="70"/>
      <c r="C48" s="61" t="s">
        <v>569</v>
      </c>
      <c r="D48" s="59" t="s">
        <v>14</v>
      </c>
      <c r="E48" s="59" t="s">
        <v>34</v>
      </c>
      <c r="F48" s="59" t="s">
        <v>14</v>
      </c>
      <c r="G48" s="66" t="s">
        <v>571</v>
      </c>
      <c r="H48" s="77" t="s">
        <v>573</v>
      </c>
      <c r="I48" s="77" t="s">
        <v>575</v>
      </c>
      <c r="J48" s="59" t="s">
        <v>14</v>
      </c>
      <c r="K48" s="59"/>
      <c r="L48" s="59" t="s">
        <v>44</v>
      </c>
      <c r="M48" s="65" t="s">
        <v>557</v>
      </c>
    </row>
    <row r="49" spans="1:13" s="91" customFormat="1">
      <c r="A49" s="59">
        <f t="shared" si="2"/>
        <v>44</v>
      </c>
      <c r="B49" s="70" t="s">
        <v>331</v>
      </c>
      <c r="C49" s="61" t="s">
        <v>552</v>
      </c>
      <c r="D49" s="59" t="s">
        <v>14</v>
      </c>
      <c r="E49" s="59" t="s">
        <v>34</v>
      </c>
      <c r="F49" s="59" t="s">
        <v>14</v>
      </c>
      <c r="G49" s="66" t="s">
        <v>550</v>
      </c>
      <c r="H49" s="77" t="s">
        <v>549</v>
      </c>
      <c r="I49" s="61" t="s">
        <v>551</v>
      </c>
      <c r="J49" s="59" t="s">
        <v>14</v>
      </c>
      <c r="K49" s="59">
        <v>2</v>
      </c>
      <c r="L49" s="59" t="s">
        <v>44</v>
      </c>
      <c r="M49" s="65" t="s">
        <v>558</v>
      </c>
    </row>
    <row r="50" spans="1:13" s="91" customFormat="1">
      <c r="A50" s="59">
        <f t="shared" si="2"/>
        <v>45</v>
      </c>
      <c r="B50" s="70" t="s">
        <v>522</v>
      </c>
      <c r="C50" s="61" t="s">
        <v>555</v>
      </c>
      <c r="D50" s="59" t="s">
        <v>14</v>
      </c>
      <c r="E50" s="59" t="s">
        <v>34</v>
      </c>
      <c r="F50" s="59" t="s">
        <v>14</v>
      </c>
      <c r="G50" s="66" t="s">
        <v>554</v>
      </c>
      <c r="H50" s="77" t="s">
        <v>549</v>
      </c>
      <c r="I50" s="61" t="s">
        <v>556</v>
      </c>
      <c r="J50" s="59" t="s">
        <v>14</v>
      </c>
      <c r="K50" s="59">
        <v>2</v>
      </c>
      <c r="L50" s="59" t="s">
        <v>44</v>
      </c>
      <c r="M50" s="65" t="s">
        <v>558</v>
      </c>
    </row>
    <row r="51" spans="1:13" s="91" customFormat="1">
      <c r="A51" s="115">
        <f t="shared" si="2"/>
        <v>46</v>
      </c>
      <c r="B51" s="179" t="s">
        <v>314</v>
      </c>
      <c r="C51" s="180" t="s">
        <v>585</v>
      </c>
      <c r="D51" s="115" t="s">
        <v>14</v>
      </c>
      <c r="E51" s="115" t="s">
        <v>34</v>
      </c>
      <c r="F51" s="115" t="s">
        <v>14</v>
      </c>
      <c r="G51" s="183" t="s">
        <v>586</v>
      </c>
      <c r="H51" s="133" t="s">
        <v>587</v>
      </c>
      <c r="I51" s="133" t="s">
        <v>584</v>
      </c>
      <c r="J51" s="115" t="s">
        <v>14</v>
      </c>
      <c r="K51" s="115">
        <v>1</v>
      </c>
      <c r="L51" s="115" t="s">
        <v>44</v>
      </c>
      <c r="M51" s="182" t="s">
        <v>588</v>
      </c>
    </row>
    <row r="52" spans="1:13" s="91" customFormat="1">
      <c r="A52" s="59">
        <f t="shared" si="2"/>
        <v>47</v>
      </c>
      <c r="B52" s="70" t="s">
        <v>314</v>
      </c>
      <c r="C52" s="61" t="s">
        <v>591</v>
      </c>
      <c r="D52" s="59" t="s">
        <v>14</v>
      </c>
      <c r="E52" s="127" t="s">
        <v>34</v>
      </c>
      <c r="F52" s="59" t="s">
        <v>14</v>
      </c>
      <c r="G52" s="79" t="s">
        <v>589</v>
      </c>
      <c r="H52" s="77" t="s">
        <v>51</v>
      </c>
      <c r="I52" s="77" t="s">
        <v>591</v>
      </c>
      <c r="J52" s="59" t="s">
        <v>14</v>
      </c>
      <c r="K52" s="59">
        <v>1</v>
      </c>
      <c r="L52" s="59" t="s">
        <v>44</v>
      </c>
      <c r="M52" s="65" t="s">
        <v>590</v>
      </c>
    </row>
    <row r="53" spans="1:13" s="93" customFormat="1">
      <c r="A53" s="59">
        <f t="shared" si="0"/>
        <v>48</v>
      </c>
      <c r="B53" s="70" t="s">
        <v>596</v>
      </c>
      <c r="C53" s="59" t="s">
        <v>215</v>
      </c>
      <c r="D53" s="59" t="s">
        <v>30</v>
      </c>
      <c r="E53" s="59" t="s">
        <v>561</v>
      </c>
      <c r="F53" s="59" t="s">
        <v>14</v>
      </c>
      <c r="G53" s="66" t="s">
        <v>213</v>
      </c>
      <c r="H53" s="59" t="s">
        <v>214</v>
      </c>
      <c r="I53" s="63" t="s">
        <v>217</v>
      </c>
      <c r="J53" s="59" t="s">
        <v>30</v>
      </c>
      <c r="K53" s="59">
        <v>8</v>
      </c>
      <c r="L53" s="59" t="s">
        <v>50</v>
      </c>
      <c r="M53" s="69"/>
    </row>
    <row r="54" spans="1:13" s="93" customFormat="1">
      <c r="A54" s="59">
        <f t="shared" si="0"/>
        <v>49</v>
      </c>
      <c r="B54" s="70"/>
      <c r="C54" s="59" t="s">
        <v>216</v>
      </c>
      <c r="D54" s="59" t="s">
        <v>30</v>
      </c>
      <c r="E54" s="59" t="s">
        <v>561</v>
      </c>
      <c r="F54" s="59" t="s">
        <v>14</v>
      </c>
      <c r="G54" s="62" t="s">
        <v>213</v>
      </c>
      <c r="H54" s="59" t="s">
        <v>57</v>
      </c>
      <c r="I54" s="63" t="s">
        <v>218</v>
      </c>
      <c r="J54" s="59" t="s">
        <v>30</v>
      </c>
      <c r="K54" s="59"/>
      <c r="L54" s="59" t="s">
        <v>50</v>
      </c>
      <c r="M54" s="69"/>
    </row>
    <row r="55" spans="1:13" s="39" customFormat="1" ht="15">
      <c r="A55" s="63">
        <f t="shared" si="0"/>
        <v>50</v>
      </c>
      <c r="B55" s="81" t="s">
        <v>597</v>
      </c>
      <c r="C55" s="63" t="s">
        <v>476</v>
      </c>
      <c r="D55" s="129" t="s">
        <v>30</v>
      </c>
      <c r="E55" s="59" t="s">
        <v>562</v>
      </c>
      <c r="F55" s="63" t="s">
        <v>14</v>
      </c>
      <c r="G55" s="62" t="s">
        <v>444</v>
      </c>
      <c r="H55" s="61" t="s">
        <v>488</v>
      </c>
      <c r="I55" s="61" t="s">
        <v>476</v>
      </c>
      <c r="J55" s="63" t="s">
        <v>30</v>
      </c>
      <c r="K55" s="63">
        <v>1</v>
      </c>
      <c r="L55" s="63" t="s">
        <v>50</v>
      </c>
      <c r="M55" s="130"/>
    </row>
    <row r="56" spans="1:13" s="39" customFormat="1" ht="15">
      <c r="A56" s="63">
        <f t="shared" si="0"/>
        <v>51</v>
      </c>
      <c r="B56" s="81"/>
      <c r="C56" s="63" t="s">
        <v>486</v>
      </c>
      <c r="D56" s="129" t="s">
        <v>30</v>
      </c>
      <c r="E56" s="59" t="s">
        <v>562</v>
      </c>
      <c r="F56" s="63" t="s">
        <v>14</v>
      </c>
      <c r="G56" s="62" t="s">
        <v>445</v>
      </c>
      <c r="H56" s="61" t="s">
        <v>488</v>
      </c>
      <c r="I56" s="61" t="s">
        <v>486</v>
      </c>
      <c r="J56" s="63" t="s">
        <v>30</v>
      </c>
      <c r="K56" s="63"/>
      <c r="L56" s="63" t="s">
        <v>50</v>
      </c>
      <c r="M56" s="130"/>
    </row>
    <row r="57" spans="1:13" s="39" customFormat="1" ht="15">
      <c r="A57" s="63">
        <f t="shared" si="0"/>
        <v>52</v>
      </c>
      <c r="B57" s="81"/>
      <c r="C57" s="63" t="s">
        <v>487</v>
      </c>
      <c r="D57" s="129" t="s">
        <v>30</v>
      </c>
      <c r="E57" s="59" t="s">
        <v>562</v>
      </c>
      <c r="F57" s="63" t="s">
        <v>14</v>
      </c>
      <c r="G57" s="62" t="s">
        <v>489</v>
      </c>
      <c r="H57" s="61" t="s">
        <v>488</v>
      </c>
      <c r="I57" s="61" t="s">
        <v>487</v>
      </c>
      <c r="J57" s="63" t="s">
        <v>30</v>
      </c>
      <c r="K57" s="63"/>
      <c r="L57" s="63" t="s">
        <v>50</v>
      </c>
      <c r="M57" s="130"/>
    </row>
    <row r="58" spans="1:13" s="94" customFormat="1" ht="15">
      <c r="A58" s="59">
        <f>ROW(A58)-5</f>
        <v>53</v>
      </c>
      <c r="B58" s="81" t="s">
        <v>599</v>
      </c>
      <c r="C58" s="59" t="s">
        <v>398</v>
      </c>
      <c r="D58" s="59" t="s">
        <v>30</v>
      </c>
      <c r="E58" s="125" t="s">
        <v>34</v>
      </c>
      <c r="F58" s="59" t="s">
        <v>30</v>
      </c>
      <c r="G58" s="83" t="s">
        <v>324</v>
      </c>
      <c r="H58" s="59" t="s">
        <v>51</v>
      </c>
      <c r="I58" s="59" t="s">
        <v>398</v>
      </c>
      <c r="J58" s="67" t="s">
        <v>127</v>
      </c>
      <c r="K58" s="67">
        <v>1</v>
      </c>
      <c r="L58" s="77" t="s">
        <v>50</v>
      </c>
      <c r="M58" s="84"/>
    </row>
    <row r="59" spans="1:13" s="93" customFormat="1">
      <c r="A59" s="59">
        <f t="shared" si="0"/>
        <v>54</v>
      </c>
      <c r="B59" s="81" t="s">
        <v>600</v>
      </c>
      <c r="C59" s="59" t="s">
        <v>256</v>
      </c>
      <c r="D59" s="59" t="s">
        <v>30</v>
      </c>
      <c r="E59" s="128" t="s">
        <v>503</v>
      </c>
      <c r="F59" s="59" t="s">
        <v>14</v>
      </c>
      <c r="G59" s="62" t="s">
        <v>277</v>
      </c>
      <c r="H59" s="59" t="s">
        <v>39</v>
      </c>
      <c r="I59" s="63" t="s">
        <v>240</v>
      </c>
      <c r="J59" s="59" t="s">
        <v>30</v>
      </c>
      <c r="K59" s="59">
        <v>1</v>
      </c>
      <c r="L59" s="59" t="s">
        <v>45</v>
      </c>
      <c r="M59" s="85" t="s">
        <v>278</v>
      </c>
    </row>
    <row r="60" spans="1:13" s="17" customFormat="1">
      <c r="A60" s="11">
        <f t="shared" si="0"/>
        <v>55</v>
      </c>
      <c r="B60" s="81" t="s">
        <v>313</v>
      </c>
      <c r="C60" s="11" t="s">
        <v>257</v>
      </c>
      <c r="D60" s="11" t="s">
        <v>30</v>
      </c>
      <c r="E60" s="128" t="s">
        <v>504</v>
      </c>
      <c r="F60" s="11" t="s">
        <v>14</v>
      </c>
      <c r="G60" s="13" t="s">
        <v>238</v>
      </c>
      <c r="H60" s="11" t="s">
        <v>39</v>
      </c>
      <c r="I60" s="24" t="s">
        <v>241</v>
      </c>
      <c r="J60" s="11" t="s">
        <v>30</v>
      </c>
      <c r="K60" s="11">
        <v>1</v>
      </c>
      <c r="L60" s="11" t="s">
        <v>45</v>
      </c>
      <c r="M60" s="49" t="s">
        <v>196</v>
      </c>
    </row>
    <row r="61" spans="1:13" s="17" customFormat="1">
      <c r="A61" s="11">
        <f t="shared" si="0"/>
        <v>56</v>
      </c>
      <c r="B61" s="81" t="s">
        <v>230</v>
      </c>
      <c r="C61" s="59" t="s">
        <v>482</v>
      </c>
      <c r="D61" s="59" t="s">
        <v>30</v>
      </c>
      <c r="E61" s="128" t="s">
        <v>30</v>
      </c>
      <c r="F61" s="59" t="s">
        <v>14</v>
      </c>
      <c r="G61" s="62" t="s">
        <v>343</v>
      </c>
      <c r="H61" s="59" t="s">
        <v>39</v>
      </c>
      <c r="I61" s="63" t="s">
        <v>480</v>
      </c>
      <c r="J61" s="11" t="s">
        <v>30</v>
      </c>
      <c r="K61" s="11">
        <v>1</v>
      </c>
      <c r="L61" s="11" t="s">
        <v>45</v>
      </c>
      <c r="M61" s="49" t="s">
        <v>335</v>
      </c>
    </row>
    <row r="62" spans="1:13" s="17" customFormat="1">
      <c r="A62" s="11">
        <f t="shared" si="0"/>
        <v>57</v>
      </c>
      <c r="B62" s="81" t="s">
        <v>157</v>
      </c>
      <c r="C62" s="59" t="s">
        <v>260</v>
      </c>
      <c r="D62" s="59" t="s">
        <v>30</v>
      </c>
      <c r="E62" s="128" t="s">
        <v>506</v>
      </c>
      <c r="F62" s="59" t="s">
        <v>14</v>
      </c>
      <c r="G62" s="62" t="s">
        <v>236</v>
      </c>
      <c r="H62" s="59" t="s">
        <v>39</v>
      </c>
      <c r="I62" s="63" t="s">
        <v>243</v>
      </c>
      <c r="J62" s="11" t="s">
        <v>30</v>
      </c>
      <c r="K62" s="11">
        <v>1</v>
      </c>
      <c r="L62" s="11" t="s">
        <v>45</v>
      </c>
      <c r="M62" s="49" t="s">
        <v>198</v>
      </c>
    </row>
    <row r="63" spans="1:13" s="17" customFormat="1">
      <c r="A63" s="11">
        <f t="shared" si="0"/>
        <v>58</v>
      </c>
      <c r="B63" s="81" t="s">
        <v>121</v>
      </c>
      <c r="C63" s="59" t="s">
        <v>483</v>
      </c>
      <c r="D63" s="59" t="s">
        <v>30</v>
      </c>
      <c r="E63" s="128" t="s">
        <v>30</v>
      </c>
      <c r="F63" s="59" t="s">
        <v>14</v>
      </c>
      <c r="G63" s="62" t="s">
        <v>342</v>
      </c>
      <c r="H63" s="59" t="s">
        <v>39</v>
      </c>
      <c r="I63" s="63" t="s">
        <v>481</v>
      </c>
      <c r="J63" s="11" t="s">
        <v>30</v>
      </c>
      <c r="K63" s="11">
        <v>1</v>
      </c>
      <c r="L63" s="11" t="s">
        <v>45</v>
      </c>
      <c r="M63" s="49" t="s">
        <v>336</v>
      </c>
    </row>
    <row r="64" spans="1:13" s="17" customFormat="1">
      <c r="A64" s="11">
        <f t="shared" si="0"/>
        <v>59</v>
      </c>
      <c r="B64" s="81" t="s">
        <v>122</v>
      </c>
      <c r="C64" s="11" t="s">
        <v>261</v>
      </c>
      <c r="D64" s="11" t="s">
        <v>30</v>
      </c>
      <c r="E64" s="128" t="s">
        <v>508</v>
      </c>
      <c r="F64" s="11" t="s">
        <v>14</v>
      </c>
      <c r="G64" s="43" t="s">
        <v>169</v>
      </c>
      <c r="H64" s="11" t="s">
        <v>39</v>
      </c>
      <c r="I64" s="24" t="s">
        <v>245</v>
      </c>
      <c r="J64" s="11" t="s">
        <v>30</v>
      </c>
      <c r="K64" s="11">
        <v>1</v>
      </c>
      <c r="L64" s="11" t="s">
        <v>45</v>
      </c>
      <c r="M64" s="49" t="s">
        <v>200</v>
      </c>
    </row>
    <row r="65" spans="1:13" s="17" customFormat="1">
      <c r="A65" s="11">
        <f t="shared" si="0"/>
        <v>60</v>
      </c>
      <c r="B65" s="81" t="s">
        <v>123</v>
      </c>
      <c r="C65" s="11" t="s">
        <v>262</v>
      </c>
      <c r="D65" s="11" t="s">
        <v>30</v>
      </c>
      <c r="E65" s="128" t="s">
        <v>509</v>
      </c>
      <c r="F65" s="11" t="s">
        <v>14</v>
      </c>
      <c r="G65" s="43" t="s">
        <v>170</v>
      </c>
      <c r="H65" s="11" t="s">
        <v>39</v>
      </c>
      <c r="I65" s="24" t="s">
        <v>246</v>
      </c>
      <c r="J65" s="11" t="s">
        <v>30</v>
      </c>
      <c r="K65" s="11">
        <v>1</v>
      </c>
      <c r="L65" s="11" t="s">
        <v>45</v>
      </c>
      <c r="M65" s="49" t="s">
        <v>201</v>
      </c>
    </row>
    <row r="66" spans="1:13" s="17" customFormat="1">
      <c r="A66" s="11">
        <f t="shared" si="0"/>
        <v>61</v>
      </c>
      <c r="B66" s="81" t="s">
        <v>124</v>
      </c>
      <c r="C66" s="11" t="s">
        <v>263</v>
      </c>
      <c r="D66" s="11" t="s">
        <v>30</v>
      </c>
      <c r="E66" s="128" t="s">
        <v>510</v>
      </c>
      <c r="F66" s="11" t="s">
        <v>14</v>
      </c>
      <c r="G66" s="43" t="s">
        <v>171</v>
      </c>
      <c r="H66" s="11" t="s">
        <v>39</v>
      </c>
      <c r="I66" s="24" t="s">
        <v>247</v>
      </c>
      <c r="J66" s="11" t="s">
        <v>30</v>
      </c>
      <c r="K66" s="11">
        <v>1</v>
      </c>
      <c r="L66" s="11" t="s">
        <v>45</v>
      </c>
      <c r="M66" s="49" t="s">
        <v>202</v>
      </c>
    </row>
    <row r="67" spans="1:13" s="17" customFormat="1">
      <c r="A67" s="11">
        <f t="shared" si="0"/>
        <v>62</v>
      </c>
      <c r="B67" s="81" t="s">
        <v>158</v>
      </c>
      <c r="C67" s="11" t="s">
        <v>264</v>
      </c>
      <c r="D67" s="11" t="s">
        <v>30</v>
      </c>
      <c r="E67" s="128" t="s">
        <v>511</v>
      </c>
      <c r="F67" s="11" t="s">
        <v>14</v>
      </c>
      <c r="G67" s="43" t="s">
        <v>167</v>
      </c>
      <c r="H67" s="11" t="s">
        <v>39</v>
      </c>
      <c r="I67" s="24" t="s">
        <v>248</v>
      </c>
      <c r="J67" s="11" t="s">
        <v>30</v>
      </c>
      <c r="K67" s="11">
        <v>1</v>
      </c>
      <c r="L67" s="11" t="s">
        <v>45</v>
      </c>
      <c r="M67" s="49" t="s">
        <v>203</v>
      </c>
    </row>
    <row r="68" spans="1:13" s="17" customFormat="1">
      <c r="A68" s="11">
        <f t="shared" si="0"/>
        <v>63</v>
      </c>
      <c r="B68" s="81" t="s">
        <v>159</v>
      </c>
      <c r="C68" s="11" t="s">
        <v>338</v>
      </c>
      <c r="D68" s="11" t="s">
        <v>30</v>
      </c>
      <c r="E68" s="128" t="s">
        <v>512</v>
      </c>
      <c r="F68" s="11" t="s">
        <v>14</v>
      </c>
      <c r="G68" s="43" t="s">
        <v>172</v>
      </c>
      <c r="H68" s="11" t="s">
        <v>39</v>
      </c>
      <c r="I68" s="24" t="s">
        <v>249</v>
      </c>
      <c r="J68" s="11" t="s">
        <v>30</v>
      </c>
      <c r="K68" s="11">
        <v>1</v>
      </c>
      <c r="L68" s="11" t="s">
        <v>45</v>
      </c>
      <c r="M68" s="49" t="s">
        <v>204</v>
      </c>
    </row>
    <row r="69" spans="1:13" s="17" customFormat="1">
      <c r="A69" s="11">
        <f t="shared" si="0"/>
        <v>64</v>
      </c>
      <c r="B69" s="81" t="s">
        <v>179</v>
      </c>
      <c r="C69" s="11" t="s">
        <v>265</v>
      </c>
      <c r="D69" s="11" t="s">
        <v>30</v>
      </c>
      <c r="E69" s="128" t="s">
        <v>513</v>
      </c>
      <c r="F69" s="11" t="s">
        <v>14</v>
      </c>
      <c r="G69" s="43" t="s">
        <v>168</v>
      </c>
      <c r="H69" s="11" t="s">
        <v>39</v>
      </c>
      <c r="I69" s="24" t="s">
        <v>250</v>
      </c>
      <c r="J69" s="11" t="s">
        <v>30</v>
      </c>
      <c r="K69" s="11">
        <v>1</v>
      </c>
      <c r="L69" s="11" t="s">
        <v>45</v>
      </c>
      <c r="M69" s="49" t="s">
        <v>205</v>
      </c>
    </row>
    <row r="70" spans="1:13" s="17" customFormat="1">
      <c r="A70" s="11">
        <f t="shared" si="0"/>
        <v>65</v>
      </c>
      <c r="B70" s="81" t="s">
        <v>160</v>
      </c>
      <c r="C70" s="11" t="s">
        <v>266</v>
      </c>
      <c r="D70" s="11" t="s">
        <v>30</v>
      </c>
      <c r="E70" s="128" t="s">
        <v>514</v>
      </c>
      <c r="F70" s="11" t="s">
        <v>14</v>
      </c>
      <c r="G70" s="43" t="s">
        <v>173</v>
      </c>
      <c r="H70" s="11" t="s">
        <v>39</v>
      </c>
      <c r="I70" s="24" t="s">
        <v>251</v>
      </c>
      <c r="J70" s="11" t="s">
        <v>30</v>
      </c>
      <c r="K70" s="11">
        <v>1</v>
      </c>
      <c r="L70" s="11" t="s">
        <v>45</v>
      </c>
      <c r="M70" s="49" t="s">
        <v>206</v>
      </c>
    </row>
    <row r="71" spans="1:13" s="17" customFormat="1">
      <c r="A71" s="11">
        <f t="shared" si="0"/>
        <v>66</v>
      </c>
      <c r="B71" s="81" t="s">
        <v>280</v>
      </c>
      <c r="C71" s="11" t="s">
        <v>272</v>
      </c>
      <c r="D71" s="11" t="s">
        <v>30</v>
      </c>
      <c r="E71" s="128" t="s">
        <v>515</v>
      </c>
      <c r="F71" s="11" t="s">
        <v>14</v>
      </c>
      <c r="G71" s="43" t="s">
        <v>166</v>
      </c>
      <c r="H71" s="11" t="s">
        <v>39</v>
      </c>
      <c r="I71" s="56" t="s">
        <v>275</v>
      </c>
      <c r="J71" s="11" t="s">
        <v>30</v>
      </c>
      <c r="K71" s="11">
        <v>1</v>
      </c>
      <c r="L71" s="11" t="s">
        <v>45</v>
      </c>
      <c r="M71" s="49" t="s">
        <v>207</v>
      </c>
    </row>
    <row r="72" spans="1:13" s="17" customFormat="1">
      <c r="A72" s="11">
        <f t="shared" si="0"/>
        <v>67</v>
      </c>
      <c r="B72" s="81" t="s">
        <v>281</v>
      </c>
      <c r="C72" s="11" t="s">
        <v>267</v>
      </c>
      <c r="D72" s="11" t="s">
        <v>30</v>
      </c>
      <c r="E72" s="128" t="s">
        <v>516</v>
      </c>
      <c r="F72" s="11" t="s">
        <v>14</v>
      </c>
      <c r="G72" s="43" t="s">
        <v>174</v>
      </c>
      <c r="H72" s="11" t="s">
        <v>39</v>
      </c>
      <c r="I72" s="24" t="s">
        <v>252</v>
      </c>
      <c r="J72" s="11" t="s">
        <v>30</v>
      </c>
      <c r="K72" s="11">
        <v>1</v>
      </c>
      <c r="L72" s="11" t="s">
        <v>45</v>
      </c>
      <c r="M72" s="49" t="s">
        <v>208</v>
      </c>
    </row>
    <row r="73" spans="1:13" s="17" customFormat="1">
      <c r="A73" s="11">
        <f t="shared" si="0"/>
        <v>68</v>
      </c>
      <c r="B73" s="81" t="s">
        <v>282</v>
      </c>
      <c r="C73" s="11" t="s">
        <v>268</v>
      </c>
      <c r="D73" s="11" t="s">
        <v>30</v>
      </c>
      <c r="E73" s="128" t="s">
        <v>517</v>
      </c>
      <c r="F73" s="11" t="s">
        <v>14</v>
      </c>
      <c r="G73" s="43" t="s">
        <v>175</v>
      </c>
      <c r="H73" s="11" t="s">
        <v>39</v>
      </c>
      <c r="I73" s="24" t="s">
        <v>253</v>
      </c>
      <c r="J73" s="11" t="s">
        <v>30</v>
      </c>
      <c r="K73" s="11">
        <v>1</v>
      </c>
      <c r="L73" s="11" t="s">
        <v>45</v>
      </c>
      <c r="M73" s="49" t="s">
        <v>209</v>
      </c>
    </row>
    <row r="74" spans="1:13" s="17" customFormat="1">
      <c r="A74" s="11">
        <f t="shared" si="0"/>
        <v>69</v>
      </c>
      <c r="B74" s="81" t="s">
        <v>601</v>
      </c>
      <c r="C74" s="11" t="s">
        <v>269</v>
      </c>
      <c r="D74" s="11" t="s">
        <v>30</v>
      </c>
      <c r="E74" s="128" t="s">
        <v>518</v>
      </c>
      <c r="F74" s="11" t="s">
        <v>14</v>
      </c>
      <c r="G74" s="43" t="s">
        <v>194</v>
      </c>
      <c r="H74" s="11" t="s">
        <v>39</v>
      </c>
      <c r="I74" s="24" t="s">
        <v>254</v>
      </c>
      <c r="J74" s="11" t="s">
        <v>30</v>
      </c>
      <c r="K74" s="11">
        <v>1</v>
      </c>
      <c r="L74" s="11" t="s">
        <v>45</v>
      </c>
      <c r="M74" s="49" t="s">
        <v>210</v>
      </c>
    </row>
    <row r="75" spans="1:13" s="17" customFormat="1">
      <c r="A75" s="11">
        <f t="shared" si="0"/>
        <v>70</v>
      </c>
      <c r="B75" s="81" t="s">
        <v>602</v>
      </c>
      <c r="C75" s="11" t="s">
        <v>270</v>
      </c>
      <c r="D75" s="11" t="s">
        <v>30</v>
      </c>
      <c r="E75" s="128" t="s">
        <v>519</v>
      </c>
      <c r="F75" s="11" t="s">
        <v>14</v>
      </c>
      <c r="G75" s="43" t="s">
        <v>195</v>
      </c>
      <c r="H75" s="11" t="s">
        <v>39</v>
      </c>
      <c r="I75" s="24" t="s">
        <v>255</v>
      </c>
      <c r="J75" s="11" t="s">
        <v>30</v>
      </c>
      <c r="K75" s="11">
        <v>1</v>
      </c>
      <c r="L75" s="11" t="s">
        <v>45</v>
      </c>
      <c r="M75" s="49" t="s">
        <v>211</v>
      </c>
    </row>
    <row r="76" spans="1:13" s="17" customFormat="1">
      <c r="A76" s="11">
        <f t="shared" si="0"/>
        <v>71</v>
      </c>
      <c r="B76" s="81" t="s">
        <v>603</v>
      </c>
      <c r="C76" s="11" t="s">
        <v>273</v>
      </c>
      <c r="D76" s="11" t="s">
        <v>30</v>
      </c>
      <c r="E76" s="128" t="s">
        <v>520</v>
      </c>
      <c r="F76" s="11" t="s">
        <v>14</v>
      </c>
      <c r="G76" s="43" t="s">
        <v>212</v>
      </c>
      <c r="H76" s="11" t="s">
        <v>39</v>
      </c>
      <c r="I76" s="24" t="s">
        <v>274</v>
      </c>
      <c r="J76" s="11" t="s">
        <v>30</v>
      </c>
      <c r="K76" s="11">
        <v>1</v>
      </c>
      <c r="L76" s="11" t="s">
        <v>45</v>
      </c>
      <c r="M76" s="49" t="s">
        <v>219</v>
      </c>
    </row>
    <row r="77" spans="1:13" s="93" customFormat="1">
      <c r="A77" s="59">
        <f t="shared" si="0"/>
        <v>72</v>
      </c>
      <c r="B77" s="81" t="s">
        <v>598</v>
      </c>
      <c r="C77" s="77" t="s">
        <v>632</v>
      </c>
      <c r="D77" s="59" t="s">
        <v>30</v>
      </c>
      <c r="E77" s="128" t="s">
        <v>521</v>
      </c>
      <c r="F77" s="59" t="s">
        <v>14</v>
      </c>
      <c r="G77" s="62" t="s">
        <v>568</v>
      </c>
      <c r="H77" s="77" t="s">
        <v>633</v>
      </c>
      <c r="I77" s="61" t="s">
        <v>634</v>
      </c>
      <c r="J77" s="59" t="s">
        <v>30</v>
      </c>
      <c r="K77" s="59">
        <v>1</v>
      </c>
      <c r="L77" s="59" t="s">
        <v>279</v>
      </c>
      <c r="M77" s="87" t="s">
        <v>485</v>
      </c>
    </row>
    <row r="78" spans="1:13" s="93" customFormat="1">
      <c r="A78" s="59">
        <f t="shared" si="0"/>
        <v>73</v>
      </c>
      <c r="B78" s="81"/>
      <c r="C78" s="77" t="s">
        <v>635</v>
      </c>
      <c r="D78" s="59" t="s">
        <v>30</v>
      </c>
      <c r="E78" s="128" t="s">
        <v>521</v>
      </c>
      <c r="F78" s="59" t="s">
        <v>14</v>
      </c>
      <c r="G78" s="62" t="s">
        <v>568</v>
      </c>
      <c r="H78" s="77" t="s">
        <v>636</v>
      </c>
      <c r="I78" s="61" t="s">
        <v>637</v>
      </c>
      <c r="J78" s="59" t="s">
        <v>30</v>
      </c>
      <c r="K78" s="59"/>
      <c r="L78" s="59" t="s">
        <v>279</v>
      </c>
      <c r="M78" s="87"/>
    </row>
    <row r="79" spans="1:13" s="94" customFormat="1">
      <c r="A79" s="59">
        <v>63</v>
      </c>
      <c r="B79" s="81" t="s">
        <v>604</v>
      </c>
      <c r="C79" s="166" t="s">
        <v>610</v>
      </c>
      <c r="D79" s="59" t="s">
        <v>30</v>
      </c>
      <c r="E79" s="127" t="s">
        <v>34</v>
      </c>
      <c r="F79" s="59" t="s">
        <v>30</v>
      </c>
      <c r="G79" s="83" t="s">
        <v>611</v>
      </c>
      <c r="H79" s="59" t="s">
        <v>612</v>
      </c>
      <c r="I79" s="166" t="s">
        <v>609</v>
      </c>
      <c r="J79" s="67" t="s">
        <v>127</v>
      </c>
      <c r="K79" s="67">
        <v>1</v>
      </c>
      <c r="L79" s="77" t="s">
        <v>608</v>
      </c>
      <c r="M79" s="167" t="s">
        <v>613</v>
      </c>
    </row>
    <row r="80" spans="1:13" s="91" customFormat="1">
      <c r="A80" s="65">
        <f t="shared" ref="A80:A82" si="3">ROW(A80)-5</f>
        <v>75</v>
      </c>
      <c r="B80" s="170" t="s">
        <v>605</v>
      </c>
      <c r="C80" s="65" t="s">
        <v>615</v>
      </c>
      <c r="D80" s="171" t="s">
        <v>14</v>
      </c>
      <c r="E80" s="65" t="s">
        <v>34</v>
      </c>
      <c r="F80" s="65" t="s">
        <v>14</v>
      </c>
      <c r="G80" s="172" t="s">
        <v>616</v>
      </c>
      <c r="H80" s="173" t="s">
        <v>51</v>
      </c>
      <c r="I80" s="65" t="s">
        <v>615</v>
      </c>
      <c r="J80" s="171" t="s">
        <v>14</v>
      </c>
      <c r="K80" s="174">
        <v>3</v>
      </c>
      <c r="L80" s="173" t="s">
        <v>129</v>
      </c>
      <c r="M80" s="175" t="s">
        <v>620</v>
      </c>
    </row>
    <row r="81" spans="1:13" s="91" customFormat="1">
      <c r="A81" s="65">
        <f t="shared" si="3"/>
        <v>76</v>
      </c>
      <c r="B81" s="170" t="s">
        <v>606</v>
      </c>
      <c r="C81" s="65" t="s">
        <v>617</v>
      </c>
      <c r="D81" s="171" t="s">
        <v>14</v>
      </c>
      <c r="E81" s="65" t="s">
        <v>34</v>
      </c>
      <c r="F81" s="65" t="s">
        <v>14</v>
      </c>
      <c r="G81" s="177" t="s">
        <v>618</v>
      </c>
      <c r="H81" s="173" t="s">
        <v>51</v>
      </c>
      <c r="I81" s="65" t="s">
        <v>617</v>
      </c>
      <c r="J81" s="171" t="s">
        <v>14</v>
      </c>
      <c r="K81" s="178">
        <v>4</v>
      </c>
      <c r="L81" s="173" t="s">
        <v>129</v>
      </c>
      <c r="M81" s="167" t="s">
        <v>619</v>
      </c>
    </row>
    <row r="82" spans="1:13">
      <c r="A82" s="11">
        <f t="shared" si="3"/>
        <v>77</v>
      </c>
      <c r="B82" s="48" t="s">
        <v>607</v>
      </c>
      <c r="C82" s="11" t="s">
        <v>182</v>
      </c>
      <c r="D82" s="11" t="s">
        <v>30</v>
      </c>
      <c r="E82" s="51" t="s">
        <v>34</v>
      </c>
      <c r="F82" s="11" t="s">
        <v>30</v>
      </c>
      <c r="G82" s="54" t="s">
        <v>234</v>
      </c>
      <c r="H82" s="11" t="s">
        <v>156</v>
      </c>
      <c r="I82" s="11" t="s">
        <v>182</v>
      </c>
      <c r="J82" s="51" t="s">
        <v>127</v>
      </c>
      <c r="K82" s="51">
        <v>1</v>
      </c>
      <c r="L82" s="53" t="s">
        <v>129</v>
      </c>
      <c r="M82" s="11"/>
    </row>
    <row r="83" spans="1:13">
      <c r="B83" s="3"/>
      <c r="C83" s="2"/>
      <c r="H83" s="5"/>
      <c r="I83" s="2"/>
    </row>
    <row r="84" spans="1:13">
      <c r="A84" s="17"/>
      <c r="B84" s="1" t="s">
        <v>15</v>
      </c>
      <c r="C84" s="10" t="s">
        <v>16</v>
      </c>
      <c r="D84" s="18"/>
      <c r="E84" s="17"/>
      <c r="F84" s="17"/>
      <c r="G84" s="4"/>
      <c r="H84" s="17"/>
      <c r="I84" s="17"/>
      <c r="J84" s="17"/>
      <c r="L84" s="17"/>
    </row>
    <row r="85" spans="1:13">
      <c r="A85" s="17"/>
      <c r="B85" s="17"/>
      <c r="C85" s="15" t="s">
        <v>5</v>
      </c>
      <c r="D85" s="17"/>
      <c r="E85" s="17"/>
      <c r="F85" s="17"/>
      <c r="G85" s="16"/>
      <c r="H85" s="17"/>
      <c r="I85" s="17"/>
      <c r="J85" s="17"/>
      <c r="L85" s="17"/>
    </row>
    <row r="86" spans="1:13">
      <c r="A86" s="17"/>
      <c r="B86" s="17"/>
      <c r="C86" s="19" t="s">
        <v>6</v>
      </c>
      <c r="D86" s="17"/>
      <c r="E86" s="17"/>
      <c r="F86" s="17"/>
      <c r="G86" s="16"/>
      <c r="H86" s="17"/>
      <c r="I86" s="17"/>
      <c r="J86" s="17"/>
      <c r="L86" s="17"/>
    </row>
    <row r="87" spans="1:13">
      <c r="C87" s="20" t="s">
        <v>52</v>
      </c>
      <c r="G87" s="18"/>
    </row>
    <row r="88" spans="1:13" ht="47.25">
      <c r="C88" s="29" t="s">
        <v>53</v>
      </c>
    </row>
    <row r="89" spans="1:13">
      <c r="K89" s="7"/>
    </row>
    <row r="90" spans="1:13">
      <c r="G90" s="22"/>
    </row>
  </sheetData>
  <autoFilter ref="A5:L43" xr:uid="{00000000-0009-0000-0000-000001000000}"/>
  <mergeCells count="4">
    <mergeCell ref="A1:M1"/>
    <mergeCell ref="A2:M2"/>
    <mergeCell ref="A3:B3"/>
    <mergeCell ref="A4:B4"/>
  </mergeCells>
  <phoneticPr fontId="18" type="noConversion"/>
  <conditionalFormatting sqref="A59:A77 C75:D77 H77:L77 F77 F75:L76 A26 C26:D26 A82:XFD1048576 N79:XFD81 A11:D21 F11:XFD13 E11:E17 F17:XFD21 F14:L16 N14:XFD16 F26:XFD26">
    <cfRule type="containsText" dxfId="403" priority="279" operator="containsText" text="TBD">
      <formula>NOT(ISERROR(SEARCH("TBD",A11)))</formula>
    </cfRule>
  </conditionalFormatting>
  <conditionalFormatting sqref="A28 J36:XFD36 D37:G37 A33:B34 A36:B37 B39:B41 A39:A40 D39:G40 J39:XFD40 J37 L37:XFD37">
    <cfRule type="containsText" dxfId="402" priority="235" operator="containsText" text="TBD">
      <formula>NOT(ISERROR(SEARCH("TBD",A28)))</formula>
    </cfRule>
  </conditionalFormatting>
  <conditionalFormatting sqref="A22:D22 H23:L23 F22:F23 A23 C23:D23 B24 B26 B28">
    <cfRule type="containsText" dxfId="401" priority="307" operator="containsText" text="TBD">
      <formula>NOT(ISERROR(SEARCH("TBD",A22)))</formula>
    </cfRule>
  </conditionalFormatting>
  <conditionalFormatting sqref="A7:L7">
    <cfRule type="containsText" dxfId="400" priority="302" operator="containsText" text="TBD">
      <formula>NOT(ISERROR(SEARCH("TBD",A7)))</formula>
    </cfRule>
  </conditionalFormatting>
  <conditionalFormatting sqref="A21:D21 F21:L21 B23 B25 B27">
    <cfRule type="containsText" dxfId="399" priority="268" operator="containsText" text="TBD">
      <formula>NOT(ISERROR(SEARCH("TBD",A21)))</formula>
    </cfRule>
  </conditionalFormatting>
  <conditionalFormatting sqref="A53:L53">
    <cfRule type="containsText" dxfId="398" priority="278" operator="containsText" text="TBD">
      <formula>NOT(ISERROR(SEARCH("TBD",A53)))</formula>
    </cfRule>
  </conditionalFormatting>
  <conditionalFormatting sqref="A1:XFD5 B23 B25 B27 A7:XFD10 A6:D6 F6:L6 N6:XFD6">
    <cfRule type="containsText" dxfId="397" priority="231" operator="containsText" text="TBD">
      <formula>NOT(ISERROR(SEARCH("TBD",A1)))</formula>
    </cfRule>
  </conditionalFormatting>
  <conditionalFormatting sqref="A27 I27:XFD27 A24:A25 D25 J25:XFD25 F25:H25 F24:XFD24 C24:D24 C27:G27">
    <cfRule type="containsText" dxfId="396" priority="238" operator="containsText" text="TBD">
      <formula>NOT(ISERROR(SEARCH("TBD",A24)))</formula>
    </cfRule>
  </conditionalFormatting>
  <conditionalFormatting sqref="A41 D41:G41 A59:D59 A60:A77 C60:D60 A43:F43 I41:XFD41 I43:XFD43 C62:D62 J61:XFD61 J63:XFD63 D61 D63 A78:D78 H78:XFD78 H77:L77 N77:XFD77 C64:D77 F77:F78 F63:H63 F61:H61 F64:XFD76 F62:XFD62 F59:XFD60 A53:XFD54 B61 B63 B65 B67 B69 B71 B73 B75 B77">
    <cfRule type="containsText" dxfId="395" priority="230" operator="containsText" text="TBD">
      <formula>NOT(ISERROR(SEARCH("TBD",A41)))</formula>
    </cfRule>
  </conditionalFormatting>
  <conditionalFormatting sqref="C54">
    <cfRule type="containsText" dxfId="394" priority="242" operator="containsText" text="TBD">
      <formula>NOT(ISERROR(SEARCH("TBD",C54)))</formula>
    </cfRule>
  </conditionalFormatting>
  <conditionalFormatting sqref="C84:C87">
    <cfRule type="containsText" dxfId="393" priority="314" operator="containsText" text="TBD">
      <formula>NOT(ISERROR(SEARCH("TBD",C84)))</formula>
    </cfRule>
  </conditionalFormatting>
  <conditionalFormatting sqref="C34:F34 D33:F33">
    <cfRule type="containsText" dxfId="392" priority="237" operator="containsText" text="TBD">
      <formula>NOT(ISERROR(SEARCH("TBD",C33)))</formula>
    </cfRule>
  </conditionalFormatting>
  <conditionalFormatting sqref="C59:D60 C62:D62 D61 J61:L61 C64:D70 D63 J63:L63 F63:H63 F64:L70 F61:H61 F62:L62 F59:L60">
    <cfRule type="containsText" dxfId="391" priority="289" operator="containsText" text="TBD">
      <formula>NOT(ISERROR(SEARCH("TBD",C59)))</formula>
    </cfRule>
  </conditionalFormatting>
  <conditionalFormatting sqref="G33:G34 G36">
    <cfRule type="containsText" dxfId="390" priority="252" operator="containsText" text="TBD">
      <formula>NOT(ISERROR(SEARCH("TBD",G33)))</formula>
    </cfRule>
  </conditionalFormatting>
  <conditionalFormatting sqref="H22:XFD23 C28:G28 D36:F36 I28:XFD28">
    <cfRule type="containsText" dxfId="389" priority="315" operator="containsText" text="TBD">
      <formula>NOT(ISERROR(SEARCH("TBD",C22)))</formula>
    </cfRule>
  </conditionalFormatting>
  <conditionalFormatting sqref="I34:XFD34 J33:XFD33">
    <cfRule type="containsText" dxfId="388" priority="236" operator="containsText" text="TBD">
      <formula>NOT(ISERROR(SEARCH("TBD",I33)))</formula>
    </cfRule>
  </conditionalFormatting>
  <conditionalFormatting sqref="I39:I40">
    <cfRule type="containsText" dxfId="387" priority="233" operator="containsText" text="TBD">
      <formula>NOT(ISERROR(SEARCH("TBD",I39)))</formula>
    </cfRule>
  </conditionalFormatting>
  <conditionalFormatting sqref="M5">
    <cfRule type="containsText" dxfId="386" priority="303" operator="containsText" text="TBD">
      <formula>NOT(ISERROR(SEARCH("TBD",M5)))</formula>
    </cfRule>
  </conditionalFormatting>
  <conditionalFormatting sqref="C36:C37 C39:C41">
    <cfRule type="containsText" dxfId="385" priority="229" operator="containsText" text="TBD">
      <formula>NOT(ISERROR(SEARCH("TBD",C36)))</formula>
    </cfRule>
  </conditionalFormatting>
  <conditionalFormatting sqref="C58">
    <cfRule type="containsText" dxfId="384" priority="228" operator="containsText" text="TBD">
      <formula>NOT(ISERROR(SEARCH("TBD",C58)))</formula>
    </cfRule>
  </conditionalFormatting>
  <conditionalFormatting sqref="A58:D58 I58:XFD58 F58:G58 B60 B62 B64 B66 B68 B70 B72 B74 B76">
    <cfRule type="containsText" dxfId="383" priority="225" operator="containsText" text="TBD">
      <formula>NOT(ISERROR(SEARCH("TBD",A58)))</formula>
    </cfRule>
  </conditionalFormatting>
  <conditionalFormatting sqref="C58">
    <cfRule type="containsText" dxfId="382" priority="226" operator="containsText" text="TBD">
      <formula>NOT(ISERROR(SEARCH("TBD",C58)))</formula>
    </cfRule>
  </conditionalFormatting>
  <conditionalFormatting sqref="I58">
    <cfRule type="containsText" dxfId="381" priority="227" operator="containsText" text="TBD">
      <formula>NOT(ISERROR(SEARCH("TBD",I58)))</formula>
    </cfRule>
  </conditionalFormatting>
  <conditionalFormatting sqref="C58">
    <cfRule type="containsText" dxfId="380" priority="224" operator="containsText" text="TBD">
      <formula>NOT(ISERROR(SEARCH("TBD",C58)))</formula>
    </cfRule>
  </conditionalFormatting>
  <conditionalFormatting sqref="H58">
    <cfRule type="containsText" dxfId="379" priority="223" operator="containsText" text="TBD">
      <formula>NOT(ISERROR(SEARCH("TBD",H58)))</formula>
    </cfRule>
  </conditionalFormatting>
  <conditionalFormatting sqref="H27 H43">
    <cfRule type="containsText" dxfId="378" priority="221" operator="containsText" text="TBD">
      <formula>NOT(ISERROR(SEARCH("TBD",H27)))</formula>
    </cfRule>
  </conditionalFormatting>
  <conditionalFormatting sqref="C42">
    <cfRule type="containsText" dxfId="377" priority="220" operator="containsText" text="TBD">
      <formula>NOT(ISERROR(SEARCH("TBD",C42)))</formula>
    </cfRule>
  </conditionalFormatting>
  <conditionalFormatting sqref="A42:XFD42">
    <cfRule type="containsText" dxfId="376" priority="219" operator="containsText" text="TBD">
      <formula>NOT(ISERROR(SEARCH("TBD",A42)))</formula>
    </cfRule>
  </conditionalFormatting>
  <conditionalFormatting sqref="C44">
    <cfRule type="containsText" dxfId="375" priority="218" operator="containsText" text="TBD">
      <formula>NOT(ISERROR(SEARCH("TBD",C44)))</formula>
    </cfRule>
  </conditionalFormatting>
  <conditionalFormatting sqref="A44:F44 H44:XFD44">
    <cfRule type="containsText" dxfId="374" priority="217" operator="containsText" text="TBD">
      <formula>NOT(ISERROR(SEARCH("TBD",A44)))</formula>
    </cfRule>
  </conditionalFormatting>
  <conditionalFormatting sqref="C29">
    <cfRule type="containsText" dxfId="373" priority="216" operator="containsText" text="TBD">
      <formula>NOT(ISERROR(SEARCH("TBD",C29)))</formula>
    </cfRule>
  </conditionalFormatting>
  <conditionalFormatting sqref="A29:G29 I29:XFD29">
    <cfRule type="containsText" dxfId="372" priority="215" operator="containsText" text="TBD">
      <formula>NOT(ISERROR(SEARCH("TBD",A29)))</formula>
    </cfRule>
  </conditionalFormatting>
  <conditionalFormatting sqref="G43:G44">
    <cfRule type="containsText" dxfId="371" priority="214" operator="containsText" text="TBD">
      <formula>NOT(ISERROR(SEARCH("TBD",G43)))</formula>
    </cfRule>
  </conditionalFormatting>
  <conditionalFormatting sqref="C33">
    <cfRule type="containsText" dxfId="370" priority="213" operator="containsText" text="TBD">
      <formula>NOT(ISERROR(SEARCH("TBD",C33)))</formula>
    </cfRule>
  </conditionalFormatting>
  <conditionalFormatting sqref="I33">
    <cfRule type="containsText" dxfId="369" priority="212" operator="containsText" text="TBD">
      <formula>NOT(ISERROR(SEARCH("TBD",I33)))</formula>
    </cfRule>
  </conditionalFormatting>
  <conditionalFormatting sqref="H28 H33:H34 H36:H37 H39:H41">
    <cfRule type="containsText" dxfId="368" priority="211" operator="containsText" text="TBD">
      <formula>NOT(ISERROR(SEARCH("TBD",H28)))</formula>
    </cfRule>
  </conditionalFormatting>
  <conditionalFormatting sqref="H29">
    <cfRule type="containsText" dxfId="367" priority="210" operator="containsText" text="TBD">
      <formula>NOT(ISERROR(SEARCH("TBD",H29)))</formula>
    </cfRule>
  </conditionalFormatting>
  <conditionalFormatting sqref="I61">
    <cfRule type="containsText" dxfId="366" priority="208" operator="containsText" text="TBD">
      <formula>NOT(ISERROR(SEARCH("TBD",I61)))</formula>
    </cfRule>
  </conditionalFormatting>
  <conditionalFormatting sqref="I61">
    <cfRule type="containsText" dxfId="365" priority="209" operator="containsText" text="TBD">
      <formula>NOT(ISERROR(SEARCH("TBD",I61)))</formula>
    </cfRule>
  </conditionalFormatting>
  <conditionalFormatting sqref="I63">
    <cfRule type="containsText" dxfId="364" priority="206" operator="containsText" text="TBD">
      <formula>NOT(ISERROR(SEARCH("TBD",I63)))</formula>
    </cfRule>
  </conditionalFormatting>
  <conditionalFormatting sqref="I63">
    <cfRule type="containsText" dxfId="363" priority="207" operator="containsText" text="TBD">
      <formula>NOT(ISERROR(SEARCH("TBD",I63)))</formula>
    </cfRule>
  </conditionalFormatting>
  <conditionalFormatting sqref="C61">
    <cfRule type="containsText" dxfId="362" priority="204" operator="containsText" text="TBD">
      <formula>NOT(ISERROR(SEARCH("TBD",C61)))</formula>
    </cfRule>
  </conditionalFormatting>
  <conditionalFormatting sqref="C61">
    <cfRule type="containsText" dxfId="361" priority="205" operator="containsText" text="TBD">
      <formula>NOT(ISERROR(SEARCH("TBD",C61)))</formula>
    </cfRule>
  </conditionalFormatting>
  <conditionalFormatting sqref="C63">
    <cfRule type="containsText" dxfId="360" priority="202" operator="containsText" text="TBD">
      <formula>NOT(ISERROR(SEARCH("TBD",C63)))</formula>
    </cfRule>
  </conditionalFormatting>
  <conditionalFormatting sqref="C63">
    <cfRule type="containsText" dxfId="359" priority="203" operator="containsText" text="TBD">
      <formula>NOT(ISERROR(SEARCH("TBD",C63)))</formula>
    </cfRule>
  </conditionalFormatting>
  <conditionalFormatting sqref="M77">
    <cfRule type="containsText" dxfId="358" priority="198" operator="containsText" text="TBD">
      <formula>NOT(ISERROR(SEARCH("TBD",M77)))</formula>
    </cfRule>
  </conditionalFormatting>
  <conditionalFormatting sqref="G55:G57">
    <cfRule type="containsText" dxfId="357" priority="189" operator="containsText" text="TBD">
      <formula>NOT(ISERROR(SEARCH("TBD",G55)))</formula>
    </cfRule>
  </conditionalFormatting>
  <conditionalFormatting sqref="A55:B55 J55:XFD55 D55 F55">
    <cfRule type="containsText" dxfId="356" priority="197" operator="containsText" text="TBD">
      <formula>NOT(ISERROR(SEARCH("TBD",A55)))</formula>
    </cfRule>
  </conditionalFormatting>
  <conditionalFormatting sqref="A56:B56 J56:XFD56 D56 F56">
    <cfRule type="containsText" dxfId="355" priority="196" operator="containsText" text="TBD">
      <formula>NOT(ISERROR(SEARCH("TBD",A56)))</formula>
    </cfRule>
  </conditionalFormatting>
  <conditionalFormatting sqref="A57:B57 J57:XFD57 D57 F57">
    <cfRule type="containsText" dxfId="354" priority="195" operator="containsText" text="TBD">
      <formula>NOT(ISERROR(SEARCH("TBD",A57)))</formula>
    </cfRule>
  </conditionalFormatting>
  <conditionalFormatting sqref="H55:I57">
    <cfRule type="containsText" dxfId="353" priority="190" operator="containsText" text="TBD">
      <formula>NOT(ISERROR(SEARCH("TBD",H55)))</formula>
    </cfRule>
  </conditionalFormatting>
  <conditionalFormatting sqref="H55:I57">
    <cfRule type="containsText" dxfId="352" priority="191" operator="containsText" text="TBD">
      <formula>NOT(ISERROR(SEARCH("TBD",H55)))</formula>
    </cfRule>
  </conditionalFormatting>
  <conditionalFormatting sqref="C55:C57">
    <cfRule type="containsText" dxfId="351" priority="194" operator="containsText" text="TBD">
      <formula>NOT(ISERROR(SEARCH("TBD",C55)))</formula>
    </cfRule>
  </conditionalFormatting>
  <conditionalFormatting sqref="C55:C57">
    <cfRule type="containsText" dxfId="350" priority="192" operator="containsText" text="TBD">
      <formula>NOT(ISERROR(SEARCH("TBD",C55)))</formula>
    </cfRule>
  </conditionalFormatting>
  <conditionalFormatting sqref="C55:C57">
    <cfRule type="containsText" dxfId="349" priority="193" operator="containsText" text="TBD">
      <formula>NOT(ISERROR(SEARCH("TBD",C55)))</formula>
    </cfRule>
  </conditionalFormatting>
  <conditionalFormatting sqref="C25">
    <cfRule type="containsText" dxfId="348" priority="172" operator="containsText" text="TBD">
      <formula>NOT(ISERROR(SEARCH("TBD",C25)))</formula>
    </cfRule>
  </conditionalFormatting>
  <conditionalFormatting sqref="H30">
    <cfRule type="containsText" dxfId="347" priority="166" operator="containsText" text="TBD">
      <formula>NOT(ISERROR(SEARCH("TBD",H30)))</formula>
    </cfRule>
  </conditionalFormatting>
  <conditionalFormatting sqref="E59:E78">
    <cfRule type="containsText" dxfId="346" priority="174" operator="containsText" text="TBD">
      <formula>NOT(ISERROR(SEARCH("TBD",E59)))</formula>
    </cfRule>
  </conditionalFormatting>
  <conditionalFormatting sqref="E59:E78">
    <cfRule type="containsText" dxfId="345" priority="176" operator="containsText" text="TBD">
      <formula>NOT(ISERROR(SEARCH("TBD",E59)))</formula>
    </cfRule>
  </conditionalFormatting>
  <conditionalFormatting sqref="A32:G32 I32:L32 N32:XFD32">
    <cfRule type="containsText" dxfId="344" priority="158" operator="containsText" text="TBD">
      <formula>NOT(ISERROR(SEARCH("TBD",A32)))</formula>
    </cfRule>
  </conditionalFormatting>
  <conditionalFormatting sqref="E59:E78">
    <cfRule type="containsText" dxfId="343" priority="175" operator="containsText" text="TBD">
      <formula>NOT(ISERROR(SEARCH("TBD",E59)))</formula>
    </cfRule>
  </conditionalFormatting>
  <conditionalFormatting sqref="E59:E78">
    <cfRule type="containsText" dxfId="342" priority="173" operator="containsText" text="TBD">
      <formula>NOT(ISERROR(SEARCH("TBD",E59)))</formula>
    </cfRule>
  </conditionalFormatting>
  <conditionalFormatting sqref="C31">
    <cfRule type="containsText" dxfId="341" priority="168" operator="containsText" text="TBD">
      <formula>NOT(ISERROR(SEARCH("TBD",C31)))</formula>
    </cfRule>
  </conditionalFormatting>
  <conditionalFormatting sqref="A31:G31 I31:L31 N31:XFD31">
    <cfRule type="containsText" dxfId="340" priority="167" operator="containsText" text="TBD">
      <formula>NOT(ISERROR(SEARCH("TBD",A31)))</formula>
    </cfRule>
  </conditionalFormatting>
  <conditionalFormatting sqref="I30">
    <cfRule type="containsText" dxfId="339" priority="161" operator="containsText" text="TBD">
      <formula>NOT(ISERROR(SEARCH("TBD",I30)))</formula>
    </cfRule>
  </conditionalFormatting>
  <conditionalFormatting sqref="I30">
    <cfRule type="containsText" dxfId="338" priority="160" operator="containsText" text="TBD">
      <formula>NOT(ISERROR(SEARCH("TBD",I30)))</formula>
    </cfRule>
  </conditionalFormatting>
  <conditionalFormatting sqref="H31">
    <cfRule type="containsText" dxfId="337" priority="165" operator="containsText" text="TBD">
      <formula>NOT(ISERROR(SEARCH("TBD",H31)))</formula>
    </cfRule>
  </conditionalFormatting>
  <conditionalFormatting sqref="C32">
    <cfRule type="containsText" dxfId="336" priority="159" operator="containsText" text="TBD">
      <formula>NOT(ISERROR(SEARCH("TBD",C32)))</formula>
    </cfRule>
  </conditionalFormatting>
  <conditionalFormatting sqref="C30">
    <cfRule type="containsText" dxfId="335" priority="164" operator="containsText" text="TBD">
      <formula>NOT(ISERROR(SEARCH("TBD",C30)))</formula>
    </cfRule>
  </conditionalFormatting>
  <conditionalFormatting sqref="I25">
    <cfRule type="containsText" dxfId="334" priority="171" operator="containsText" text="TBD">
      <formula>NOT(ISERROR(SEARCH("TBD",I25)))</formula>
    </cfRule>
  </conditionalFormatting>
  <conditionalFormatting sqref="A30:B30">
    <cfRule type="containsText" dxfId="333" priority="169" operator="containsText" text="TBD">
      <formula>NOT(ISERROR(SEARCH("TBD",A30)))</formula>
    </cfRule>
  </conditionalFormatting>
  <conditionalFormatting sqref="D30:F30 J30:L30 N30:XFD30">
    <cfRule type="containsText" dxfId="332" priority="170" operator="containsText" text="TBD">
      <formula>NOT(ISERROR(SEARCH("TBD",D30)))</formula>
    </cfRule>
  </conditionalFormatting>
  <conditionalFormatting sqref="G30">
    <cfRule type="containsText" dxfId="331" priority="162" operator="containsText" text="TBD">
      <formula>NOT(ISERROR(SEARCH("TBD",G30)))</formula>
    </cfRule>
  </conditionalFormatting>
  <conditionalFormatting sqref="E18:E24">
    <cfRule type="containsText" dxfId="330" priority="149" operator="containsText" text="TBD">
      <formula>NOT(ISERROR(SEARCH("TBD",E18)))</formula>
    </cfRule>
  </conditionalFormatting>
  <conditionalFormatting sqref="C30">
    <cfRule type="containsText" dxfId="329" priority="163" operator="containsText" text="TBD">
      <formula>NOT(ISERROR(SEARCH("TBD",C30)))</formula>
    </cfRule>
  </conditionalFormatting>
  <conditionalFormatting sqref="E18:E24">
    <cfRule type="containsText" dxfId="328" priority="151" operator="containsText" text="TBD">
      <formula>NOT(ISERROR(SEARCH("TBD",E18)))</formula>
    </cfRule>
  </conditionalFormatting>
  <conditionalFormatting sqref="E18:E24">
    <cfRule type="containsText" dxfId="327" priority="150" operator="containsText" text="TBD">
      <formula>NOT(ISERROR(SEARCH("TBD",E18)))</formula>
    </cfRule>
  </conditionalFormatting>
  <conditionalFormatting sqref="H32">
    <cfRule type="containsText" dxfId="326" priority="157" operator="containsText" text="TBD">
      <formula>NOT(ISERROR(SEARCH("TBD",H32)))</formula>
    </cfRule>
  </conditionalFormatting>
  <conditionalFormatting sqref="M30:M32">
    <cfRule type="containsText" dxfId="325" priority="156" operator="containsText" text="TBD">
      <formula>NOT(ISERROR(SEARCH("TBD",M30)))</formula>
    </cfRule>
  </conditionalFormatting>
  <conditionalFormatting sqref="H45">
    <cfRule type="containsText" dxfId="324" priority="145" operator="containsText" text="TBD">
      <formula>NOT(ISERROR(SEARCH("TBD",H45)))</formula>
    </cfRule>
  </conditionalFormatting>
  <conditionalFormatting sqref="C45 C47">
    <cfRule type="containsText" dxfId="323" priority="143" operator="containsText" text="TBD">
      <formula>NOT(ISERROR(SEARCH("TBD",C45)))</formula>
    </cfRule>
  </conditionalFormatting>
  <conditionalFormatting sqref="C45 C47">
    <cfRule type="containsText" dxfId="322" priority="144" operator="containsText" text="TBD">
      <formula>NOT(ISERROR(SEARCH("TBD",C45)))</formula>
    </cfRule>
  </conditionalFormatting>
  <conditionalFormatting sqref="A49:B49">
    <cfRule type="containsText" dxfId="321" priority="125" operator="containsText" text="TBD">
      <formula>NOT(ISERROR(SEARCH("TBD",A49)))</formula>
    </cfRule>
  </conditionalFormatting>
  <conditionalFormatting sqref="D49:F49 J49:L49 N49:XFD49">
    <cfRule type="containsText" dxfId="320" priority="126" operator="containsText" text="TBD">
      <formula>NOT(ISERROR(SEARCH("TBD",D49)))</formula>
    </cfRule>
  </conditionalFormatting>
  <conditionalFormatting sqref="E18:E24">
    <cfRule type="containsText" dxfId="319" priority="148" operator="containsText" text="TBD">
      <formula>NOT(ISERROR(SEARCH("TBD",E18)))</formula>
    </cfRule>
  </conditionalFormatting>
  <conditionalFormatting sqref="H47">
    <cfRule type="containsText" dxfId="318" priority="133" operator="containsText" text="TBD">
      <formula>NOT(ISERROR(SEARCH("TBD",H47)))</formula>
    </cfRule>
  </conditionalFormatting>
  <conditionalFormatting sqref="A45:B45">
    <cfRule type="containsText" dxfId="317" priority="146" operator="containsText" text="TBD">
      <formula>NOT(ISERROR(SEARCH("TBD",A45)))</formula>
    </cfRule>
  </conditionalFormatting>
  <conditionalFormatting sqref="D45:F45 J45:L45 N45:XFD45">
    <cfRule type="containsText" dxfId="316" priority="147" operator="containsText" text="TBD">
      <formula>NOT(ISERROR(SEARCH("TBD",D45)))</formula>
    </cfRule>
  </conditionalFormatting>
  <conditionalFormatting sqref="I49">
    <cfRule type="containsText" dxfId="315" priority="120" operator="containsText" text="TBD">
      <formula>NOT(ISERROR(SEARCH("TBD",I49)))</formula>
    </cfRule>
  </conditionalFormatting>
  <conditionalFormatting sqref="I49">
    <cfRule type="containsText" dxfId="314" priority="119" operator="containsText" text="TBD">
      <formula>NOT(ISERROR(SEARCH("TBD",I49)))</formula>
    </cfRule>
  </conditionalFormatting>
  <conditionalFormatting sqref="G45">
    <cfRule type="containsText" dxfId="313" priority="107" operator="containsText" text="TBD">
      <formula>NOT(ISERROR(SEARCH("TBD",G45)))</formula>
    </cfRule>
  </conditionalFormatting>
  <conditionalFormatting sqref="A47:B47">
    <cfRule type="containsText" dxfId="312" priority="134" operator="containsText" text="TBD">
      <formula>NOT(ISERROR(SEARCH("TBD",A47)))</formula>
    </cfRule>
  </conditionalFormatting>
  <conditionalFormatting sqref="D47:F47 J47:L47 N47:XFD47">
    <cfRule type="containsText" dxfId="311" priority="135" operator="containsText" text="TBD">
      <formula>NOT(ISERROR(SEARCH("TBD",D47)))</formula>
    </cfRule>
  </conditionalFormatting>
  <conditionalFormatting sqref="H49">
    <cfRule type="containsText" dxfId="310" priority="124" operator="containsText" text="TBD">
      <formula>NOT(ISERROR(SEARCH("TBD",H49)))</formula>
    </cfRule>
  </conditionalFormatting>
  <conditionalFormatting sqref="G47">
    <cfRule type="containsText" dxfId="309" priority="130" operator="containsText" text="TBD">
      <formula>NOT(ISERROR(SEARCH("TBD",G47)))</formula>
    </cfRule>
  </conditionalFormatting>
  <conditionalFormatting sqref="A50:B50">
    <cfRule type="containsText" dxfId="308" priority="116" operator="containsText" text="TBD">
      <formula>NOT(ISERROR(SEARCH("TBD",A50)))</formula>
    </cfRule>
  </conditionalFormatting>
  <conditionalFormatting sqref="D50:F50 J50:L50 N50:XFD50">
    <cfRule type="containsText" dxfId="307" priority="117" operator="containsText" text="TBD">
      <formula>NOT(ISERROR(SEARCH("TBD",D50)))</formula>
    </cfRule>
  </conditionalFormatting>
  <conditionalFormatting sqref="C49">
    <cfRule type="containsText" dxfId="306" priority="123" operator="containsText" text="TBD">
      <formula>NOT(ISERROR(SEARCH("TBD",C49)))</formula>
    </cfRule>
  </conditionalFormatting>
  <conditionalFormatting sqref="C49">
    <cfRule type="containsText" dxfId="305" priority="122" operator="containsText" text="TBD">
      <formula>NOT(ISERROR(SEARCH("TBD",C49)))</formula>
    </cfRule>
  </conditionalFormatting>
  <conditionalFormatting sqref="C50">
    <cfRule type="containsText" dxfId="304" priority="114" operator="containsText" text="TBD">
      <formula>NOT(ISERROR(SEARCH("TBD",C50)))</formula>
    </cfRule>
  </conditionalFormatting>
  <conditionalFormatting sqref="I47">
    <cfRule type="containsText" dxfId="303" priority="106" operator="containsText" text="TBD">
      <formula>NOT(ISERROR(SEARCH("TBD",I47)))</formula>
    </cfRule>
  </conditionalFormatting>
  <conditionalFormatting sqref="C50">
    <cfRule type="containsText" dxfId="302" priority="113" operator="containsText" text="TBD">
      <formula>NOT(ISERROR(SEARCH("TBD",C50)))</formula>
    </cfRule>
  </conditionalFormatting>
  <conditionalFormatting sqref="G50">
    <cfRule type="containsText" dxfId="301" priority="112" operator="containsText" text="TBD">
      <formula>NOT(ISERROR(SEARCH("TBD",G50)))</formula>
    </cfRule>
  </conditionalFormatting>
  <conditionalFormatting sqref="I50">
    <cfRule type="containsText" dxfId="300" priority="111" operator="containsText" text="TBD">
      <formula>NOT(ISERROR(SEARCH("TBD",I50)))</formula>
    </cfRule>
  </conditionalFormatting>
  <conditionalFormatting sqref="I50">
    <cfRule type="containsText" dxfId="299" priority="110" operator="containsText" text="TBD">
      <formula>NOT(ISERROR(SEARCH("TBD",I50)))</formula>
    </cfRule>
  </conditionalFormatting>
  <conditionalFormatting sqref="I45">
    <cfRule type="containsText" dxfId="298" priority="108" operator="containsText" text="TBD">
      <formula>NOT(ISERROR(SEARCH("TBD",I45)))</formula>
    </cfRule>
  </conditionalFormatting>
  <conditionalFormatting sqref="E55">
    <cfRule type="containsText" dxfId="297" priority="98" operator="containsText" text="TBD">
      <formula>NOT(ISERROR(SEARCH("TBD",E55)))</formula>
    </cfRule>
  </conditionalFormatting>
  <conditionalFormatting sqref="E55">
    <cfRule type="containsText" dxfId="296" priority="97" operator="containsText" text="TBD">
      <formula>NOT(ISERROR(SEARCH("TBD",E55)))</formula>
    </cfRule>
  </conditionalFormatting>
  <conditionalFormatting sqref="G49">
    <cfRule type="containsText" dxfId="295" priority="105" operator="containsText" text="TBD">
      <formula>NOT(ISERROR(SEARCH("TBD",G49)))</formula>
    </cfRule>
  </conditionalFormatting>
  <conditionalFormatting sqref="H50">
    <cfRule type="containsText" dxfId="294" priority="104" operator="containsText" text="TBD">
      <formula>NOT(ISERROR(SEARCH("TBD",H50)))</formula>
    </cfRule>
  </conditionalFormatting>
  <conditionalFormatting sqref="M45">
    <cfRule type="containsText" dxfId="293" priority="103" operator="containsText" text="TBD">
      <formula>NOT(ISERROR(SEARCH("TBD",M45)))</formula>
    </cfRule>
  </conditionalFormatting>
  <conditionalFormatting sqref="M47">
    <cfRule type="containsText" dxfId="292" priority="102" operator="containsText" text="TBD">
      <formula>NOT(ISERROR(SEARCH("TBD",M47)))</formula>
    </cfRule>
  </conditionalFormatting>
  <conditionalFormatting sqref="M49">
    <cfRule type="containsText" dxfId="291" priority="101" operator="containsText" text="TBD">
      <formula>NOT(ISERROR(SEARCH("TBD",M49)))</formula>
    </cfRule>
  </conditionalFormatting>
  <conditionalFormatting sqref="M50">
    <cfRule type="containsText" dxfId="290" priority="100" operator="containsText" text="TBD">
      <formula>NOT(ISERROR(SEARCH("TBD",M50)))</formula>
    </cfRule>
  </conditionalFormatting>
  <conditionalFormatting sqref="E54">
    <cfRule type="containsText" dxfId="289" priority="99" operator="containsText" text="TBD">
      <formula>NOT(ISERROR(SEARCH("TBD",E54)))</formula>
    </cfRule>
  </conditionalFormatting>
  <conditionalFormatting sqref="M46">
    <cfRule type="containsText" dxfId="288" priority="82" operator="containsText" text="TBD">
      <formula>NOT(ISERROR(SEARCH("TBD",M46)))</formula>
    </cfRule>
  </conditionalFormatting>
  <conditionalFormatting sqref="D48:F48 J48:L48 N48:XFD48">
    <cfRule type="containsText" dxfId="287" priority="81" operator="containsText" text="TBD">
      <formula>NOT(ISERROR(SEARCH("TBD",D48)))</formula>
    </cfRule>
  </conditionalFormatting>
  <conditionalFormatting sqref="E56:E57">
    <cfRule type="containsText" dxfId="286" priority="96" operator="containsText" text="TBD">
      <formula>NOT(ISERROR(SEARCH("TBD",E56)))</formula>
    </cfRule>
  </conditionalFormatting>
  <conditionalFormatting sqref="E56:E57">
    <cfRule type="containsText" dxfId="285" priority="95" operator="containsText" text="TBD">
      <formula>NOT(ISERROR(SEARCH("TBD",E56)))</formula>
    </cfRule>
  </conditionalFormatting>
  <conditionalFormatting sqref="E58">
    <cfRule type="containsText" dxfId="284" priority="92" operator="containsText" text="TBD">
      <formula>NOT(ISERROR(SEARCH("TBD",E58)))</formula>
    </cfRule>
  </conditionalFormatting>
  <conditionalFormatting sqref="E58">
    <cfRule type="containsText" dxfId="283" priority="94" operator="containsText" text="TBD">
      <formula>NOT(ISERROR(SEARCH("TBD",E58)))</formula>
    </cfRule>
  </conditionalFormatting>
  <conditionalFormatting sqref="E58">
    <cfRule type="containsText" dxfId="282" priority="93" operator="containsText" text="TBD">
      <formula>NOT(ISERROR(SEARCH("TBD",E58)))</formula>
    </cfRule>
  </conditionalFormatting>
  <conditionalFormatting sqref="G77:G78">
    <cfRule type="containsText" dxfId="281" priority="91" operator="containsText" text="TBD">
      <formula>NOT(ISERROR(SEARCH("TBD",G77)))</formula>
    </cfRule>
  </conditionalFormatting>
  <conditionalFormatting sqref="G77:G78">
    <cfRule type="containsText" dxfId="280" priority="90" operator="containsText" text="TBD">
      <formula>NOT(ISERROR(SEARCH("TBD",G77)))</formula>
    </cfRule>
  </conditionalFormatting>
  <conditionalFormatting sqref="A46:B46">
    <cfRule type="containsText" dxfId="279" priority="88" operator="containsText" text="TBD">
      <formula>NOT(ISERROR(SEARCH("TBD",A46)))</formula>
    </cfRule>
  </conditionalFormatting>
  <conditionalFormatting sqref="D46:F46 J46:L46 N46:XFD46">
    <cfRule type="containsText" dxfId="278" priority="89" operator="containsText" text="TBD">
      <formula>NOT(ISERROR(SEARCH("TBD",D46)))</formula>
    </cfRule>
  </conditionalFormatting>
  <conditionalFormatting sqref="H46">
    <cfRule type="containsText" dxfId="277" priority="87" operator="containsText" text="TBD">
      <formula>NOT(ISERROR(SEARCH("TBD",H46)))</formula>
    </cfRule>
  </conditionalFormatting>
  <conditionalFormatting sqref="C46">
    <cfRule type="containsText" dxfId="276" priority="86" operator="containsText" text="TBD">
      <formula>NOT(ISERROR(SEARCH("TBD",C46)))</formula>
    </cfRule>
  </conditionalFormatting>
  <conditionalFormatting sqref="C46">
    <cfRule type="containsText" dxfId="275" priority="85" operator="containsText" text="TBD">
      <formula>NOT(ISERROR(SEARCH("TBD",C46)))</formula>
    </cfRule>
  </conditionalFormatting>
  <conditionalFormatting sqref="I46">
    <cfRule type="containsText" dxfId="274" priority="84" operator="containsText" text="TBD">
      <formula>NOT(ISERROR(SEARCH("TBD",I46)))</formula>
    </cfRule>
  </conditionalFormatting>
  <conditionalFormatting sqref="G46">
    <cfRule type="containsText" dxfId="273" priority="83" operator="containsText" text="TBD">
      <formula>NOT(ISERROR(SEARCH("TBD",G46)))</formula>
    </cfRule>
  </conditionalFormatting>
  <conditionalFormatting sqref="A48:B48">
    <cfRule type="containsText" dxfId="272" priority="80" operator="containsText" text="TBD">
      <formula>NOT(ISERROR(SEARCH("TBD",A48)))</formula>
    </cfRule>
  </conditionalFormatting>
  <conditionalFormatting sqref="C48">
    <cfRule type="containsText" dxfId="271" priority="70" operator="containsText" text="TBD">
      <formula>NOT(ISERROR(SEARCH("TBD",C48)))</formula>
    </cfRule>
  </conditionalFormatting>
  <conditionalFormatting sqref="C35">
    <cfRule type="containsText" dxfId="270" priority="64" operator="containsText" text="TBD">
      <formula>NOT(ISERROR(SEARCH("TBD",C35)))</formula>
    </cfRule>
  </conditionalFormatting>
  <conditionalFormatting sqref="C48">
    <cfRule type="containsText" dxfId="269" priority="71" operator="containsText" text="TBD">
      <formula>NOT(ISERROR(SEARCH("TBD",C48)))</formula>
    </cfRule>
  </conditionalFormatting>
  <conditionalFormatting sqref="I48">
    <cfRule type="containsText" dxfId="268" priority="76" operator="containsText" text="TBD">
      <formula>NOT(ISERROR(SEARCH("TBD",I48)))</formula>
    </cfRule>
  </conditionalFormatting>
  <conditionalFormatting sqref="C35">
    <cfRule type="containsText" dxfId="267" priority="63" operator="containsText" text="TBD">
      <formula>NOT(ISERROR(SEARCH("TBD",C35)))</formula>
    </cfRule>
  </conditionalFormatting>
  <conditionalFormatting sqref="M48">
    <cfRule type="containsText" dxfId="266" priority="74" operator="containsText" text="TBD">
      <formula>NOT(ISERROR(SEARCH("TBD",M48)))</formula>
    </cfRule>
  </conditionalFormatting>
  <conditionalFormatting sqref="G48">
    <cfRule type="containsText" dxfId="265" priority="69" operator="containsText" text="TBD">
      <formula>NOT(ISERROR(SEARCH("TBD",G48)))</formula>
    </cfRule>
  </conditionalFormatting>
  <conditionalFormatting sqref="H48">
    <cfRule type="containsText" dxfId="264" priority="68" operator="containsText" text="TBD">
      <formula>NOT(ISERROR(SEARCH("TBD",H48)))</formula>
    </cfRule>
  </conditionalFormatting>
  <conditionalFormatting sqref="M38">
    <cfRule type="containsText" dxfId="263" priority="54" operator="containsText" text="TBD">
      <formula>NOT(ISERROR(SEARCH("TBD",M38)))</formula>
    </cfRule>
  </conditionalFormatting>
  <conditionalFormatting sqref="I35">
    <cfRule type="containsText" dxfId="262" priority="61" operator="containsText" text="TBD">
      <formula>NOT(ISERROR(SEARCH("TBD",I35)))</formula>
    </cfRule>
  </conditionalFormatting>
  <conditionalFormatting sqref="G35">
    <cfRule type="containsText" dxfId="261" priority="60" operator="containsText" text="TBD">
      <formula>NOT(ISERROR(SEARCH("TBD",G35)))</formula>
    </cfRule>
  </conditionalFormatting>
  <conditionalFormatting sqref="C38">
    <cfRule type="containsText" dxfId="260" priority="55" operator="containsText" text="TBD">
      <formula>NOT(ISERROR(SEARCH("TBD",C38)))</formula>
    </cfRule>
  </conditionalFormatting>
  <conditionalFormatting sqref="H52">
    <cfRule type="containsText" dxfId="259" priority="29" operator="containsText" text="TBD">
      <formula>NOT(ISERROR(SEARCH("TBD",H52)))</formula>
    </cfRule>
  </conditionalFormatting>
  <conditionalFormatting sqref="M35">
    <cfRule type="containsText" dxfId="258" priority="62" operator="containsText" text="TBD">
      <formula>NOT(ISERROR(SEARCH("TBD",M35)))</formula>
    </cfRule>
  </conditionalFormatting>
  <conditionalFormatting sqref="G38">
    <cfRule type="containsText" dxfId="257" priority="52" operator="containsText" text="TBD">
      <formula>NOT(ISERROR(SEARCH("TBD",G38)))</formula>
    </cfRule>
  </conditionalFormatting>
  <conditionalFormatting sqref="K37">
    <cfRule type="containsText" dxfId="256" priority="51" operator="containsText" text="TBD">
      <formula>NOT(ISERROR(SEARCH("TBD",K37)))</formula>
    </cfRule>
  </conditionalFormatting>
  <conditionalFormatting sqref="E35">
    <cfRule type="containsText" dxfId="255" priority="65" operator="containsText" text="TBD">
      <formula>NOT(ISERROR(SEARCH("TBD",E35)))</formula>
    </cfRule>
  </conditionalFormatting>
  <conditionalFormatting sqref="A35:B35 D35:F35 H35 J35:L35 N35:XFD35">
    <cfRule type="containsText" dxfId="254" priority="67" operator="containsText" text="TBD">
      <formula>NOT(ISERROR(SEARCH("TBD",A35)))</formula>
    </cfRule>
  </conditionalFormatting>
  <conditionalFormatting sqref="E35">
    <cfRule type="containsText" dxfId="253" priority="66" operator="containsText" text="TBD">
      <formula>NOT(ISERROR(SEARCH("TBD",E35)))</formula>
    </cfRule>
  </conditionalFormatting>
  <conditionalFormatting sqref="C38">
    <cfRule type="containsText" dxfId="252" priority="56" operator="containsText" text="TBD">
      <formula>NOT(ISERROR(SEARCH("TBD",C38)))</formula>
    </cfRule>
  </conditionalFormatting>
  <conditionalFormatting sqref="G52">
    <cfRule type="containsText" dxfId="251" priority="30" operator="containsText" text="TBD">
      <formula>NOT(ISERROR(SEARCH("TBD",G52)))</formula>
    </cfRule>
  </conditionalFormatting>
  <conditionalFormatting sqref="I38">
    <cfRule type="containsText" dxfId="250" priority="53" operator="containsText" text="TBD">
      <formula>NOT(ISERROR(SEARCH("TBD",I38)))</formula>
    </cfRule>
  </conditionalFormatting>
  <conditionalFormatting sqref="C52">
    <cfRule type="containsText" dxfId="249" priority="27" operator="containsText" text="TBD">
      <formula>NOT(ISERROR(SEARCH("TBD",C52)))</formula>
    </cfRule>
  </conditionalFormatting>
  <conditionalFormatting sqref="E38">
    <cfRule type="containsText" dxfId="248" priority="57" operator="containsText" text="TBD">
      <formula>NOT(ISERROR(SEARCH("TBD",E38)))</formula>
    </cfRule>
  </conditionalFormatting>
  <conditionalFormatting sqref="A38:B38 D38:F38 H38 J38:L38 N38:XFD38">
    <cfRule type="containsText" dxfId="247" priority="59" operator="containsText" text="TBD">
      <formula>NOT(ISERROR(SEARCH("TBD",A38)))</formula>
    </cfRule>
  </conditionalFormatting>
  <conditionalFormatting sqref="E38">
    <cfRule type="containsText" dxfId="246" priority="58" operator="containsText" text="TBD">
      <formula>NOT(ISERROR(SEARCH("TBD",E38)))</formula>
    </cfRule>
  </conditionalFormatting>
  <conditionalFormatting sqref="A52:B52 D52:F52 J52:L52 N52:XFD52">
    <cfRule type="containsText" dxfId="245" priority="34" operator="containsText" text="TBD">
      <formula>NOT(ISERROR(SEARCH("TBD",A52)))</formula>
    </cfRule>
  </conditionalFormatting>
  <conditionalFormatting sqref="A51:B51">
    <cfRule type="containsText" dxfId="244" priority="49" operator="containsText" text="TBD">
      <formula>NOT(ISERROR(SEARCH("TBD",A51)))</formula>
    </cfRule>
  </conditionalFormatting>
  <conditionalFormatting sqref="D51:F51 J51:L51 N51:XFD51">
    <cfRule type="containsText" dxfId="243" priority="50" operator="containsText" text="TBD">
      <formula>NOT(ISERROR(SEARCH("TBD",D51)))</formula>
    </cfRule>
  </conditionalFormatting>
  <conditionalFormatting sqref="C52">
    <cfRule type="containsText" dxfId="242" priority="28" operator="containsText" text="TBD">
      <formula>NOT(ISERROR(SEARCH("TBD",C52)))</formula>
    </cfRule>
  </conditionalFormatting>
  <conditionalFormatting sqref="I51">
    <cfRule type="containsText" dxfId="241" priority="48" operator="containsText" text="TBD">
      <formula>NOT(ISERROR(SEARCH("TBD",I51)))</formula>
    </cfRule>
  </conditionalFormatting>
  <conditionalFormatting sqref="C51">
    <cfRule type="containsText" dxfId="240" priority="41" operator="containsText" text="TBD">
      <formula>NOT(ISERROR(SEARCH("TBD",C51)))</formula>
    </cfRule>
  </conditionalFormatting>
  <conditionalFormatting sqref="G51">
    <cfRule type="containsText" dxfId="239" priority="44" operator="containsText" text="TBD">
      <formula>NOT(ISERROR(SEARCH("TBD",G51)))</formula>
    </cfRule>
  </conditionalFormatting>
  <conditionalFormatting sqref="H51">
    <cfRule type="containsText" dxfId="238" priority="43" operator="containsText" text="TBD">
      <formula>NOT(ISERROR(SEARCH("TBD",H51)))</formula>
    </cfRule>
  </conditionalFormatting>
  <conditionalFormatting sqref="E52">
    <cfRule type="containsText" dxfId="237" priority="32" operator="containsText" text="TBD">
      <formula>NOT(ISERROR(SEARCH("TBD",E52)))</formula>
    </cfRule>
  </conditionalFormatting>
  <conditionalFormatting sqref="C51">
    <cfRule type="containsText" dxfId="236" priority="42" operator="containsText" text="TBD">
      <formula>NOT(ISERROR(SEARCH("TBD",C51)))</formula>
    </cfRule>
  </conditionalFormatting>
  <conditionalFormatting sqref="M51">
    <cfRule type="containsText" dxfId="235" priority="40" operator="containsText" text="TBD">
      <formula>NOT(ISERROR(SEARCH("TBD",M51)))</formula>
    </cfRule>
  </conditionalFormatting>
  <conditionalFormatting sqref="M52">
    <cfRule type="containsText" dxfId="234" priority="26" operator="containsText" text="TBD">
      <formula>NOT(ISERROR(SEARCH("TBD",M52)))</formula>
    </cfRule>
  </conditionalFormatting>
  <conditionalFormatting sqref="E52">
    <cfRule type="containsText" dxfId="233" priority="33" operator="containsText" text="TBD">
      <formula>NOT(ISERROR(SEARCH("TBD",E52)))</formula>
    </cfRule>
  </conditionalFormatting>
  <conditionalFormatting sqref="I52">
    <cfRule type="containsText" dxfId="232" priority="31" operator="containsText" text="TBD">
      <formula>NOT(ISERROR(SEARCH("TBD",I52)))</formula>
    </cfRule>
  </conditionalFormatting>
  <conditionalFormatting sqref="H79">
    <cfRule type="containsText" dxfId="231" priority="24" operator="containsText" text="TBD">
      <formula>NOT(ISERROR(SEARCH("TBD",H79)))</formula>
    </cfRule>
  </conditionalFormatting>
  <conditionalFormatting sqref="E79">
    <cfRule type="containsText" dxfId="230" priority="22" operator="containsText" text="TBD">
      <formula>NOT(ISERROR(SEARCH("TBD",E79)))</formula>
    </cfRule>
  </conditionalFormatting>
  <conditionalFormatting sqref="E79">
    <cfRule type="containsText" dxfId="229" priority="19" operator="containsText" text="TBD">
      <formula>NOT(ISERROR(SEARCH("TBD",E79)))</formula>
    </cfRule>
  </conditionalFormatting>
  <conditionalFormatting sqref="E79">
    <cfRule type="containsText" dxfId="228" priority="21" operator="containsText" text="TBD">
      <formula>NOT(ISERROR(SEARCH("TBD",E79)))</formula>
    </cfRule>
  </conditionalFormatting>
  <conditionalFormatting sqref="E79">
    <cfRule type="containsText" dxfId="227" priority="20" operator="containsText" text="TBD">
      <formula>NOT(ISERROR(SEARCH("TBD",E79)))</formula>
    </cfRule>
  </conditionalFormatting>
  <conditionalFormatting sqref="A79:D79 F79:L79">
    <cfRule type="containsText" dxfId="226" priority="23" operator="containsText" text="TBD">
      <formula>NOT(ISERROR(SEARCH("TBD",A79)))</formula>
    </cfRule>
  </conditionalFormatting>
  <conditionalFormatting sqref="M79">
    <cfRule type="containsText" dxfId="225" priority="18" operator="containsText" text="TBD">
      <formula>NOT(ISERROR(SEARCH("TBD",M79)))</formula>
    </cfRule>
  </conditionalFormatting>
  <conditionalFormatting sqref="A80:I80">
    <cfRule type="containsText" dxfId="224" priority="15" operator="containsText" text="TBD">
      <formula>NOT(ISERROR(SEARCH("TBD",A80)))</formula>
    </cfRule>
  </conditionalFormatting>
  <conditionalFormatting sqref="J80">
    <cfRule type="containsText" dxfId="223" priority="17" operator="containsText" text="TBD">
      <formula>NOT(ISERROR(SEARCH("TBD",J80)))</formula>
    </cfRule>
  </conditionalFormatting>
  <conditionalFormatting sqref="K80:L80">
    <cfRule type="containsText" dxfId="222" priority="16" operator="containsText" text="TBD">
      <formula>NOT(ISERROR(SEARCH("TBD",K80)))</formula>
    </cfRule>
  </conditionalFormatting>
  <conditionalFormatting sqref="M81">
    <cfRule type="containsText" dxfId="221" priority="7" operator="containsText" text="Group A">
      <formula>NOT(ISERROR(SEARCH("Group A",M81)))</formula>
    </cfRule>
    <cfRule type="containsText" dxfId="220" priority="8" operator="containsText" text="Group B">
      <formula>NOT(ISERROR(SEARCH("Group B",M81)))</formula>
    </cfRule>
    <cfRule type="containsText" dxfId="219" priority="9" operator="containsText" text="Group A">
      <formula>NOT(ISERROR(SEARCH("Group A",M81)))</formula>
    </cfRule>
    <cfRule type="containsText" dxfId="218" priority="10" operator="containsText" text="Group A">
      <formula>NOT(ISERROR(SEARCH("Group A",M81)))</formula>
    </cfRule>
  </conditionalFormatting>
  <conditionalFormatting sqref="A81:H81">
    <cfRule type="containsText" dxfId="217" priority="13" operator="containsText" text="TBD">
      <formula>NOT(ISERROR(SEARCH("TBD",A81)))</formula>
    </cfRule>
  </conditionalFormatting>
  <conditionalFormatting sqref="J81">
    <cfRule type="containsText" dxfId="216" priority="14" operator="containsText" text="TBD">
      <formula>NOT(ISERROR(SEARCH("TBD",J81)))</formula>
    </cfRule>
  </conditionalFormatting>
  <conditionalFormatting sqref="I81">
    <cfRule type="containsText" dxfId="215" priority="11" operator="containsText" text="TBD">
      <formula>NOT(ISERROR(SEARCH("TBD",I81)))</formula>
    </cfRule>
  </conditionalFormatting>
  <conditionalFormatting sqref="K81:L81">
    <cfRule type="containsText" dxfId="214" priority="12" operator="containsText" text="TBD">
      <formula>NOT(ISERROR(SEARCH("TBD",K81)))</formula>
    </cfRule>
  </conditionalFormatting>
  <conditionalFormatting sqref="E6">
    <cfRule type="containsText" dxfId="213" priority="6" operator="containsText" text="TBD">
      <formula>NOT(ISERROR(SEARCH("TBD",E6)))</formula>
    </cfRule>
  </conditionalFormatting>
  <conditionalFormatting sqref="E6">
    <cfRule type="containsText" dxfId="212" priority="4" operator="containsText" text="TBD">
      <formula>NOT(ISERROR(SEARCH("TBD",E6)))</formula>
    </cfRule>
  </conditionalFormatting>
  <conditionalFormatting sqref="E6">
    <cfRule type="containsText" dxfId="211" priority="5" operator="containsText" text="TBD">
      <formula>NOT(ISERROR(SEARCH("TBD",E6)))</formula>
    </cfRule>
  </conditionalFormatting>
  <conditionalFormatting sqref="M6">
    <cfRule type="containsText" dxfId="210" priority="3" operator="containsText" text="TBD">
      <formula>NOT(ISERROR(SEARCH("TBD",M6)))</formula>
    </cfRule>
  </conditionalFormatting>
  <conditionalFormatting sqref="M14:M16">
    <cfRule type="containsText" dxfId="209" priority="2" operator="containsText" text="TBD">
      <formula>NOT(ISERROR(SEARCH("TBD",M14)))</formula>
    </cfRule>
  </conditionalFormatting>
  <conditionalFormatting sqref="E25">
    <cfRule type="containsText" dxfId="208" priority="1" operator="containsText" text="TBD">
      <formula>NOT(ISERROR(SEARCH("TBD",E25)))</formula>
    </cfRule>
  </conditionalFormatting>
  <hyperlinks>
    <hyperlink ref="C63" r:id="rId1" location="ptc1/tcomp/infoPage?ContainerOid=OR%3Awt.inf.library.WTLibrary%3A143135452&amp;oid=VR%3Awt.part.WTPart%3A1027350740&amp;u8=1" display="https://cesbgpdm.efoxconn.com/Windchill/app/ - ptc1/tcomp/infoPage?ContainerOid=OR%3Awt.inf.library.WTLibrary%3A143135452&amp;oid=VR%3Awt.part.WTPart%3A1027350740&amp;u8=1" xr:uid="{131496BD-B1A2-4CB7-8469-F438D8255AC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4360-4209-43DD-B422-95AAFC38553F}">
  <sheetPr>
    <tabColor rgb="FFFFFF00"/>
  </sheetPr>
  <dimension ref="A1:AV48"/>
  <sheetViews>
    <sheetView zoomScaleNormal="100" workbookViewId="0">
      <pane ySplit="5" topLeftCell="A6" activePane="bottomLeft" state="frozen"/>
      <selection activeCell="G26" sqref="G26"/>
      <selection pane="bottomLeft" activeCell="A28" activeCellId="2" sqref="A8:XFD8 A18:XFD18 A28:XFD28"/>
    </sheetView>
  </sheetViews>
  <sheetFormatPr defaultColWidth="9" defaultRowHeight="15.75"/>
  <cols>
    <col min="1" max="1" width="6.125" style="6" bestFit="1" customWidth="1"/>
    <col min="2" max="2" width="8.875" style="6" customWidth="1"/>
    <col min="3" max="3" width="22.875" style="6" customWidth="1"/>
    <col min="4" max="4" width="16.875" style="6" customWidth="1"/>
    <col min="5" max="5" width="18.125" style="6" customWidth="1"/>
    <col min="6" max="6" width="12.5" style="6" customWidth="1"/>
    <col min="7" max="7" width="80.125" style="6" customWidth="1"/>
    <col min="8" max="8" width="35.375" style="6" customWidth="1"/>
    <col min="9" max="9" width="25" style="6" customWidth="1"/>
    <col min="10" max="10" width="12.875" style="6" customWidth="1"/>
    <col min="11" max="11" width="9.5" style="6" bestFit="1" customWidth="1"/>
    <col min="12" max="12" width="12.5" style="6" customWidth="1"/>
    <col min="13" max="13" width="59.625" style="6" customWidth="1"/>
    <col min="14" max="14" width="20.75" style="6" customWidth="1"/>
    <col min="15" max="15" width="18" style="6" customWidth="1"/>
    <col min="16" max="16384" width="9" style="6"/>
  </cols>
  <sheetData>
    <row r="1" spans="1:48">
      <c r="A1" s="157" t="s">
        <v>21</v>
      </c>
      <c r="B1" s="158"/>
      <c r="C1" s="158"/>
      <c r="D1" s="158"/>
      <c r="E1" s="158"/>
      <c r="F1" s="158"/>
      <c r="G1" s="158"/>
      <c r="H1" s="158"/>
      <c r="I1" s="158"/>
      <c r="J1" s="158"/>
      <c r="K1" s="158"/>
      <c r="L1" s="158"/>
    </row>
    <row r="2" spans="1:48">
      <c r="A2" s="157" t="s">
        <v>0</v>
      </c>
      <c r="B2" s="157"/>
      <c r="C2" s="157"/>
      <c r="D2" s="157"/>
      <c r="E2" s="157"/>
      <c r="F2" s="157"/>
      <c r="G2" s="157"/>
      <c r="H2" s="157"/>
      <c r="I2" s="157"/>
      <c r="J2" s="157"/>
      <c r="K2" s="157"/>
      <c r="L2" s="157"/>
    </row>
    <row r="3" spans="1:48" s="8" customFormat="1">
      <c r="A3" s="156" t="s">
        <v>7</v>
      </c>
      <c r="B3" s="156"/>
      <c r="C3" s="96" t="str">
        <f>C6</f>
        <v>TEMP-S000227613</v>
      </c>
      <c r="D3" s="97" t="s">
        <v>1</v>
      </c>
      <c r="E3" s="98" t="s">
        <v>14</v>
      </c>
      <c r="F3" s="97"/>
      <c r="G3" s="97"/>
      <c r="H3" s="97"/>
      <c r="I3" s="97"/>
      <c r="J3" s="97"/>
      <c r="K3" s="97"/>
      <c r="L3" s="97"/>
    </row>
    <row r="4" spans="1:48" s="8" customFormat="1" ht="28.5" customHeight="1">
      <c r="A4" s="156" t="s">
        <v>8</v>
      </c>
      <c r="B4" s="156"/>
      <c r="C4" s="99" t="str">
        <f>E6</f>
        <v>TBD</v>
      </c>
      <c r="D4" s="97" t="s">
        <v>9</v>
      </c>
      <c r="E4" s="98" t="s">
        <v>14</v>
      </c>
      <c r="F4" s="97" t="s">
        <v>10</v>
      </c>
      <c r="G4" s="100" t="str">
        <f>G6</f>
        <v>Maxwell Mercury(GB300), CPL, Inner Manifold and Coldplate and SOCAMM HSK- CM</v>
      </c>
      <c r="H4" s="97"/>
      <c r="I4" s="97"/>
      <c r="J4" s="97"/>
      <c r="K4" s="97"/>
      <c r="L4" s="97"/>
    </row>
    <row r="5" spans="1:48" s="21" customFormat="1" ht="31.5">
      <c r="A5" s="101" t="s">
        <v>2</v>
      </c>
      <c r="B5" s="101" t="s">
        <v>3</v>
      </c>
      <c r="C5" s="101" t="s">
        <v>11</v>
      </c>
      <c r="D5" s="101" t="s">
        <v>12</v>
      </c>
      <c r="E5" s="101" t="s">
        <v>35</v>
      </c>
      <c r="F5" s="101" t="s">
        <v>13</v>
      </c>
      <c r="G5" s="101" t="s">
        <v>18</v>
      </c>
      <c r="H5" s="101" t="s">
        <v>31</v>
      </c>
      <c r="I5" s="101" t="s">
        <v>19</v>
      </c>
      <c r="J5" s="101" t="s">
        <v>4</v>
      </c>
      <c r="K5" s="101" t="s">
        <v>22</v>
      </c>
      <c r="L5" s="101" t="s">
        <v>49</v>
      </c>
      <c r="M5" s="101" t="s">
        <v>436</v>
      </c>
      <c r="N5" s="102" t="s">
        <v>437</v>
      </c>
      <c r="O5" s="102" t="s">
        <v>438</v>
      </c>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row>
    <row r="6" spans="1:48" s="45" customFormat="1">
      <c r="A6" s="45">
        <v>1</v>
      </c>
      <c r="B6" s="103" t="s">
        <v>36</v>
      </c>
      <c r="C6" s="104" t="s">
        <v>476</v>
      </c>
      <c r="D6" s="45" t="s">
        <v>17</v>
      </c>
      <c r="E6" s="45" t="s">
        <v>34</v>
      </c>
      <c r="F6" s="45" t="s">
        <v>14</v>
      </c>
      <c r="G6" s="105" t="s">
        <v>444</v>
      </c>
      <c r="H6" s="45" t="s">
        <v>20</v>
      </c>
      <c r="I6" s="104" t="str">
        <f>C6</f>
        <v>TEMP-S000227613</v>
      </c>
      <c r="J6" s="45" t="s">
        <v>14</v>
      </c>
      <c r="K6" s="45">
        <v>1</v>
      </c>
      <c r="L6" s="45" t="s">
        <v>439</v>
      </c>
      <c r="M6" s="106"/>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row>
    <row r="7" spans="1:48" s="45" customFormat="1">
      <c r="A7" s="45">
        <v>2</v>
      </c>
      <c r="B7" s="103" t="s">
        <v>440</v>
      </c>
      <c r="C7" s="121" t="s">
        <v>638</v>
      </c>
      <c r="D7" s="45" t="s">
        <v>17</v>
      </c>
      <c r="E7" s="122" t="s">
        <v>490</v>
      </c>
      <c r="F7" s="45" t="s">
        <v>14</v>
      </c>
      <c r="G7" s="105" t="s">
        <v>448</v>
      </c>
      <c r="H7" s="45" t="s">
        <v>441</v>
      </c>
      <c r="I7" s="95" t="s">
        <v>623</v>
      </c>
      <c r="J7" s="45" t="s">
        <v>14</v>
      </c>
      <c r="K7" s="45">
        <v>2</v>
      </c>
      <c r="L7" s="45" t="s">
        <v>442</v>
      </c>
      <c r="M7" s="106"/>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row>
    <row r="8" spans="1:48" s="45" customFormat="1">
      <c r="A8" s="45">
        <v>3</v>
      </c>
      <c r="B8" s="103" t="s">
        <v>37</v>
      </c>
      <c r="C8" s="121" t="s">
        <v>639</v>
      </c>
      <c r="D8" s="45" t="s">
        <v>17</v>
      </c>
      <c r="E8" s="122" t="s">
        <v>491</v>
      </c>
      <c r="F8" s="45" t="s">
        <v>14</v>
      </c>
      <c r="G8" s="105" t="s">
        <v>449</v>
      </c>
      <c r="H8" s="45" t="s">
        <v>441</v>
      </c>
      <c r="I8" s="95" t="s">
        <v>627</v>
      </c>
      <c r="J8" s="45" t="s">
        <v>14</v>
      </c>
      <c r="K8" s="45">
        <v>4</v>
      </c>
      <c r="L8" s="45" t="s">
        <v>442</v>
      </c>
      <c r="M8" s="107"/>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row>
    <row r="9" spans="1:48" s="45" customFormat="1">
      <c r="A9" s="45">
        <v>4</v>
      </c>
      <c r="B9" s="103" t="s">
        <v>117</v>
      </c>
      <c r="C9" s="121" t="s">
        <v>640</v>
      </c>
      <c r="D9" s="108" t="s">
        <v>30</v>
      </c>
      <c r="E9" s="144" t="s">
        <v>562</v>
      </c>
      <c r="F9" s="45" t="s">
        <v>14</v>
      </c>
      <c r="G9" s="105" t="s">
        <v>450</v>
      </c>
      <c r="H9" s="45" t="s">
        <v>441</v>
      </c>
      <c r="I9" s="95" t="s">
        <v>631</v>
      </c>
      <c r="J9" s="108" t="s">
        <v>30</v>
      </c>
      <c r="K9" s="104">
        <v>1</v>
      </c>
      <c r="L9" s="45" t="s">
        <v>442</v>
      </c>
      <c r="M9" s="109"/>
      <c r="N9" s="110"/>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row>
    <row r="10" spans="1:48" s="45" customFormat="1">
      <c r="A10" s="45">
        <v>5</v>
      </c>
      <c r="B10" s="103" t="s">
        <v>118</v>
      </c>
      <c r="C10" s="126" t="s">
        <v>465</v>
      </c>
      <c r="D10" s="108" t="s">
        <v>30</v>
      </c>
      <c r="E10" s="144" t="s">
        <v>643</v>
      </c>
      <c r="F10" s="45" t="s">
        <v>14</v>
      </c>
      <c r="G10" s="105" t="s">
        <v>451</v>
      </c>
      <c r="H10" s="45" t="s">
        <v>441</v>
      </c>
      <c r="I10" s="95" t="s">
        <v>463</v>
      </c>
      <c r="J10" s="108" t="s">
        <v>30</v>
      </c>
      <c r="K10" s="45">
        <v>2</v>
      </c>
      <c r="L10" s="45" t="s">
        <v>442</v>
      </c>
      <c r="M10" s="111"/>
      <c r="N10" s="110"/>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row>
    <row r="11" spans="1:48" s="45" customFormat="1">
      <c r="A11" s="45">
        <v>6</v>
      </c>
      <c r="B11" s="103" t="s">
        <v>119</v>
      </c>
      <c r="C11" s="126" t="s">
        <v>466</v>
      </c>
      <c r="D11" s="108" t="s">
        <v>30</v>
      </c>
      <c r="E11" s="144" t="s">
        <v>644</v>
      </c>
      <c r="F11" s="45" t="s">
        <v>14</v>
      </c>
      <c r="G11" s="105" t="s">
        <v>452</v>
      </c>
      <c r="H11" s="45" t="s">
        <v>441</v>
      </c>
      <c r="I11" s="95" t="s">
        <v>464</v>
      </c>
      <c r="J11" s="108" t="s">
        <v>30</v>
      </c>
      <c r="K11" s="45">
        <v>2</v>
      </c>
      <c r="L11" s="45" t="s">
        <v>442</v>
      </c>
      <c r="M11" s="111"/>
      <c r="N11" s="110"/>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row>
    <row r="12" spans="1:48">
      <c r="B12" s="3"/>
      <c r="C12" s="2"/>
      <c r="H12" s="5"/>
      <c r="I12" s="2"/>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row>
    <row r="13" spans="1:48" s="8" customFormat="1">
      <c r="A13" s="156" t="s">
        <v>7</v>
      </c>
      <c r="B13" s="156"/>
      <c r="C13" s="96" t="str">
        <f>C16</f>
        <v>TEMP-S000227634</v>
      </c>
      <c r="D13" s="97" t="s">
        <v>1</v>
      </c>
      <c r="E13" s="98" t="s">
        <v>14</v>
      </c>
      <c r="F13" s="97"/>
      <c r="G13" s="97"/>
      <c r="H13" s="97"/>
      <c r="I13" s="97"/>
      <c r="J13" s="97"/>
      <c r="K13" s="97"/>
      <c r="L13" s="97"/>
    </row>
    <row r="14" spans="1:48" s="8" customFormat="1" ht="28.5" customHeight="1">
      <c r="A14" s="156" t="s">
        <v>8</v>
      </c>
      <c r="B14" s="156"/>
      <c r="C14" s="99" t="str">
        <f>E16</f>
        <v>TBD</v>
      </c>
      <c r="D14" s="97" t="s">
        <v>9</v>
      </c>
      <c r="E14" s="98" t="s">
        <v>14</v>
      </c>
      <c r="F14" s="97" t="s">
        <v>10</v>
      </c>
      <c r="G14" s="100" t="s">
        <v>443</v>
      </c>
      <c r="H14" s="97"/>
      <c r="I14" s="97"/>
      <c r="J14" s="97"/>
      <c r="K14" s="97"/>
      <c r="L14" s="97"/>
    </row>
    <row r="15" spans="1:48" s="21" customFormat="1" ht="31.5">
      <c r="A15" s="101" t="s">
        <v>2</v>
      </c>
      <c r="B15" s="101" t="s">
        <v>3</v>
      </c>
      <c r="C15" s="101" t="s">
        <v>11</v>
      </c>
      <c r="D15" s="101" t="s">
        <v>12</v>
      </c>
      <c r="E15" s="101" t="s">
        <v>35</v>
      </c>
      <c r="F15" s="101" t="s">
        <v>13</v>
      </c>
      <c r="G15" s="101" t="s">
        <v>18</v>
      </c>
      <c r="H15" s="101" t="s">
        <v>31</v>
      </c>
      <c r="I15" s="101" t="s">
        <v>19</v>
      </c>
      <c r="J15" s="101" t="s">
        <v>4</v>
      </c>
      <c r="K15" s="101" t="s">
        <v>22</v>
      </c>
      <c r="L15" s="101" t="s">
        <v>49</v>
      </c>
      <c r="M15" s="101" t="s">
        <v>436</v>
      </c>
      <c r="N15" s="102" t="s">
        <v>437</v>
      </c>
      <c r="O15" s="102" t="s">
        <v>438</v>
      </c>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row>
    <row r="16" spans="1:48" s="45" customFormat="1">
      <c r="A16" s="45">
        <v>1</v>
      </c>
      <c r="B16" s="103" t="s">
        <v>36</v>
      </c>
      <c r="C16" s="104" t="s">
        <v>478</v>
      </c>
      <c r="D16" s="45" t="s">
        <v>17</v>
      </c>
      <c r="E16" s="45" t="s">
        <v>34</v>
      </c>
      <c r="F16" s="45" t="s">
        <v>14</v>
      </c>
      <c r="G16" s="105" t="s">
        <v>445</v>
      </c>
      <c r="H16" s="45" t="s">
        <v>20</v>
      </c>
      <c r="I16" s="104" t="str">
        <f>C16</f>
        <v>TEMP-S000227634</v>
      </c>
      <c r="J16" s="45" t="s">
        <v>14</v>
      </c>
      <c r="K16" s="45">
        <v>1</v>
      </c>
      <c r="L16" s="45" t="s">
        <v>439</v>
      </c>
      <c r="M16" s="106"/>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row>
    <row r="17" spans="1:48" s="45" customFormat="1">
      <c r="A17" s="45">
        <v>2</v>
      </c>
      <c r="B17" s="103" t="s">
        <v>440</v>
      </c>
      <c r="C17" s="113" t="s">
        <v>621</v>
      </c>
      <c r="D17" s="45" t="s">
        <v>17</v>
      </c>
      <c r="E17" s="122" t="s">
        <v>490</v>
      </c>
      <c r="F17" s="45" t="s">
        <v>14</v>
      </c>
      <c r="G17" s="105" t="s">
        <v>453</v>
      </c>
      <c r="H17" s="45" t="s">
        <v>214</v>
      </c>
      <c r="I17" s="113" t="s">
        <v>473</v>
      </c>
      <c r="J17" s="45" t="s">
        <v>14</v>
      </c>
      <c r="K17" s="45">
        <v>2</v>
      </c>
      <c r="L17" s="45" t="s">
        <v>442</v>
      </c>
      <c r="M17" s="106"/>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row>
    <row r="18" spans="1:48" s="45" customFormat="1">
      <c r="A18" s="45">
        <v>3</v>
      </c>
      <c r="B18" s="103" t="s">
        <v>37</v>
      </c>
      <c r="C18" s="113" t="s">
        <v>625</v>
      </c>
      <c r="D18" s="45" t="s">
        <v>17</v>
      </c>
      <c r="E18" s="122" t="s">
        <v>491</v>
      </c>
      <c r="F18" s="45" t="s">
        <v>14</v>
      </c>
      <c r="G18" s="105" t="s">
        <v>454</v>
      </c>
      <c r="H18" s="45" t="s">
        <v>214</v>
      </c>
      <c r="I18" s="113" t="s">
        <v>628</v>
      </c>
      <c r="J18" s="45" t="s">
        <v>14</v>
      </c>
      <c r="K18" s="45">
        <v>4</v>
      </c>
      <c r="L18" s="45" t="s">
        <v>442</v>
      </c>
      <c r="M18" s="107"/>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row>
    <row r="19" spans="1:48" s="45" customFormat="1">
      <c r="A19" s="45">
        <v>4</v>
      </c>
      <c r="B19" s="103" t="s">
        <v>117</v>
      </c>
      <c r="C19" s="113" t="s">
        <v>470</v>
      </c>
      <c r="D19" s="108" t="s">
        <v>30</v>
      </c>
      <c r="E19" s="144" t="s">
        <v>562</v>
      </c>
      <c r="F19" s="45" t="s">
        <v>14</v>
      </c>
      <c r="G19" s="105" t="s">
        <v>455</v>
      </c>
      <c r="H19" s="45" t="s">
        <v>214</v>
      </c>
      <c r="I19" s="113" t="s">
        <v>467</v>
      </c>
      <c r="J19" s="108" t="s">
        <v>30</v>
      </c>
      <c r="K19" s="104">
        <v>1</v>
      </c>
      <c r="L19" s="45" t="s">
        <v>442</v>
      </c>
      <c r="M19" s="109"/>
      <c r="N19" s="110"/>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row>
    <row r="20" spans="1:48" s="45" customFormat="1">
      <c r="A20" s="45">
        <v>5</v>
      </c>
      <c r="B20" s="103" t="s">
        <v>118</v>
      </c>
      <c r="C20" s="113" t="s">
        <v>471</v>
      </c>
      <c r="D20" s="108" t="s">
        <v>30</v>
      </c>
      <c r="E20" s="144" t="s">
        <v>643</v>
      </c>
      <c r="F20" s="45" t="s">
        <v>14</v>
      </c>
      <c r="G20" s="105" t="s">
        <v>456</v>
      </c>
      <c r="H20" s="45" t="s">
        <v>214</v>
      </c>
      <c r="I20" s="113" t="s">
        <v>468</v>
      </c>
      <c r="J20" s="108" t="s">
        <v>30</v>
      </c>
      <c r="K20" s="45">
        <v>2</v>
      </c>
      <c r="L20" s="45" t="s">
        <v>442</v>
      </c>
      <c r="M20" s="111"/>
      <c r="N20" s="110"/>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row>
    <row r="21" spans="1:48" s="45" customFormat="1">
      <c r="A21" s="45">
        <v>6</v>
      </c>
      <c r="B21" s="103" t="s">
        <v>119</v>
      </c>
      <c r="C21" s="113" t="s">
        <v>472</v>
      </c>
      <c r="D21" s="108" t="s">
        <v>30</v>
      </c>
      <c r="E21" s="144" t="s">
        <v>644</v>
      </c>
      <c r="F21" s="45" t="s">
        <v>14</v>
      </c>
      <c r="G21" s="105" t="s">
        <v>457</v>
      </c>
      <c r="H21" s="45" t="s">
        <v>214</v>
      </c>
      <c r="I21" s="113" t="s">
        <v>469</v>
      </c>
      <c r="J21" s="108" t="s">
        <v>30</v>
      </c>
      <c r="K21" s="45">
        <v>2</v>
      </c>
      <c r="L21" s="45" t="s">
        <v>442</v>
      </c>
      <c r="M21" s="111"/>
      <c r="N21" s="110"/>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row>
    <row r="22" spans="1:48">
      <c r="B22" s="3"/>
      <c r="C22" s="2"/>
      <c r="H22" s="5"/>
      <c r="I22" s="2"/>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row>
    <row r="23" spans="1:48" s="8" customFormat="1">
      <c r="A23" s="156" t="s">
        <v>7</v>
      </c>
      <c r="B23" s="156"/>
      <c r="C23" s="96" t="str">
        <f>C26</f>
        <v>TEMP-S000227635</v>
      </c>
      <c r="D23" s="97" t="s">
        <v>1</v>
      </c>
      <c r="E23" s="98" t="s">
        <v>14</v>
      </c>
      <c r="F23" s="97"/>
      <c r="G23" s="97"/>
      <c r="H23" s="97"/>
      <c r="I23" s="97"/>
      <c r="J23" s="97"/>
      <c r="K23" s="97"/>
      <c r="L23" s="97"/>
    </row>
    <row r="24" spans="1:48" s="8" customFormat="1" ht="28.5" customHeight="1">
      <c r="A24" s="156" t="s">
        <v>8</v>
      </c>
      <c r="B24" s="156"/>
      <c r="C24" s="99" t="str">
        <f>E26</f>
        <v>TBD</v>
      </c>
      <c r="D24" s="97" t="s">
        <v>9</v>
      </c>
      <c r="E24" s="98" t="s">
        <v>14</v>
      </c>
      <c r="F24" s="97" t="s">
        <v>10</v>
      </c>
      <c r="G24" s="100" t="str">
        <f>G26</f>
        <v>Maxwell Mercury(GB300), CPL, Inner Manifold and Coldplate and SOCAMM HSK-Auras</v>
      </c>
      <c r="H24" s="97"/>
      <c r="I24" s="97"/>
      <c r="J24" s="97"/>
      <c r="K24" s="97"/>
      <c r="L24" s="97"/>
    </row>
    <row r="25" spans="1:48" s="21" customFormat="1" ht="31.5">
      <c r="A25" s="101" t="s">
        <v>2</v>
      </c>
      <c r="B25" s="101" t="s">
        <v>3</v>
      </c>
      <c r="C25" s="101" t="s">
        <v>11</v>
      </c>
      <c r="D25" s="101" t="s">
        <v>12</v>
      </c>
      <c r="E25" s="101" t="s">
        <v>35</v>
      </c>
      <c r="F25" s="101" t="s">
        <v>13</v>
      </c>
      <c r="G25" s="101" t="s">
        <v>18</v>
      </c>
      <c r="H25" s="101" t="s">
        <v>31</v>
      </c>
      <c r="I25" s="101" t="s">
        <v>19</v>
      </c>
      <c r="J25" s="101" t="s">
        <v>4</v>
      </c>
      <c r="K25" s="101" t="s">
        <v>22</v>
      </c>
      <c r="L25" s="101" t="s">
        <v>49</v>
      </c>
      <c r="M25" s="101" t="s">
        <v>436</v>
      </c>
      <c r="N25" s="102" t="s">
        <v>437</v>
      </c>
      <c r="O25" s="102" t="s">
        <v>438</v>
      </c>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row>
    <row r="26" spans="1:48" s="45" customFormat="1">
      <c r="A26" s="45">
        <v>1</v>
      </c>
      <c r="B26" s="103" t="s">
        <v>36</v>
      </c>
      <c r="C26" s="104" t="s">
        <v>479</v>
      </c>
      <c r="D26" s="45" t="s">
        <v>17</v>
      </c>
      <c r="E26" s="65" t="s">
        <v>34</v>
      </c>
      <c r="F26" s="45" t="s">
        <v>14</v>
      </c>
      <c r="G26" s="105" t="s">
        <v>446</v>
      </c>
      <c r="H26" s="45" t="s">
        <v>20</v>
      </c>
      <c r="I26" s="104" t="str">
        <f>C26</f>
        <v>TEMP-S000227635</v>
      </c>
      <c r="J26" s="45" t="s">
        <v>14</v>
      </c>
      <c r="K26" s="45">
        <v>1</v>
      </c>
      <c r="L26" s="45" t="s">
        <v>439</v>
      </c>
      <c r="M26" s="106"/>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row>
    <row r="27" spans="1:48" s="45" customFormat="1">
      <c r="A27" s="45">
        <v>2</v>
      </c>
      <c r="B27" s="103" t="s">
        <v>440</v>
      </c>
      <c r="C27" s="113" t="s">
        <v>622</v>
      </c>
      <c r="D27" s="45" t="s">
        <v>17</v>
      </c>
      <c r="E27" s="122" t="s">
        <v>490</v>
      </c>
      <c r="F27" s="45" t="s">
        <v>14</v>
      </c>
      <c r="G27" s="105" t="s">
        <v>458</v>
      </c>
      <c r="H27" s="45" t="s">
        <v>447</v>
      </c>
      <c r="I27" s="113" t="s">
        <v>624</v>
      </c>
      <c r="J27" s="45" t="s">
        <v>14</v>
      </c>
      <c r="K27" s="45">
        <v>2</v>
      </c>
      <c r="L27" s="45" t="s">
        <v>442</v>
      </c>
      <c r="M27" s="106"/>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row>
    <row r="28" spans="1:48" s="45" customFormat="1">
      <c r="A28" s="45">
        <v>3</v>
      </c>
      <c r="B28" s="103" t="s">
        <v>37</v>
      </c>
      <c r="C28" s="113" t="s">
        <v>626</v>
      </c>
      <c r="D28" s="45" t="s">
        <v>17</v>
      </c>
      <c r="E28" s="122" t="s">
        <v>491</v>
      </c>
      <c r="F28" s="45" t="s">
        <v>14</v>
      </c>
      <c r="G28" s="105" t="s">
        <v>459</v>
      </c>
      <c r="H28" s="45" t="s">
        <v>447</v>
      </c>
      <c r="I28" s="113" t="s">
        <v>629</v>
      </c>
      <c r="J28" s="45" t="s">
        <v>14</v>
      </c>
      <c r="K28" s="45">
        <v>4</v>
      </c>
      <c r="L28" s="45" t="s">
        <v>442</v>
      </c>
      <c r="M28" s="107"/>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row>
    <row r="29" spans="1:48" s="45" customFormat="1">
      <c r="A29" s="45">
        <v>4</v>
      </c>
      <c r="B29" s="103" t="s">
        <v>117</v>
      </c>
      <c r="C29" s="113" t="s">
        <v>474</v>
      </c>
      <c r="D29" s="108" t="s">
        <v>30</v>
      </c>
      <c r="E29" s="144" t="s">
        <v>562</v>
      </c>
      <c r="F29" s="45" t="s">
        <v>14</v>
      </c>
      <c r="G29" s="105" t="s">
        <v>460</v>
      </c>
      <c r="H29" s="45" t="s">
        <v>447</v>
      </c>
      <c r="I29" s="113" t="s">
        <v>475</v>
      </c>
      <c r="J29" s="108" t="s">
        <v>30</v>
      </c>
      <c r="K29" s="104">
        <v>1</v>
      </c>
      <c r="L29" s="45" t="s">
        <v>442</v>
      </c>
      <c r="M29" s="109"/>
      <c r="N29" s="110"/>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row>
    <row r="30" spans="1:48" s="45" customFormat="1">
      <c r="A30" s="45">
        <v>5</v>
      </c>
      <c r="B30" s="103" t="s">
        <v>118</v>
      </c>
      <c r="C30" s="121" t="s">
        <v>525</v>
      </c>
      <c r="D30" s="135" t="s">
        <v>30</v>
      </c>
      <c r="E30" s="144" t="s">
        <v>643</v>
      </c>
      <c r="F30" s="65" t="s">
        <v>14</v>
      </c>
      <c r="G30" s="136" t="s">
        <v>461</v>
      </c>
      <c r="H30" s="65" t="s">
        <v>447</v>
      </c>
      <c r="I30" s="121" t="s">
        <v>630</v>
      </c>
      <c r="J30" s="108" t="s">
        <v>30</v>
      </c>
      <c r="K30" s="45">
        <v>2</v>
      </c>
      <c r="L30" s="45" t="s">
        <v>442</v>
      </c>
      <c r="M30" s="111"/>
      <c r="N30" s="110"/>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row>
    <row r="31" spans="1:48" s="45" customFormat="1">
      <c r="A31" s="45">
        <v>6</v>
      </c>
      <c r="B31" s="103" t="s">
        <v>119</v>
      </c>
      <c r="C31" s="121" t="s">
        <v>526</v>
      </c>
      <c r="D31" s="135" t="s">
        <v>30</v>
      </c>
      <c r="E31" s="144" t="s">
        <v>644</v>
      </c>
      <c r="F31" s="65" t="s">
        <v>14</v>
      </c>
      <c r="G31" s="136" t="s">
        <v>462</v>
      </c>
      <c r="H31" s="65" t="s">
        <v>447</v>
      </c>
      <c r="I31" s="121" t="s">
        <v>527</v>
      </c>
      <c r="J31" s="108" t="s">
        <v>30</v>
      </c>
      <c r="K31" s="45">
        <v>2</v>
      </c>
      <c r="L31" s="45" t="s">
        <v>442</v>
      </c>
      <c r="M31" s="111"/>
      <c r="N31" s="110"/>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row>
    <row r="32" spans="1:48">
      <c r="B32" s="3"/>
      <c r="C32" s="2"/>
      <c r="H32" s="5"/>
      <c r="I32" s="2"/>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row>
    <row r="33" spans="1:48">
      <c r="A33" s="17"/>
      <c r="B33" s="1" t="s">
        <v>15</v>
      </c>
      <c r="C33" s="10" t="s">
        <v>16</v>
      </c>
      <c r="D33" s="18"/>
      <c r="E33" s="17"/>
      <c r="F33" s="17"/>
      <c r="G33" s="4"/>
      <c r="H33" s="17"/>
      <c r="I33" s="17"/>
      <c r="J33" s="17"/>
      <c r="L33" s="17"/>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row>
    <row r="34" spans="1:48">
      <c r="A34" s="17"/>
      <c r="B34" s="17"/>
      <c r="C34" s="15" t="s">
        <v>5</v>
      </c>
      <c r="D34" s="17"/>
      <c r="E34" s="17"/>
      <c r="F34" s="17"/>
      <c r="G34" s="16"/>
      <c r="H34" s="17"/>
      <c r="I34" s="17"/>
      <c r="J34" s="17"/>
      <c r="L34" s="17"/>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row>
    <row r="35" spans="1:48">
      <c r="A35" s="17"/>
      <c r="B35" s="17"/>
      <c r="C35" s="19" t="s">
        <v>6</v>
      </c>
      <c r="D35" s="17"/>
      <c r="E35" s="17"/>
      <c r="F35" s="17"/>
      <c r="G35" s="16"/>
      <c r="H35" s="17"/>
      <c r="I35" s="17"/>
      <c r="J35" s="17"/>
      <c r="L35" s="17"/>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row>
    <row r="36" spans="1:48">
      <c r="C36" s="20" t="s">
        <v>52</v>
      </c>
      <c r="G36" s="16"/>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row>
    <row r="37" spans="1:48" ht="47.25">
      <c r="C37" s="29" t="s">
        <v>53</v>
      </c>
      <c r="G37" s="16"/>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row>
    <row r="38" spans="1:48">
      <c r="G38" s="16"/>
      <c r="K38" s="7"/>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row>
    <row r="39" spans="1:48">
      <c r="G39" s="16"/>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row>
    <row r="40" spans="1:48">
      <c r="G40" s="16"/>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row>
    <row r="41" spans="1:48">
      <c r="G41" s="16"/>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row>
    <row r="42" spans="1:4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row>
    <row r="43" spans="1:4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row>
    <row r="44" spans="1:4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row>
    <row r="45" spans="1:4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row>
    <row r="46" spans="1:4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row>
    <row r="47" spans="1:4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row>
    <row r="48" spans="1:4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row>
  </sheetData>
  <autoFilter ref="A5:M10" xr:uid="{00000000-0009-0000-0000-000003000000}"/>
  <mergeCells count="8">
    <mergeCell ref="A23:B23"/>
    <mergeCell ref="A24:B24"/>
    <mergeCell ref="A1:L1"/>
    <mergeCell ref="A2:L2"/>
    <mergeCell ref="A3:B3"/>
    <mergeCell ref="A4:B4"/>
    <mergeCell ref="A13:B13"/>
    <mergeCell ref="A14:B14"/>
  </mergeCells>
  <phoneticPr fontId="18" type="noConversion"/>
  <conditionalFormatting sqref="D33:L35 A33:B37 D36:F37 G36:L41 A38:F41 A42:L1048576 A1:L6 A12:L16 A22:L26 A32:L32 A7:B10 A17:B20 H17:H20 A30:D30 H7:H10 J7:L10 J17:L20 A27:B29 H27:H30 J27:L30 D17:F18 D27:F28 D7:F10 E11 D19:D20 F19:F20 D29 F29:F30">
    <cfRule type="containsText" dxfId="207" priority="17" operator="containsText" text="TBD">
      <formula>NOT(ISERROR(SEARCH("TBD",A1)))</formula>
    </cfRule>
  </conditionalFormatting>
  <conditionalFormatting sqref="C33:C36">
    <cfRule type="containsText" dxfId="206" priority="16" operator="containsText" text="TBD">
      <formula>NOT(ISERROR(SEARCH("TBD",C33)))</formula>
    </cfRule>
  </conditionalFormatting>
  <conditionalFormatting sqref="A11:B11 H11 J11:L11 D11 F11">
    <cfRule type="containsText" dxfId="205" priority="15" operator="containsText" text="TBD">
      <formula>NOT(ISERROR(SEARCH("TBD",A11)))</formula>
    </cfRule>
  </conditionalFormatting>
  <conditionalFormatting sqref="A21:B21 H21 J21:L21 D21 F21">
    <cfRule type="containsText" dxfId="204" priority="14" operator="containsText" text="TBD">
      <formula>NOT(ISERROR(SEARCH("TBD",A21)))</formula>
    </cfRule>
  </conditionalFormatting>
  <conditionalFormatting sqref="A31:B31 H31 D31 J31:L31 F31">
    <cfRule type="containsText" dxfId="203" priority="13" operator="containsText" text="TBD">
      <formula>NOT(ISERROR(SEARCH("TBD",A31)))</formula>
    </cfRule>
  </conditionalFormatting>
  <conditionalFormatting sqref="G7">
    <cfRule type="containsText" dxfId="202" priority="12" operator="containsText" text="TBD">
      <formula>NOT(ISERROR(SEARCH("TBD",G7)))</formula>
    </cfRule>
  </conditionalFormatting>
  <conditionalFormatting sqref="G8:G11">
    <cfRule type="containsText" dxfId="201" priority="11" operator="containsText" text="TBD">
      <formula>NOT(ISERROR(SEARCH("TBD",G8)))</formula>
    </cfRule>
  </conditionalFormatting>
  <conditionalFormatting sqref="G17">
    <cfRule type="containsText" dxfId="200" priority="10" operator="containsText" text="TBD">
      <formula>NOT(ISERROR(SEARCH("TBD",G17)))</formula>
    </cfRule>
  </conditionalFormatting>
  <conditionalFormatting sqref="G18:G21">
    <cfRule type="containsText" dxfId="199" priority="9" operator="containsText" text="TBD">
      <formula>NOT(ISERROR(SEARCH("TBD",G18)))</formula>
    </cfRule>
  </conditionalFormatting>
  <conditionalFormatting sqref="G27">
    <cfRule type="containsText" dxfId="198" priority="8" operator="containsText" text="TBD">
      <formula>NOT(ISERROR(SEARCH("TBD",G27)))</formula>
    </cfRule>
  </conditionalFormatting>
  <conditionalFormatting sqref="G28:G31">
    <cfRule type="containsText" dxfId="197" priority="7" operator="containsText" text="TBD">
      <formula>NOT(ISERROR(SEARCH("TBD",G28)))</formula>
    </cfRule>
  </conditionalFormatting>
  <conditionalFormatting sqref="C31">
    <cfRule type="containsText" dxfId="196" priority="6" operator="containsText" text="TBD">
      <formula>NOT(ISERROR(SEARCH("TBD",C31)))</formula>
    </cfRule>
  </conditionalFormatting>
  <conditionalFormatting sqref="I30:I31">
    <cfRule type="containsText" dxfId="195" priority="5" operator="containsText" text="TBD">
      <formula>NOT(ISERROR(SEARCH("TBD",I30)))</formula>
    </cfRule>
  </conditionalFormatting>
  <conditionalFormatting sqref="E19:E21">
    <cfRule type="containsText" dxfId="194" priority="2" operator="containsText" text="TBD">
      <formula>NOT(ISERROR(SEARCH("TBD",E19)))</formula>
    </cfRule>
  </conditionalFormatting>
  <conditionalFormatting sqref="E29:E31">
    <cfRule type="containsText" dxfId="193" priority="1" operator="containsText" text="TBD">
      <formula>NOT(ISERROR(SEARCH("TBD",E29)))</formula>
    </cfRule>
  </conditionalFormatting>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8231-0E24-4297-AC4E-3BB60D8DBE45}">
  <sheetPr>
    <tabColor rgb="FF00B0F0"/>
  </sheetPr>
  <dimension ref="A1:M28"/>
  <sheetViews>
    <sheetView zoomScaleNormal="100" workbookViewId="0">
      <selection activeCell="G24" sqref="G24"/>
    </sheetView>
  </sheetViews>
  <sheetFormatPr defaultColWidth="9" defaultRowHeight="15.75"/>
  <cols>
    <col min="1" max="1" width="9.125" style="6" bestFit="1" customWidth="1"/>
    <col min="2" max="2" width="8.125" style="6" bestFit="1" customWidth="1"/>
    <col min="3" max="3" width="23.125" style="6" bestFit="1" customWidth="1"/>
    <col min="4" max="4" width="20.375" style="6" bestFit="1" customWidth="1"/>
    <col min="5" max="6" width="15.75" style="6" bestFit="1" customWidth="1"/>
    <col min="7" max="7" width="76.5" style="6" bestFit="1" customWidth="1"/>
    <col min="8" max="8" width="15.625" style="6" bestFit="1" customWidth="1"/>
    <col min="9" max="9" width="25.5" style="6" bestFit="1" customWidth="1"/>
    <col min="10" max="10" width="15.625" style="6" bestFit="1" customWidth="1"/>
    <col min="11" max="11" width="12.25" style="6" bestFit="1" customWidth="1"/>
    <col min="12" max="12" width="18.75" style="6" customWidth="1"/>
    <col min="13" max="13" width="36.875" style="6" customWidth="1"/>
    <col min="14" max="16384" width="9" style="6"/>
  </cols>
  <sheetData>
    <row r="1" spans="1:13">
      <c r="A1" s="152" t="s">
        <v>21</v>
      </c>
      <c r="B1" s="153"/>
      <c r="C1" s="153"/>
      <c r="D1" s="153"/>
      <c r="E1" s="153"/>
      <c r="F1" s="153"/>
      <c r="G1" s="153"/>
      <c r="H1" s="153"/>
      <c r="I1" s="153"/>
      <c r="J1" s="153"/>
      <c r="K1" s="153"/>
      <c r="L1" s="153"/>
      <c r="M1" s="154"/>
    </row>
    <row r="2" spans="1:13">
      <c r="A2" s="152" t="s">
        <v>0</v>
      </c>
      <c r="B2" s="153"/>
      <c r="C2" s="153"/>
      <c r="D2" s="153"/>
      <c r="E2" s="153"/>
      <c r="F2" s="153"/>
      <c r="G2" s="153"/>
      <c r="H2" s="153"/>
      <c r="I2" s="153"/>
      <c r="J2" s="153"/>
      <c r="K2" s="153"/>
      <c r="L2" s="153"/>
      <c r="M2" s="154"/>
    </row>
    <row r="3" spans="1:13" s="8" customFormat="1">
      <c r="A3" s="150" t="s">
        <v>7</v>
      </c>
      <c r="B3" s="150"/>
      <c r="C3" s="30" t="str">
        <f>C6</f>
        <v>TEMP-S000227142</v>
      </c>
      <c r="D3" s="57" t="s">
        <v>1</v>
      </c>
      <c r="E3" s="27" t="s">
        <v>14</v>
      </c>
      <c r="F3" s="57"/>
      <c r="G3" s="57"/>
      <c r="H3" s="57"/>
      <c r="I3" s="57"/>
      <c r="J3" s="57"/>
      <c r="K3" s="57"/>
      <c r="L3" s="57"/>
      <c r="M3" s="44"/>
    </row>
    <row r="4" spans="1:13" s="8" customFormat="1">
      <c r="A4" s="155" t="s">
        <v>8</v>
      </c>
      <c r="B4" s="155"/>
      <c r="C4" s="40" t="str">
        <f>E6</f>
        <v>TBD</v>
      </c>
      <c r="D4" s="58" t="s">
        <v>9</v>
      </c>
      <c r="E4" s="42" t="s">
        <v>14</v>
      </c>
      <c r="F4" s="58" t="s">
        <v>10</v>
      </c>
      <c r="G4" s="13" t="str">
        <f>G6</f>
        <v>TIM Pack</v>
      </c>
      <c r="H4" s="58"/>
      <c r="I4" s="58"/>
      <c r="J4" s="58"/>
      <c r="K4" s="58"/>
      <c r="L4" s="58"/>
      <c r="M4" s="44"/>
    </row>
    <row r="5" spans="1:13" s="21" customFormat="1" ht="30">
      <c r="A5" s="28" t="s">
        <v>2</v>
      </c>
      <c r="B5" s="28" t="s">
        <v>3</v>
      </c>
      <c r="C5" s="28" t="s">
        <v>11</v>
      </c>
      <c r="D5" s="28" t="s">
        <v>12</v>
      </c>
      <c r="E5" s="28" t="s">
        <v>35</v>
      </c>
      <c r="F5" s="28" t="s">
        <v>13</v>
      </c>
      <c r="G5" s="28" t="s">
        <v>18</v>
      </c>
      <c r="H5" s="28" t="s">
        <v>31</v>
      </c>
      <c r="I5" s="28" t="s">
        <v>19</v>
      </c>
      <c r="J5" s="28" t="s">
        <v>4</v>
      </c>
      <c r="K5" s="28" t="s">
        <v>22</v>
      </c>
      <c r="L5" s="28" t="s">
        <v>49</v>
      </c>
      <c r="M5" s="28" t="s">
        <v>15</v>
      </c>
    </row>
    <row r="6" spans="1:13" s="25" customFormat="1" ht="15">
      <c r="A6" s="59">
        <f>ROW(A6)-5</f>
        <v>1</v>
      </c>
      <c r="B6" s="81" t="s">
        <v>399</v>
      </c>
      <c r="C6" s="59" t="s">
        <v>398</v>
      </c>
      <c r="D6" s="59" t="s">
        <v>30</v>
      </c>
      <c r="E6" s="63" t="s">
        <v>34</v>
      </c>
      <c r="F6" s="59" t="s">
        <v>30</v>
      </c>
      <c r="G6" s="83" t="s">
        <v>324</v>
      </c>
      <c r="H6" s="59" t="s">
        <v>51</v>
      </c>
      <c r="I6" s="59" t="s">
        <v>398</v>
      </c>
      <c r="J6" s="67" t="s">
        <v>127</v>
      </c>
      <c r="K6" s="67">
        <v>1</v>
      </c>
      <c r="L6" s="77" t="s">
        <v>50</v>
      </c>
      <c r="M6" s="84"/>
    </row>
    <row r="7" spans="1:13">
      <c r="A7" s="59">
        <f t="shared" ref="A7" si="0">ROW(A7)-5</f>
        <v>2</v>
      </c>
      <c r="B7" s="70" t="s">
        <v>29</v>
      </c>
      <c r="C7" s="59" t="s">
        <v>368</v>
      </c>
      <c r="D7" s="59" t="s">
        <v>14</v>
      </c>
      <c r="E7" s="59" t="s">
        <v>34</v>
      </c>
      <c r="F7" s="59" t="s">
        <v>14</v>
      </c>
      <c r="G7" s="66" t="s">
        <v>403</v>
      </c>
      <c r="H7" s="59" t="s">
        <v>382</v>
      </c>
      <c r="I7" s="59" t="s">
        <v>368</v>
      </c>
      <c r="J7" s="59" t="s">
        <v>14</v>
      </c>
      <c r="K7" s="67">
        <v>2</v>
      </c>
      <c r="L7" s="77" t="s">
        <v>50</v>
      </c>
      <c r="M7" s="65"/>
    </row>
    <row r="8" spans="1:13" s="17" customFormat="1">
      <c r="A8" s="59">
        <f>ROW(A8)-5</f>
        <v>3</v>
      </c>
      <c r="B8" s="60" t="s">
        <v>37</v>
      </c>
      <c r="C8" s="59" t="s">
        <v>369</v>
      </c>
      <c r="D8" s="59" t="s">
        <v>30</v>
      </c>
      <c r="E8" s="59" t="s">
        <v>34</v>
      </c>
      <c r="F8" s="59" t="s">
        <v>14</v>
      </c>
      <c r="G8" s="66" t="s">
        <v>404</v>
      </c>
      <c r="H8" s="59" t="s">
        <v>383</v>
      </c>
      <c r="I8" s="59" t="s">
        <v>369</v>
      </c>
      <c r="J8" s="59" t="s">
        <v>30</v>
      </c>
      <c r="K8" s="67" t="s">
        <v>413</v>
      </c>
      <c r="L8" s="77" t="s">
        <v>50</v>
      </c>
      <c r="M8" s="69"/>
    </row>
    <row r="9" spans="1:13" s="17" customFormat="1">
      <c r="A9" s="59">
        <f>ROW(A9)-5</f>
        <v>4</v>
      </c>
      <c r="B9" s="70" t="s">
        <v>386</v>
      </c>
      <c r="C9" s="59" t="s">
        <v>370</v>
      </c>
      <c r="D9" s="59" t="s">
        <v>30</v>
      </c>
      <c r="E9" s="59" t="s">
        <v>34</v>
      </c>
      <c r="F9" s="59" t="s">
        <v>14</v>
      </c>
      <c r="G9" s="66" t="s">
        <v>405</v>
      </c>
      <c r="H9" s="59" t="s">
        <v>382</v>
      </c>
      <c r="I9" s="59" t="s">
        <v>370</v>
      </c>
      <c r="J9" s="59" t="s">
        <v>30</v>
      </c>
      <c r="K9" s="67">
        <v>16</v>
      </c>
      <c r="L9" s="77" t="s">
        <v>50</v>
      </c>
      <c r="M9" s="69"/>
    </row>
    <row r="10" spans="1:13" s="17" customFormat="1">
      <c r="A10" s="59">
        <f t="shared" ref="A10" si="1">ROW(A10)-5</f>
        <v>5</v>
      </c>
      <c r="B10" s="60" t="s">
        <v>387</v>
      </c>
      <c r="C10" s="59" t="s">
        <v>371</v>
      </c>
      <c r="D10" s="59" t="s">
        <v>30</v>
      </c>
      <c r="E10" s="63" t="s">
        <v>34</v>
      </c>
      <c r="F10" s="59" t="s">
        <v>14</v>
      </c>
      <c r="G10" s="66" t="s">
        <v>406</v>
      </c>
      <c r="H10" s="59" t="s">
        <v>382</v>
      </c>
      <c r="I10" s="59" t="s">
        <v>371</v>
      </c>
      <c r="J10" s="59" t="s">
        <v>30</v>
      </c>
      <c r="K10" s="67">
        <v>4</v>
      </c>
      <c r="L10" s="77" t="s">
        <v>50</v>
      </c>
      <c r="M10" s="85"/>
    </row>
    <row r="11" spans="1:13">
      <c r="A11" s="11">
        <f>ROW(A11)-5</f>
        <v>6</v>
      </c>
      <c r="B11" s="70" t="s">
        <v>388</v>
      </c>
      <c r="C11" s="59" t="s">
        <v>372</v>
      </c>
      <c r="D11" s="11" t="s">
        <v>17</v>
      </c>
      <c r="E11" s="11" t="s">
        <v>34</v>
      </c>
      <c r="F11" s="11" t="s">
        <v>14</v>
      </c>
      <c r="G11" s="66" t="s">
        <v>407</v>
      </c>
      <c r="H11" s="59" t="s">
        <v>382</v>
      </c>
      <c r="I11" s="59" t="s">
        <v>372</v>
      </c>
      <c r="J11" s="11" t="s">
        <v>14</v>
      </c>
      <c r="K11" s="67">
        <v>2</v>
      </c>
      <c r="L11" s="77" t="s">
        <v>50</v>
      </c>
      <c r="M11" s="45"/>
    </row>
    <row r="12" spans="1:13">
      <c r="A12" s="59">
        <f t="shared" ref="A12" si="2">ROW(A12)-5</f>
        <v>7</v>
      </c>
      <c r="B12" s="60" t="s">
        <v>389</v>
      </c>
      <c r="C12" s="59" t="s">
        <v>373</v>
      </c>
      <c r="D12" s="59" t="s">
        <v>14</v>
      </c>
      <c r="E12" s="59" t="s">
        <v>34</v>
      </c>
      <c r="F12" s="59" t="s">
        <v>14</v>
      </c>
      <c r="G12" s="66" t="s">
        <v>408</v>
      </c>
      <c r="H12" s="59" t="s">
        <v>382</v>
      </c>
      <c r="I12" s="59" t="s">
        <v>373</v>
      </c>
      <c r="J12" s="59" t="s">
        <v>14</v>
      </c>
      <c r="K12" s="67">
        <v>4</v>
      </c>
      <c r="L12" s="77" t="s">
        <v>50</v>
      </c>
      <c r="M12" s="65"/>
    </row>
    <row r="13" spans="1:13" s="17" customFormat="1">
      <c r="A13" s="59">
        <f>ROW(A13)-5</f>
        <v>8</v>
      </c>
      <c r="B13" s="70" t="s">
        <v>390</v>
      </c>
      <c r="C13" s="59" t="s">
        <v>374</v>
      </c>
      <c r="D13" s="59" t="s">
        <v>30</v>
      </c>
      <c r="E13" s="59" t="s">
        <v>34</v>
      </c>
      <c r="F13" s="59" t="s">
        <v>14</v>
      </c>
      <c r="G13" s="66" t="s">
        <v>409</v>
      </c>
      <c r="H13" s="59" t="s">
        <v>382</v>
      </c>
      <c r="I13" s="59" t="s">
        <v>374</v>
      </c>
      <c r="J13" s="59" t="s">
        <v>30</v>
      </c>
      <c r="K13" s="67">
        <v>2</v>
      </c>
      <c r="L13" s="77" t="s">
        <v>50</v>
      </c>
      <c r="M13" s="69"/>
    </row>
    <row r="14" spans="1:13" s="17" customFormat="1">
      <c r="A14" s="59">
        <f>ROW(A14)-5</f>
        <v>9</v>
      </c>
      <c r="B14" s="60" t="s">
        <v>391</v>
      </c>
      <c r="C14" s="59" t="s">
        <v>375</v>
      </c>
      <c r="D14" s="59" t="s">
        <v>30</v>
      </c>
      <c r="E14" s="59" t="s">
        <v>34</v>
      </c>
      <c r="F14" s="59" t="s">
        <v>14</v>
      </c>
      <c r="G14" s="66" t="s">
        <v>407</v>
      </c>
      <c r="H14" s="59" t="s">
        <v>384</v>
      </c>
      <c r="I14" s="59" t="s">
        <v>375</v>
      </c>
      <c r="J14" s="59" t="s">
        <v>30</v>
      </c>
      <c r="K14" s="67">
        <v>8</v>
      </c>
      <c r="L14" s="77" t="s">
        <v>50</v>
      </c>
      <c r="M14" s="69"/>
    </row>
    <row r="15" spans="1:13" s="17" customFormat="1">
      <c r="A15" s="59">
        <f t="shared" ref="A15" si="3">ROW(A15)-5</f>
        <v>10</v>
      </c>
      <c r="B15" s="70" t="s">
        <v>392</v>
      </c>
      <c r="C15" s="59" t="s">
        <v>376</v>
      </c>
      <c r="D15" s="59" t="s">
        <v>30</v>
      </c>
      <c r="E15" s="63" t="s">
        <v>34</v>
      </c>
      <c r="F15" s="59" t="s">
        <v>14</v>
      </c>
      <c r="G15" s="90" t="s">
        <v>400</v>
      </c>
      <c r="H15" s="59" t="s">
        <v>385</v>
      </c>
      <c r="I15" s="59" t="s">
        <v>376</v>
      </c>
      <c r="J15" s="59" t="s">
        <v>30</v>
      </c>
      <c r="K15" s="67">
        <v>8</v>
      </c>
      <c r="L15" s="77" t="s">
        <v>50</v>
      </c>
      <c r="M15" s="85"/>
    </row>
    <row r="16" spans="1:13">
      <c r="A16" s="11">
        <f>ROW(A16)-5</f>
        <v>11</v>
      </c>
      <c r="B16" s="60" t="s">
        <v>393</v>
      </c>
      <c r="C16" s="59" t="s">
        <v>377</v>
      </c>
      <c r="D16" s="11" t="s">
        <v>17</v>
      </c>
      <c r="E16" s="11" t="s">
        <v>34</v>
      </c>
      <c r="F16" s="11" t="s">
        <v>14</v>
      </c>
      <c r="G16" s="13" t="s">
        <v>401</v>
      </c>
      <c r="H16" s="59" t="s">
        <v>385</v>
      </c>
      <c r="I16" s="59" t="s">
        <v>377</v>
      </c>
      <c r="J16" s="11" t="s">
        <v>14</v>
      </c>
      <c r="K16" s="67">
        <v>4</v>
      </c>
      <c r="L16" s="77" t="s">
        <v>50</v>
      </c>
      <c r="M16" s="45"/>
    </row>
    <row r="17" spans="1:13">
      <c r="A17" s="59">
        <f t="shared" ref="A17" si="4">ROW(A17)-5</f>
        <v>12</v>
      </c>
      <c r="B17" s="70" t="s">
        <v>394</v>
      </c>
      <c r="C17" s="59" t="s">
        <v>378</v>
      </c>
      <c r="D17" s="59" t="s">
        <v>14</v>
      </c>
      <c r="E17" s="59" t="s">
        <v>34</v>
      </c>
      <c r="F17" s="59" t="s">
        <v>14</v>
      </c>
      <c r="G17" s="13" t="s">
        <v>410</v>
      </c>
      <c r="H17" s="59" t="s">
        <v>385</v>
      </c>
      <c r="I17" s="59" t="s">
        <v>378</v>
      </c>
      <c r="J17" s="59" t="s">
        <v>14</v>
      </c>
      <c r="K17" s="67">
        <v>2</v>
      </c>
      <c r="L17" s="77" t="s">
        <v>50</v>
      </c>
      <c r="M17" s="65"/>
    </row>
    <row r="18" spans="1:13" s="17" customFormat="1">
      <c r="A18" s="59">
        <f>ROW(A18)-5</f>
        <v>13</v>
      </c>
      <c r="B18" s="60" t="s">
        <v>395</v>
      </c>
      <c r="C18" s="59" t="s">
        <v>379</v>
      </c>
      <c r="D18" s="59" t="s">
        <v>30</v>
      </c>
      <c r="E18" s="59" t="s">
        <v>34</v>
      </c>
      <c r="F18" s="59" t="s">
        <v>14</v>
      </c>
      <c r="G18" s="62" t="s">
        <v>402</v>
      </c>
      <c r="H18" s="59" t="s">
        <v>382</v>
      </c>
      <c r="I18" s="59" t="s">
        <v>379</v>
      </c>
      <c r="J18" s="59" t="s">
        <v>30</v>
      </c>
      <c r="K18" s="67">
        <v>4</v>
      </c>
      <c r="L18" s="77" t="s">
        <v>50</v>
      </c>
      <c r="M18" s="69"/>
    </row>
    <row r="19" spans="1:13" s="17" customFormat="1">
      <c r="A19" s="59">
        <f>ROW(A19)-5</f>
        <v>14</v>
      </c>
      <c r="B19" s="70" t="s">
        <v>396</v>
      </c>
      <c r="C19" s="59" t="s">
        <v>380</v>
      </c>
      <c r="D19" s="59" t="s">
        <v>30</v>
      </c>
      <c r="E19" s="59" t="s">
        <v>34</v>
      </c>
      <c r="F19" s="59" t="s">
        <v>14</v>
      </c>
      <c r="G19" s="62" t="s">
        <v>411</v>
      </c>
      <c r="H19" s="59" t="s">
        <v>382</v>
      </c>
      <c r="I19" s="59" t="s">
        <v>380</v>
      </c>
      <c r="J19" s="59" t="s">
        <v>30</v>
      </c>
      <c r="K19" s="67">
        <v>32</v>
      </c>
      <c r="L19" s="77" t="s">
        <v>50</v>
      </c>
      <c r="M19" s="69"/>
    </row>
    <row r="20" spans="1:13" s="17" customFormat="1">
      <c r="A20" s="59">
        <f t="shared" ref="A20" si="5">ROW(A20)-5</f>
        <v>15</v>
      </c>
      <c r="B20" s="60" t="s">
        <v>397</v>
      </c>
      <c r="C20" s="59" t="s">
        <v>381</v>
      </c>
      <c r="D20" s="59" t="s">
        <v>30</v>
      </c>
      <c r="E20" s="63" t="s">
        <v>34</v>
      </c>
      <c r="F20" s="59" t="s">
        <v>14</v>
      </c>
      <c r="G20" s="62" t="s">
        <v>412</v>
      </c>
      <c r="H20" s="59" t="s">
        <v>382</v>
      </c>
      <c r="I20" s="59" t="s">
        <v>381</v>
      </c>
      <c r="J20" s="59" t="s">
        <v>30</v>
      </c>
      <c r="K20" s="67">
        <v>24</v>
      </c>
      <c r="L20" s="77" t="s">
        <v>50</v>
      </c>
      <c r="M20" s="85"/>
    </row>
    <row r="21" spans="1:13">
      <c r="B21" s="3"/>
      <c r="C21" s="2"/>
      <c r="H21" s="5"/>
      <c r="I21" s="2"/>
    </row>
    <row r="22" spans="1:13">
      <c r="A22" s="17"/>
      <c r="B22" s="1" t="s">
        <v>15</v>
      </c>
      <c r="C22" s="10" t="s">
        <v>16</v>
      </c>
      <c r="D22" s="18"/>
      <c r="E22" s="17"/>
      <c r="F22" s="17"/>
      <c r="G22" s="4"/>
      <c r="H22" s="17"/>
      <c r="I22" s="17"/>
      <c r="J22" s="17"/>
      <c r="L22" s="17"/>
    </row>
    <row r="23" spans="1:13">
      <c r="A23" s="17"/>
      <c r="B23" s="17"/>
      <c r="C23" s="15" t="s">
        <v>5</v>
      </c>
      <c r="D23" s="17"/>
      <c r="E23" s="17"/>
      <c r="F23" s="17"/>
      <c r="G23" s="16"/>
      <c r="H23" s="17"/>
      <c r="I23" s="17"/>
      <c r="J23" s="17"/>
      <c r="L23" s="17"/>
    </row>
    <row r="24" spans="1:13">
      <c r="A24" s="17"/>
      <c r="B24" s="17"/>
      <c r="C24" s="19" t="s">
        <v>6</v>
      </c>
      <c r="D24" s="17"/>
      <c r="E24" s="17"/>
      <c r="F24" s="17"/>
      <c r="G24" s="16"/>
      <c r="H24" s="17"/>
      <c r="I24" s="17"/>
      <c r="J24" s="17"/>
      <c r="L24" s="17"/>
    </row>
    <row r="25" spans="1:13">
      <c r="C25" s="20" t="s">
        <v>52</v>
      </c>
      <c r="G25" s="18"/>
    </row>
    <row r="26" spans="1:13" ht="47.25">
      <c r="C26" s="29" t="s">
        <v>53</v>
      </c>
    </row>
    <row r="27" spans="1:13">
      <c r="K27" s="7"/>
    </row>
    <row r="28" spans="1:13">
      <c r="G28" s="22"/>
    </row>
  </sheetData>
  <mergeCells count="4">
    <mergeCell ref="A1:M1"/>
    <mergeCell ref="A2:M2"/>
    <mergeCell ref="A3:B3"/>
    <mergeCell ref="A4:B4"/>
  </mergeCells>
  <phoneticPr fontId="18" type="noConversion"/>
  <conditionalFormatting sqref="A1:A2 A21:XFD1048576">
    <cfRule type="containsText" dxfId="192" priority="71" operator="containsText" text="TBD">
      <formula>NOT(ISERROR(SEARCH("TBD",A1)))</formula>
    </cfRule>
  </conditionalFormatting>
  <conditionalFormatting sqref="A3:L5">
    <cfRule type="containsText" dxfId="191" priority="67" operator="containsText" text="TBD">
      <formula>NOT(ISERROR(SEARCH("TBD",A3)))</formula>
    </cfRule>
  </conditionalFormatting>
  <conditionalFormatting sqref="A1:XFD5">
    <cfRule type="containsText" dxfId="190" priority="68" operator="containsText" text="TBD">
      <formula>NOT(ISERROR(SEARCH("TBD",A1)))</formula>
    </cfRule>
  </conditionalFormatting>
  <conditionalFormatting sqref="C22:C25">
    <cfRule type="containsText" dxfId="189" priority="70" operator="containsText" text="TBD">
      <formula>NOT(ISERROR(SEARCH("TBD",C22)))</formula>
    </cfRule>
  </conditionalFormatting>
  <conditionalFormatting sqref="M5">
    <cfRule type="containsText" dxfId="188" priority="69" operator="containsText" text="TBD">
      <formula>NOT(ISERROR(SEARCH("TBD",M5)))</formula>
    </cfRule>
  </conditionalFormatting>
  <conditionalFormatting sqref="A10">
    <cfRule type="containsText" dxfId="187" priority="64" operator="containsText" text="TBD">
      <formula>NOT(ISERROR(SEARCH("TBD",A10)))</formula>
    </cfRule>
  </conditionalFormatting>
  <conditionalFormatting sqref="A10 D10:F10 J10 M10:XFD10">
    <cfRule type="containsText" dxfId="186" priority="63" operator="containsText" text="TBD">
      <formula>NOT(ISERROR(SEARCH("TBD",A10)))</formula>
    </cfRule>
  </conditionalFormatting>
  <conditionalFormatting sqref="D10:F10 J10">
    <cfRule type="containsText" dxfId="185" priority="65" operator="containsText" text="TBD">
      <formula>NOT(ISERROR(SEARCH("TBD",D10)))</formula>
    </cfRule>
  </conditionalFormatting>
  <conditionalFormatting sqref="A7:B8 J7:J9 D7:G9 A9 B9:B20 M7:XFD9">
    <cfRule type="containsText" dxfId="184" priority="61" operator="containsText" text="TBD">
      <formula>NOT(ISERROR(SEARCH("TBD",A7)))</formula>
    </cfRule>
  </conditionalFormatting>
  <conditionalFormatting sqref="A8:B8 D8:G9 J8:J9 A9 B10 B12 B14 B16 B18 B20">
    <cfRule type="containsText" dxfId="183" priority="60" operator="containsText" text="TBD">
      <formula>NOT(ISERROR(SEARCH("TBD",A8)))</formula>
    </cfRule>
  </conditionalFormatting>
  <conditionalFormatting sqref="A8:B8 D8:G9 J8:J9 A9 B10 B12 B14 B16 B18 B20 M8:XFD9">
    <cfRule type="containsText" dxfId="182" priority="59" operator="containsText" text="TBD">
      <formula>NOT(ISERROR(SEARCH("TBD",A8)))</formula>
    </cfRule>
  </conditionalFormatting>
  <conditionalFormatting sqref="A11 D11:F11 J11">
    <cfRule type="containsText" dxfId="181" priority="57" operator="containsText" text="TBD">
      <formula>NOT(ISERROR(SEARCH("TBD",A11)))</formula>
    </cfRule>
  </conditionalFormatting>
  <conditionalFormatting sqref="A11 D11:F11 J11 M11:XFD11">
    <cfRule type="containsText" dxfId="180" priority="58" operator="containsText" text="TBD">
      <formula>NOT(ISERROR(SEARCH("TBD",A11)))</formula>
    </cfRule>
  </conditionalFormatting>
  <conditionalFormatting sqref="G10">
    <cfRule type="containsText" dxfId="179" priority="28" operator="containsText" text="TBD">
      <formula>NOT(ISERROR(SEARCH("TBD",G10)))</formula>
    </cfRule>
  </conditionalFormatting>
  <conditionalFormatting sqref="A15">
    <cfRule type="containsText" dxfId="178" priority="54" operator="containsText" text="TBD">
      <formula>NOT(ISERROR(SEARCH("TBD",A15)))</formula>
    </cfRule>
  </conditionalFormatting>
  <conditionalFormatting sqref="A15 D15:F15 J15 M15:XFD15">
    <cfRule type="containsText" dxfId="177" priority="53" operator="containsText" text="TBD">
      <formula>NOT(ISERROR(SEARCH("TBD",A15)))</formula>
    </cfRule>
  </conditionalFormatting>
  <conditionalFormatting sqref="D15:F15 J15">
    <cfRule type="containsText" dxfId="176" priority="55" operator="containsText" text="TBD">
      <formula>NOT(ISERROR(SEARCH("TBD",D15)))</formula>
    </cfRule>
  </conditionalFormatting>
  <conditionalFormatting sqref="G14">
    <cfRule type="containsText" dxfId="175" priority="24" operator="containsText" text="TBD">
      <formula>NOT(ISERROR(SEARCH("TBD",G14)))</formula>
    </cfRule>
  </conditionalFormatting>
  <conditionalFormatting sqref="A12:A14 J12:J14 D12:F14 M12:XFD14">
    <cfRule type="containsText" dxfId="174" priority="51" operator="containsText" text="TBD">
      <formula>NOT(ISERROR(SEARCH("TBD",A12)))</formula>
    </cfRule>
  </conditionalFormatting>
  <conditionalFormatting sqref="A13:A14 J13:J14 D13:F14">
    <cfRule type="containsText" dxfId="173" priority="50" operator="containsText" text="TBD">
      <formula>NOT(ISERROR(SEARCH("TBD",A13)))</formula>
    </cfRule>
  </conditionalFormatting>
  <conditionalFormatting sqref="A13:A14 J13:J14 D13:F14 M13:XFD14">
    <cfRule type="containsText" dxfId="172" priority="49" operator="containsText" text="TBD">
      <formula>NOT(ISERROR(SEARCH("TBD",A13)))</formula>
    </cfRule>
  </conditionalFormatting>
  <conditionalFormatting sqref="A16 D16:G16 J16">
    <cfRule type="containsText" dxfId="171" priority="47" operator="containsText" text="TBD">
      <formula>NOT(ISERROR(SEARCH("TBD",A16)))</formula>
    </cfRule>
  </conditionalFormatting>
  <conditionalFormatting sqref="A16 D16:G16 J16 M16:XFD16">
    <cfRule type="containsText" dxfId="170" priority="48" operator="containsText" text="TBD">
      <formula>NOT(ISERROR(SEARCH("TBD",A16)))</formula>
    </cfRule>
  </conditionalFormatting>
  <conditionalFormatting sqref="A20">
    <cfRule type="containsText" dxfId="169" priority="44" operator="containsText" text="TBD">
      <formula>NOT(ISERROR(SEARCH("TBD",A20)))</formula>
    </cfRule>
  </conditionalFormatting>
  <conditionalFormatting sqref="A20 J20 D20:F20 M20:XFD20">
    <cfRule type="containsText" dxfId="168" priority="43" operator="containsText" text="TBD">
      <formula>NOT(ISERROR(SEARCH("TBD",A20)))</formula>
    </cfRule>
  </conditionalFormatting>
  <conditionalFormatting sqref="D20:F20 J20">
    <cfRule type="containsText" dxfId="167" priority="45" operator="containsText" text="TBD">
      <formula>NOT(ISERROR(SEARCH("TBD",D20)))</formula>
    </cfRule>
  </conditionalFormatting>
  <conditionalFormatting sqref="G17">
    <cfRule type="containsText" dxfId="166" priority="14" operator="containsText" text="TBD">
      <formula>NOT(ISERROR(SEARCH("TBD",G17)))</formula>
    </cfRule>
  </conditionalFormatting>
  <conditionalFormatting sqref="A17:A19 D17:F17 D18:G19 J17:J19 M17:XFD19">
    <cfRule type="containsText" dxfId="165" priority="41" operator="containsText" text="TBD">
      <formula>NOT(ISERROR(SEARCH("TBD",A17)))</formula>
    </cfRule>
  </conditionalFormatting>
  <conditionalFormatting sqref="A18:A19 J18:J19 D18:G19">
    <cfRule type="containsText" dxfId="164" priority="40" operator="containsText" text="TBD">
      <formula>NOT(ISERROR(SEARCH("TBD",A18)))</formula>
    </cfRule>
  </conditionalFormatting>
  <conditionalFormatting sqref="A18:A19 J18:J19 D18:G19 M18:XFD19">
    <cfRule type="containsText" dxfId="163" priority="39" operator="containsText" text="TBD">
      <formula>NOT(ISERROR(SEARCH("TBD",A18)))</formula>
    </cfRule>
  </conditionalFormatting>
  <conditionalFormatting sqref="K7:K20">
    <cfRule type="containsText" dxfId="162" priority="9" operator="containsText" text="TBD">
      <formula>NOT(ISERROR(SEARCH("TBD",K7)))</formula>
    </cfRule>
  </conditionalFormatting>
  <conditionalFormatting sqref="G20">
    <cfRule type="containsText" dxfId="161" priority="10" operator="containsText" text="TBD">
      <formula>NOT(ISERROR(SEARCH("TBD",G20)))</formula>
    </cfRule>
  </conditionalFormatting>
  <conditionalFormatting sqref="C7:C20">
    <cfRule type="containsText" dxfId="160" priority="8" operator="containsText" text="TBD">
      <formula>NOT(ISERROR(SEARCH("TBD",C7)))</formula>
    </cfRule>
  </conditionalFormatting>
  <conditionalFormatting sqref="C7:C20">
    <cfRule type="containsText" dxfId="159" priority="6" operator="containsText" text="TBD">
      <formula>NOT(ISERROR(SEARCH("TBD",C7)))</formula>
    </cfRule>
  </conditionalFormatting>
  <conditionalFormatting sqref="C7:C20">
    <cfRule type="containsText" dxfId="158" priority="5" operator="containsText" text="TBD">
      <formula>NOT(ISERROR(SEARCH("TBD",C7)))</formula>
    </cfRule>
  </conditionalFormatting>
  <conditionalFormatting sqref="C7:C20">
    <cfRule type="containsText" dxfId="157" priority="7" operator="containsText" text="TBD">
      <formula>NOT(ISERROR(SEARCH("TBD",C7)))</formula>
    </cfRule>
  </conditionalFormatting>
  <conditionalFormatting sqref="I7:I20">
    <cfRule type="containsText" dxfId="156" priority="4" operator="containsText" text="TBD">
      <formula>NOT(ISERROR(SEARCH("TBD",I7)))</formula>
    </cfRule>
  </conditionalFormatting>
  <conditionalFormatting sqref="I7:I20">
    <cfRule type="containsText" dxfId="155" priority="3" operator="containsText" text="TBD">
      <formula>NOT(ISERROR(SEARCH("TBD",I7)))</formula>
    </cfRule>
  </conditionalFormatting>
  <conditionalFormatting sqref="H7:H20">
    <cfRule type="containsText" dxfId="154" priority="2" operator="containsText" text="TBD">
      <formula>NOT(ISERROR(SEARCH("TBD",H7)))</formula>
    </cfRule>
  </conditionalFormatting>
  <conditionalFormatting sqref="L7:L20">
    <cfRule type="containsText" dxfId="153" priority="1" operator="containsText" text="TBD">
      <formula>NOT(ISERROR(SEARCH("TBD",L7)))</formula>
    </cfRule>
  </conditionalFormatting>
  <conditionalFormatting sqref="G11">
    <cfRule type="containsText" dxfId="152" priority="27" operator="containsText" text="TBD">
      <formula>NOT(ISERROR(SEARCH("TBD",G11)))</formula>
    </cfRule>
  </conditionalFormatting>
  <conditionalFormatting sqref="G12">
    <cfRule type="containsText" dxfId="151" priority="26" operator="containsText" text="TBD">
      <formula>NOT(ISERROR(SEARCH("TBD",G12)))</formula>
    </cfRule>
  </conditionalFormatting>
  <conditionalFormatting sqref="G13">
    <cfRule type="containsText" dxfId="150" priority="25" operator="containsText" text="TBD">
      <formula>NOT(ISERROR(SEARCH("TBD",G13)))</formula>
    </cfRule>
  </conditionalFormatting>
  <conditionalFormatting sqref="I6">
    <cfRule type="containsText" dxfId="149" priority="19" operator="containsText" text="TBD">
      <formula>NOT(ISERROR(SEARCH("TBD",I6)))</formula>
    </cfRule>
  </conditionalFormatting>
  <conditionalFormatting sqref="A6:G6 I6:XFD6">
    <cfRule type="containsText" dxfId="148" priority="17" operator="containsText" text="TBD">
      <formula>NOT(ISERROR(SEARCH("TBD",A6)))</formula>
    </cfRule>
  </conditionalFormatting>
  <conditionalFormatting sqref="C6">
    <cfRule type="containsText" dxfId="147" priority="18" operator="containsText" text="TBD">
      <formula>NOT(ISERROR(SEARCH("TBD",C6)))</formula>
    </cfRule>
  </conditionalFormatting>
  <conditionalFormatting sqref="C6">
    <cfRule type="containsText" dxfId="146" priority="20" operator="containsText" text="TBD">
      <formula>NOT(ISERROR(SEARCH("TBD",C6)))</formula>
    </cfRule>
  </conditionalFormatting>
  <conditionalFormatting sqref="C6">
    <cfRule type="containsText" dxfId="145" priority="16" operator="containsText" text="TBD">
      <formula>NOT(ISERROR(SEARCH("TBD",C6)))</formula>
    </cfRule>
  </conditionalFormatting>
  <conditionalFormatting sqref="H6">
    <cfRule type="containsText" dxfId="144" priority="15" operator="containsText" text="TBD">
      <formula>NOT(ISERROR(SEARCH("TBD",H6)))</formula>
    </cfRule>
  </conditionalFormatting>
  <conditionalFormatting sqref="G17">
    <cfRule type="containsText" dxfId="143" priority="13" operator="containsText" text="TBD">
      <formula>NOT(ISERROR(SEARCH("TBD",G17)))</formula>
    </cfRule>
  </conditionalFormatting>
  <conditionalFormatting sqref="G20">
    <cfRule type="containsText" dxfId="142" priority="12" operator="containsText" text="TBD">
      <formula>NOT(ISERROR(SEARCH("TBD",G20)))</formula>
    </cfRule>
  </conditionalFormatting>
  <conditionalFormatting sqref="G20">
    <cfRule type="containsText" dxfId="141" priority="11" operator="containsText" text="TBD">
      <formula>NOT(ISERROR(SEARCH("TBD",G20)))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CD4A-B47D-400A-901C-DE911906EE91}">
  <sheetPr>
    <tabColor rgb="FF00B050"/>
  </sheetPr>
  <dimension ref="A1:AV73"/>
  <sheetViews>
    <sheetView topLeftCell="A28" zoomScaleNormal="100" workbookViewId="0">
      <selection activeCell="G60" sqref="G60"/>
    </sheetView>
  </sheetViews>
  <sheetFormatPr defaultColWidth="9" defaultRowHeight="15.75"/>
  <cols>
    <col min="1" max="1" width="9.125" style="6" bestFit="1" customWidth="1"/>
    <col min="2" max="2" width="8.125" style="6" bestFit="1" customWidth="1"/>
    <col min="3" max="3" width="23.125" style="6" bestFit="1" customWidth="1"/>
    <col min="4" max="4" width="20.375" style="6" bestFit="1" customWidth="1"/>
    <col min="5" max="6" width="15.75" style="6" bestFit="1" customWidth="1"/>
    <col min="7" max="7" width="76.5" style="6" bestFit="1" customWidth="1"/>
    <col min="8" max="8" width="15.625" style="6" bestFit="1" customWidth="1"/>
    <col min="9" max="9" width="25.5" style="6" bestFit="1" customWidth="1"/>
    <col min="10" max="10" width="15.625" style="6" bestFit="1" customWidth="1"/>
    <col min="11" max="11" width="12.25" style="6" bestFit="1" customWidth="1"/>
    <col min="12" max="12" width="18.75" style="6" customWidth="1"/>
    <col min="13" max="13" width="36.875" style="6" customWidth="1"/>
    <col min="14" max="15" width="9" style="138"/>
    <col min="16" max="16384" width="9" style="6"/>
  </cols>
  <sheetData>
    <row r="1" spans="1:15">
      <c r="A1" s="186" t="s">
        <v>21</v>
      </c>
      <c r="B1" s="187"/>
      <c r="C1" s="187"/>
      <c r="D1" s="187"/>
      <c r="E1" s="187"/>
      <c r="F1" s="187"/>
      <c r="G1" s="187"/>
      <c r="H1" s="187"/>
      <c r="I1" s="187"/>
      <c r="J1" s="187"/>
      <c r="K1" s="187"/>
      <c r="L1" s="187"/>
      <c r="M1" s="188"/>
    </row>
    <row r="2" spans="1:15">
      <c r="A2" s="186" t="s">
        <v>0</v>
      </c>
      <c r="B2" s="187"/>
      <c r="C2" s="187"/>
      <c r="D2" s="187"/>
      <c r="E2" s="187"/>
      <c r="F2" s="187"/>
      <c r="G2" s="187"/>
      <c r="H2" s="187"/>
      <c r="I2" s="187"/>
      <c r="J2" s="187"/>
      <c r="K2" s="187"/>
      <c r="L2" s="187"/>
      <c r="M2" s="188"/>
    </row>
    <row r="3" spans="1:15" s="8" customFormat="1">
      <c r="A3" s="189" t="s">
        <v>7</v>
      </c>
      <c r="B3" s="189"/>
      <c r="C3" s="133" t="s">
        <v>524</v>
      </c>
      <c r="D3" s="190" t="s">
        <v>1</v>
      </c>
      <c r="E3" s="191" t="s">
        <v>14</v>
      </c>
      <c r="F3" s="190"/>
      <c r="G3" s="190"/>
      <c r="H3" s="190"/>
      <c r="I3" s="190"/>
      <c r="J3" s="190"/>
      <c r="K3" s="190"/>
      <c r="L3" s="190"/>
      <c r="M3" s="216"/>
      <c r="N3" s="215"/>
      <c r="O3" s="215"/>
    </row>
    <row r="4" spans="1:15" s="8" customFormat="1">
      <c r="A4" s="192" t="s">
        <v>8</v>
      </c>
      <c r="B4" s="192"/>
      <c r="C4" s="193" t="str">
        <f>E6</f>
        <v>TBD</v>
      </c>
      <c r="D4" s="194" t="s">
        <v>9</v>
      </c>
      <c r="E4" s="195" t="s">
        <v>14</v>
      </c>
      <c r="F4" s="194" t="s">
        <v>10</v>
      </c>
      <c r="G4" s="132" t="str">
        <f>G6</f>
        <v>HPM HSC Board + PDB + Power Interconnect Assemblies Package</v>
      </c>
      <c r="H4" s="194"/>
      <c r="I4" s="194"/>
      <c r="J4" s="194"/>
      <c r="K4" s="194"/>
      <c r="L4" s="194"/>
      <c r="M4" s="216"/>
      <c r="N4" s="215"/>
      <c r="O4" s="215"/>
    </row>
    <row r="5" spans="1:15" s="21" customFormat="1" ht="30">
      <c r="A5" s="196" t="s">
        <v>2</v>
      </c>
      <c r="B5" s="196" t="s">
        <v>3</v>
      </c>
      <c r="C5" s="196" t="s">
        <v>11</v>
      </c>
      <c r="D5" s="196" t="s">
        <v>12</v>
      </c>
      <c r="E5" s="196" t="s">
        <v>35</v>
      </c>
      <c r="F5" s="196" t="s">
        <v>13</v>
      </c>
      <c r="G5" s="196" t="s">
        <v>18</v>
      </c>
      <c r="H5" s="196" t="s">
        <v>31</v>
      </c>
      <c r="I5" s="196" t="s">
        <v>19</v>
      </c>
      <c r="J5" s="196" t="s">
        <v>4</v>
      </c>
      <c r="K5" s="196" t="s">
        <v>22</v>
      </c>
      <c r="L5" s="196" t="s">
        <v>49</v>
      </c>
      <c r="M5" s="217" t="s">
        <v>15</v>
      </c>
      <c r="N5" s="221"/>
      <c r="O5" s="221"/>
    </row>
    <row r="6" spans="1:15">
      <c r="A6" s="115">
        <f>ROW(A6)-5</f>
        <v>1</v>
      </c>
      <c r="B6" s="137" t="s">
        <v>36</v>
      </c>
      <c r="C6" s="133" t="s">
        <v>524</v>
      </c>
      <c r="D6" s="115" t="s">
        <v>17</v>
      </c>
      <c r="E6" s="115" t="s">
        <v>34</v>
      </c>
      <c r="F6" s="115" t="s">
        <v>14</v>
      </c>
      <c r="G6" s="132" t="s">
        <v>477</v>
      </c>
      <c r="H6" s="115" t="s">
        <v>20</v>
      </c>
      <c r="I6" s="133" t="str">
        <f>C6</f>
        <v>TEMP-S000226891</v>
      </c>
      <c r="J6" s="115" t="s">
        <v>14</v>
      </c>
      <c r="K6" s="115">
        <v>1</v>
      </c>
      <c r="L6" s="115" t="s">
        <v>14</v>
      </c>
      <c r="M6" s="218"/>
    </row>
    <row r="7" spans="1:15">
      <c r="A7" s="115">
        <f t="shared" ref="A7" si="0">ROW(A7)-5</f>
        <v>2</v>
      </c>
      <c r="B7" s="179" t="s">
        <v>29</v>
      </c>
      <c r="C7" s="197" t="s">
        <v>341</v>
      </c>
      <c r="D7" s="115" t="s">
        <v>14</v>
      </c>
      <c r="E7" s="115" t="s">
        <v>34</v>
      </c>
      <c r="F7" s="115" t="s">
        <v>14</v>
      </c>
      <c r="G7" s="183" t="s">
        <v>323</v>
      </c>
      <c r="H7" s="115" t="s">
        <v>51</v>
      </c>
      <c r="I7" s="133" t="s">
        <v>341</v>
      </c>
      <c r="J7" s="115" t="s">
        <v>14</v>
      </c>
      <c r="K7" s="115">
        <v>1</v>
      </c>
      <c r="L7" s="115" t="s">
        <v>41</v>
      </c>
      <c r="M7" s="218"/>
    </row>
    <row r="8" spans="1:15" s="17" customFormat="1">
      <c r="A8" s="115">
        <f>ROW(A8)-5</f>
        <v>3</v>
      </c>
      <c r="B8" s="137" t="s">
        <v>37</v>
      </c>
      <c r="C8" s="115" t="s">
        <v>149</v>
      </c>
      <c r="D8" s="115" t="s">
        <v>30</v>
      </c>
      <c r="E8" s="115" t="s">
        <v>34</v>
      </c>
      <c r="F8" s="115" t="s">
        <v>14</v>
      </c>
      <c r="G8" s="132" t="s">
        <v>191</v>
      </c>
      <c r="H8" s="115" t="s">
        <v>20</v>
      </c>
      <c r="I8" s="115" t="s">
        <v>163</v>
      </c>
      <c r="J8" s="115" t="s">
        <v>30</v>
      </c>
      <c r="K8" s="115">
        <v>1</v>
      </c>
      <c r="L8" s="115" t="s">
        <v>41</v>
      </c>
      <c r="M8" s="219"/>
      <c r="N8" s="222"/>
      <c r="O8" s="222"/>
    </row>
    <row r="9" spans="1:15" s="17" customFormat="1">
      <c r="A9" s="115">
        <f>ROW(A9)-5</f>
        <v>4</v>
      </c>
      <c r="B9" s="179"/>
      <c r="C9" s="115" t="s">
        <v>148</v>
      </c>
      <c r="D9" s="115" t="s">
        <v>30</v>
      </c>
      <c r="E9" s="115" t="s">
        <v>34</v>
      </c>
      <c r="F9" s="115" t="s">
        <v>14</v>
      </c>
      <c r="G9" s="132" t="s">
        <v>190</v>
      </c>
      <c r="H9" s="115" t="s">
        <v>20</v>
      </c>
      <c r="I9" s="115" t="s">
        <v>148</v>
      </c>
      <c r="J9" s="115" t="s">
        <v>30</v>
      </c>
      <c r="K9" s="115"/>
      <c r="L9" s="115" t="s">
        <v>41</v>
      </c>
      <c r="M9" s="219"/>
      <c r="N9" s="222"/>
      <c r="O9" s="222"/>
    </row>
    <row r="10" spans="1:15" s="17" customFormat="1">
      <c r="A10" s="115">
        <f t="shared" ref="A10" si="1">ROW(A10)-5</f>
        <v>5</v>
      </c>
      <c r="B10" s="139" t="s">
        <v>117</v>
      </c>
      <c r="C10" s="197" t="s">
        <v>256</v>
      </c>
      <c r="D10" s="115" t="s">
        <v>30</v>
      </c>
      <c r="E10" s="197" t="s">
        <v>34</v>
      </c>
      <c r="F10" s="115" t="s">
        <v>14</v>
      </c>
      <c r="G10" s="132" t="s">
        <v>277</v>
      </c>
      <c r="H10" s="115" t="s">
        <v>39</v>
      </c>
      <c r="I10" s="197" t="s">
        <v>240</v>
      </c>
      <c r="J10" s="115" t="s">
        <v>30</v>
      </c>
      <c r="K10" s="115">
        <v>1</v>
      </c>
      <c r="L10" s="115" t="s">
        <v>45</v>
      </c>
      <c r="M10" s="220" t="s">
        <v>278</v>
      </c>
      <c r="N10" s="222"/>
      <c r="O10" s="222"/>
    </row>
    <row r="11" spans="1:15" s="142" customFormat="1">
      <c r="B11" s="3"/>
      <c r="C11" s="2"/>
      <c r="H11" s="5"/>
      <c r="I11" s="2"/>
      <c r="N11" s="138"/>
      <c r="O11" s="138"/>
    </row>
    <row r="12" spans="1:15">
      <c r="A12" s="151" t="s">
        <v>21</v>
      </c>
      <c r="B12" s="151"/>
      <c r="C12" s="151"/>
      <c r="D12" s="151"/>
      <c r="E12" s="151"/>
      <c r="F12" s="151"/>
      <c r="G12" s="151"/>
      <c r="H12" s="151"/>
      <c r="I12" s="151"/>
      <c r="J12" s="151"/>
      <c r="K12" s="151"/>
      <c r="L12" s="151"/>
      <c r="M12" s="151"/>
    </row>
    <row r="13" spans="1:15">
      <c r="A13" s="151" t="s">
        <v>0</v>
      </c>
      <c r="B13" s="151"/>
      <c r="C13" s="151"/>
      <c r="D13" s="151"/>
      <c r="E13" s="151"/>
      <c r="F13" s="151"/>
      <c r="G13" s="151"/>
      <c r="H13" s="151"/>
      <c r="I13" s="151"/>
      <c r="J13" s="151"/>
      <c r="K13" s="151"/>
      <c r="L13" s="151"/>
      <c r="M13" s="151"/>
    </row>
    <row r="14" spans="1:15">
      <c r="A14" s="150" t="s">
        <v>7</v>
      </c>
      <c r="B14" s="150"/>
      <c r="C14" s="77" t="s">
        <v>657</v>
      </c>
      <c r="D14" s="145" t="s">
        <v>1</v>
      </c>
      <c r="E14" s="27" t="s">
        <v>14</v>
      </c>
      <c r="F14" s="145"/>
      <c r="G14" s="145"/>
      <c r="H14" s="145"/>
      <c r="I14" s="145"/>
      <c r="J14" s="145"/>
      <c r="K14" s="145"/>
      <c r="L14" s="145"/>
      <c r="M14" s="120"/>
    </row>
    <row r="15" spans="1:15">
      <c r="A15" s="150" t="s">
        <v>8</v>
      </c>
      <c r="B15" s="150"/>
      <c r="C15" s="124" t="str">
        <f>E17</f>
        <v>TBD</v>
      </c>
      <c r="D15" s="145" t="s">
        <v>9</v>
      </c>
      <c r="E15" s="27" t="s">
        <v>14</v>
      </c>
      <c r="F15" s="145" t="s">
        <v>10</v>
      </c>
      <c r="G15" s="118" t="str">
        <f>G17</f>
        <v>19-HPM + SOCAMM w/cold plate w/o GPU</v>
      </c>
      <c r="H15" s="145"/>
      <c r="I15" s="145"/>
      <c r="J15" s="145"/>
      <c r="K15" s="145"/>
      <c r="L15" s="145"/>
      <c r="M15" s="120"/>
    </row>
    <row r="16" spans="1:15" ht="30">
      <c r="A16" s="28" t="s">
        <v>2</v>
      </c>
      <c r="B16" s="28" t="s">
        <v>3</v>
      </c>
      <c r="C16" s="28" t="s">
        <v>11</v>
      </c>
      <c r="D16" s="28" t="s">
        <v>12</v>
      </c>
      <c r="E16" s="28" t="s">
        <v>35</v>
      </c>
      <c r="F16" s="28" t="s">
        <v>13</v>
      </c>
      <c r="G16" s="28" t="s">
        <v>18</v>
      </c>
      <c r="H16" s="28" t="s">
        <v>31</v>
      </c>
      <c r="I16" s="28" t="s">
        <v>19</v>
      </c>
      <c r="J16" s="28" t="s">
        <v>4</v>
      </c>
      <c r="K16" s="28" t="s">
        <v>22</v>
      </c>
      <c r="L16" s="28" t="s">
        <v>49</v>
      </c>
      <c r="M16" s="28" t="s">
        <v>15</v>
      </c>
    </row>
    <row r="17" spans="1:46">
      <c r="A17" s="143">
        <v>1</v>
      </c>
      <c r="B17" s="50" t="s">
        <v>36</v>
      </c>
      <c r="C17" s="77" t="s">
        <v>657</v>
      </c>
      <c r="D17" s="143" t="s">
        <v>17</v>
      </c>
      <c r="E17" s="143" t="s">
        <v>34</v>
      </c>
      <c r="F17" s="143" t="s">
        <v>14</v>
      </c>
      <c r="G17" s="118" t="s">
        <v>656</v>
      </c>
      <c r="H17" s="143" t="s">
        <v>20</v>
      </c>
      <c r="I17" s="53" t="str">
        <f>C17</f>
        <v>TEMP-S000228053</v>
      </c>
      <c r="J17" s="143" t="s">
        <v>14</v>
      </c>
      <c r="K17" s="143">
        <v>1</v>
      </c>
      <c r="L17" s="143" t="s">
        <v>14</v>
      </c>
      <c r="M17" s="146"/>
    </row>
    <row r="18" spans="1:46">
      <c r="A18" s="59">
        <v>2</v>
      </c>
      <c r="B18" s="70" t="s">
        <v>29</v>
      </c>
      <c r="C18" s="63" t="s">
        <v>34</v>
      </c>
      <c r="D18" s="59" t="s">
        <v>14</v>
      </c>
      <c r="E18" s="59" t="s">
        <v>34</v>
      </c>
      <c r="F18" s="59" t="s">
        <v>14</v>
      </c>
      <c r="G18" s="66" t="s">
        <v>658</v>
      </c>
      <c r="H18" s="59" t="s">
        <v>659</v>
      </c>
      <c r="I18" s="77" t="s">
        <v>34</v>
      </c>
      <c r="J18" s="59" t="s">
        <v>14</v>
      </c>
      <c r="K18" s="59">
        <v>2</v>
      </c>
      <c r="L18" s="59" t="s">
        <v>41</v>
      </c>
      <c r="M18" s="63" t="s">
        <v>660</v>
      </c>
    </row>
    <row r="19" spans="1:46" s="142" customFormat="1">
      <c r="A19" s="143">
        <v>3</v>
      </c>
      <c r="B19" s="203" t="s">
        <v>37</v>
      </c>
      <c r="C19" s="119" t="s">
        <v>661</v>
      </c>
      <c r="D19" s="143" t="s">
        <v>30</v>
      </c>
      <c r="E19" s="127" t="s">
        <v>662</v>
      </c>
      <c r="F19" s="143" t="s">
        <v>30</v>
      </c>
      <c r="G19" s="43" t="s">
        <v>663</v>
      </c>
      <c r="H19" s="143" t="s">
        <v>664</v>
      </c>
      <c r="I19" s="53" t="s">
        <v>665</v>
      </c>
      <c r="J19" s="143" t="s">
        <v>14</v>
      </c>
      <c r="K19" s="143">
        <v>8</v>
      </c>
      <c r="L19" s="53" t="s">
        <v>666</v>
      </c>
      <c r="M19" s="146"/>
      <c r="N19" s="138"/>
      <c r="O19" s="138"/>
    </row>
    <row r="20" spans="1:46" s="142" customFormat="1">
      <c r="A20" s="143">
        <v>4</v>
      </c>
      <c r="B20" s="203"/>
      <c r="C20" s="119" t="s">
        <v>667</v>
      </c>
      <c r="D20" s="143" t="s">
        <v>30</v>
      </c>
      <c r="E20" s="127" t="s">
        <v>662</v>
      </c>
      <c r="F20" s="143" t="s">
        <v>30</v>
      </c>
      <c r="G20" s="43" t="s">
        <v>663</v>
      </c>
      <c r="H20" s="143" t="s">
        <v>668</v>
      </c>
      <c r="I20" s="143" t="s">
        <v>669</v>
      </c>
      <c r="J20" s="143" t="s">
        <v>14</v>
      </c>
      <c r="K20" s="143"/>
      <c r="L20" s="143" t="s">
        <v>666</v>
      </c>
      <c r="M20" s="146"/>
      <c r="N20" s="138"/>
      <c r="O20" s="138"/>
    </row>
    <row r="21" spans="1:46" s="142" customFormat="1">
      <c r="A21" s="59">
        <v>5</v>
      </c>
      <c r="B21" s="203" t="s">
        <v>117</v>
      </c>
      <c r="C21" s="204" t="s">
        <v>678</v>
      </c>
      <c r="D21" s="143" t="s">
        <v>30</v>
      </c>
      <c r="E21" s="127" t="s">
        <v>679</v>
      </c>
      <c r="F21" s="143" t="s">
        <v>30</v>
      </c>
      <c r="G21" s="43" t="s">
        <v>670</v>
      </c>
      <c r="H21" s="143" t="s">
        <v>671</v>
      </c>
      <c r="I21" s="53" t="s">
        <v>677</v>
      </c>
      <c r="J21" s="143" t="s">
        <v>14</v>
      </c>
      <c r="K21" s="143">
        <v>8</v>
      </c>
      <c r="L21" s="53" t="s">
        <v>672</v>
      </c>
      <c r="M21" s="146"/>
      <c r="N21" s="138"/>
      <c r="O21" s="138"/>
    </row>
    <row r="22" spans="1:46" s="142" customFormat="1">
      <c r="A22" s="143">
        <v>6</v>
      </c>
      <c r="B22" s="203"/>
      <c r="C22" s="119" t="s">
        <v>673</v>
      </c>
      <c r="D22" s="143" t="s">
        <v>30</v>
      </c>
      <c r="E22" s="127" t="s">
        <v>679</v>
      </c>
      <c r="F22" s="143" t="s">
        <v>30</v>
      </c>
      <c r="G22" s="43" t="s">
        <v>674</v>
      </c>
      <c r="H22" s="143" t="s">
        <v>675</v>
      </c>
      <c r="I22" s="143" t="s">
        <v>676</v>
      </c>
      <c r="J22" s="143" t="s">
        <v>14</v>
      </c>
      <c r="K22" s="143"/>
      <c r="L22" s="53" t="s">
        <v>672</v>
      </c>
      <c r="M22" s="146"/>
      <c r="N22" s="138"/>
      <c r="O22" s="138"/>
    </row>
    <row r="23" spans="1:46" s="146" customFormat="1">
      <c r="A23" s="143">
        <v>7</v>
      </c>
      <c r="B23" s="103" t="s">
        <v>680</v>
      </c>
      <c r="C23" s="121" t="s">
        <v>638</v>
      </c>
      <c r="D23" s="146" t="s">
        <v>17</v>
      </c>
      <c r="E23" s="223" t="s">
        <v>490</v>
      </c>
      <c r="F23" s="146" t="s">
        <v>14</v>
      </c>
      <c r="G23" s="105" t="s">
        <v>448</v>
      </c>
      <c r="H23" s="146" t="s">
        <v>441</v>
      </c>
      <c r="I23" s="146" t="s">
        <v>623</v>
      </c>
      <c r="J23" s="146" t="s">
        <v>14</v>
      </c>
      <c r="K23" s="146">
        <v>2</v>
      </c>
      <c r="L23" s="146" t="s">
        <v>442</v>
      </c>
      <c r="M23" s="106"/>
      <c r="N23" s="215"/>
      <c r="O23" s="215"/>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row>
    <row r="24" spans="1:46" s="146" customFormat="1">
      <c r="A24" s="59">
        <v>8</v>
      </c>
      <c r="B24" s="103"/>
      <c r="C24" s="113" t="s">
        <v>621</v>
      </c>
      <c r="D24" s="146" t="s">
        <v>17</v>
      </c>
      <c r="E24" s="223" t="s">
        <v>490</v>
      </c>
      <c r="F24" s="146" t="s">
        <v>14</v>
      </c>
      <c r="G24" s="105" t="s">
        <v>453</v>
      </c>
      <c r="H24" s="146" t="s">
        <v>214</v>
      </c>
      <c r="I24" s="113" t="s">
        <v>473</v>
      </c>
      <c r="J24" s="146" t="s">
        <v>14</v>
      </c>
      <c r="L24" s="146" t="s">
        <v>442</v>
      </c>
      <c r="M24" s="106"/>
      <c r="N24" s="215"/>
      <c r="O24" s="215"/>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row>
    <row r="25" spans="1:46" s="146" customFormat="1">
      <c r="A25" s="143">
        <v>9</v>
      </c>
      <c r="B25" s="103"/>
      <c r="C25" s="113" t="s">
        <v>622</v>
      </c>
      <c r="D25" s="146" t="s">
        <v>17</v>
      </c>
      <c r="E25" s="223" t="s">
        <v>490</v>
      </c>
      <c r="F25" s="146" t="s">
        <v>14</v>
      </c>
      <c r="G25" s="105" t="s">
        <v>458</v>
      </c>
      <c r="H25" s="146" t="s">
        <v>447</v>
      </c>
      <c r="I25" s="113" t="s">
        <v>624</v>
      </c>
      <c r="J25" s="146" t="s">
        <v>14</v>
      </c>
      <c r="L25" s="146" t="s">
        <v>442</v>
      </c>
      <c r="M25" s="106"/>
      <c r="N25" s="215"/>
      <c r="O25" s="215"/>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row>
    <row r="26" spans="1:46" s="146" customFormat="1">
      <c r="A26" s="143">
        <v>10</v>
      </c>
      <c r="B26" s="103" t="s">
        <v>118</v>
      </c>
      <c r="C26" s="146" t="s">
        <v>465</v>
      </c>
      <c r="D26" s="108" t="s">
        <v>30</v>
      </c>
      <c r="E26" s="65" t="s">
        <v>643</v>
      </c>
      <c r="F26" s="146" t="s">
        <v>14</v>
      </c>
      <c r="G26" s="105" t="s">
        <v>451</v>
      </c>
      <c r="H26" s="146" t="s">
        <v>441</v>
      </c>
      <c r="I26" s="146" t="s">
        <v>463</v>
      </c>
      <c r="J26" s="108" t="s">
        <v>30</v>
      </c>
      <c r="K26" s="146">
        <v>2</v>
      </c>
      <c r="L26" s="146" t="s">
        <v>442</v>
      </c>
      <c r="M26" s="111"/>
      <c r="N26" s="215"/>
      <c r="O26" s="215"/>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row>
    <row r="27" spans="1:46" s="146" customFormat="1">
      <c r="A27" s="59">
        <v>11</v>
      </c>
      <c r="B27" s="103"/>
      <c r="C27" s="113" t="s">
        <v>471</v>
      </c>
      <c r="D27" s="108" t="s">
        <v>30</v>
      </c>
      <c r="E27" s="65" t="s">
        <v>643</v>
      </c>
      <c r="F27" s="146" t="s">
        <v>14</v>
      </c>
      <c r="G27" s="105" t="s">
        <v>456</v>
      </c>
      <c r="H27" s="146" t="s">
        <v>214</v>
      </c>
      <c r="I27" s="113" t="s">
        <v>468</v>
      </c>
      <c r="J27" s="108" t="s">
        <v>30</v>
      </c>
      <c r="L27" s="146" t="s">
        <v>442</v>
      </c>
      <c r="M27" s="111"/>
      <c r="N27" s="215"/>
      <c r="O27" s="215"/>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row>
    <row r="28" spans="1:46" s="146" customFormat="1">
      <c r="A28" s="143">
        <v>12</v>
      </c>
      <c r="B28" s="103"/>
      <c r="C28" s="121" t="s">
        <v>525</v>
      </c>
      <c r="D28" s="135" t="s">
        <v>30</v>
      </c>
      <c r="E28" s="65" t="s">
        <v>643</v>
      </c>
      <c r="F28" s="65" t="s">
        <v>14</v>
      </c>
      <c r="G28" s="136" t="s">
        <v>461</v>
      </c>
      <c r="H28" s="65" t="s">
        <v>447</v>
      </c>
      <c r="I28" s="121" t="s">
        <v>630</v>
      </c>
      <c r="J28" s="108" t="s">
        <v>30</v>
      </c>
      <c r="L28" s="146" t="s">
        <v>442</v>
      </c>
      <c r="M28" s="111"/>
      <c r="N28" s="215"/>
      <c r="O28" s="215"/>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row>
    <row r="29" spans="1:46" s="146" customFormat="1">
      <c r="A29" s="143">
        <v>13</v>
      </c>
      <c r="B29" s="103" t="s">
        <v>119</v>
      </c>
      <c r="C29" s="146" t="s">
        <v>466</v>
      </c>
      <c r="D29" s="108" t="s">
        <v>30</v>
      </c>
      <c r="E29" s="65" t="s">
        <v>644</v>
      </c>
      <c r="F29" s="146" t="s">
        <v>14</v>
      </c>
      <c r="G29" s="105" t="s">
        <v>452</v>
      </c>
      <c r="H29" s="146" t="s">
        <v>441</v>
      </c>
      <c r="I29" s="146" t="s">
        <v>464</v>
      </c>
      <c r="J29" s="108" t="s">
        <v>30</v>
      </c>
      <c r="K29" s="146">
        <v>2</v>
      </c>
      <c r="L29" s="146" t="s">
        <v>442</v>
      </c>
      <c r="M29" s="111"/>
      <c r="N29" s="215"/>
      <c r="O29" s="215"/>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row>
    <row r="30" spans="1:46" s="146" customFormat="1">
      <c r="A30" s="59">
        <v>14</v>
      </c>
      <c r="B30" s="103"/>
      <c r="C30" s="113" t="s">
        <v>472</v>
      </c>
      <c r="D30" s="108" t="s">
        <v>30</v>
      </c>
      <c r="E30" s="65" t="s">
        <v>644</v>
      </c>
      <c r="F30" s="146" t="s">
        <v>14</v>
      </c>
      <c r="G30" s="105" t="s">
        <v>457</v>
      </c>
      <c r="H30" s="146" t="s">
        <v>214</v>
      </c>
      <c r="I30" s="113" t="s">
        <v>469</v>
      </c>
      <c r="J30" s="108" t="s">
        <v>30</v>
      </c>
      <c r="L30" s="146" t="s">
        <v>442</v>
      </c>
      <c r="M30" s="111"/>
      <c r="N30" s="215"/>
      <c r="O30" s="215"/>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row>
    <row r="31" spans="1:46" s="146" customFormat="1">
      <c r="A31" s="143">
        <v>15</v>
      </c>
      <c r="B31" s="103"/>
      <c r="C31" s="121" t="s">
        <v>526</v>
      </c>
      <c r="D31" s="135" t="s">
        <v>30</v>
      </c>
      <c r="E31" s="65" t="s">
        <v>644</v>
      </c>
      <c r="F31" s="65" t="s">
        <v>14</v>
      </c>
      <c r="G31" s="136" t="s">
        <v>462</v>
      </c>
      <c r="H31" s="65" t="s">
        <v>447</v>
      </c>
      <c r="I31" s="121" t="s">
        <v>527</v>
      </c>
      <c r="J31" s="108" t="s">
        <v>30</v>
      </c>
      <c r="L31" s="146" t="s">
        <v>442</v>
      </c>
      <c r="M31" s="111"/>
      <c r="N31" s="215"/>
      <c r="O31" s="215"/>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row>
    <row r="32" spans="1:46" s="142" customFormat="1">
      <c r="A32" s="198"/>
      <c r="B32" s="199"/>
      <c r="C32" s="200"/>
      <c r="D32" s="198"/>
      <c r="E32" s="200"/>
      <c r="F32" s="198"/>
      <c r="G32" s="201"/>
      <c r="H32" s="198"/>
      <c r="I32" s="200"/>
      <c r="J32" s="198"/>
      <c r="K32" s="198"/>
      <c r="L32" s="198"/>
      <c r="M32" s="202"/>
      <c r="N32" s="138"/>
      <c r="O32" s="138"/>
    </row>
    <row r="33" spans="1:48" s="142" customFormat="1">
      <c r="A33" s="151" t="s">
        <v>21</v>
      </c>
      <c r="B33" s="151"/>
      <c r="C33" s="151"/>
      <c r="D33" s="151"/>
      <c r="E33" s="151"/>
      <c r="F33" s="151"/>
      <c r="G33" s="151"/>
      <c r="H33" s="151"/>
      <c r="I33" s="151"/>
      <c r="J33" s="151"/>
      <c r="K33" s="151"/>
      <c r="L33" s="151"/>
      <c r="M33" s="151"/>
      <c r="N33" s="138"/>
      <c r="O33" s="138"/>
    </row>
    <row r="34" spans="1:48" s="142" customFormat="1">
      <c r="A34" s="151" t="s">
        <v>0</v>
      </c>
      <c r="B34" s="151"/>
      <c r="C34" s="151"/>
      <c r="D34" s="151"/>
      <c r="E34" s="151"/>
      <c r="F34" s="151"/>
      <c r="G34" s="151"/>
      <c r="H34" s="151"/>
      <c r="I34" s="151"/>
      <c r="J34" s="151"/>
      <c r="K34" s="151"/>
      <c r="L34" s="151"/>
      <c r="M34" s="151"/>
      <c r="N34" s="138"/>
      <c r="O34" s="138"/>
    </row>
    <row r="35" spans="1:48" s="142" customFormat="1">
      <c r="A35" s="150" t="s">
        <v>7</v>
      </c>
      <c r="B35" s="150"/>
      <c r="C35" s="77" t="s">
        <v>681</v>
      </c>
      <c r="D35" s="145" t="s">
        <v>1</v>
      </c>
      <c r="E35" s="27" t="s">
        <v>14</v>
      </c>
      <c r="F35" s="145"/>
      <c r="G35" s="145"/>
      <c r="H35" s="145"/>
      <c r="I35" s="145"/>
      <c r="J35" s="145"/>
      <c r="K35" s="145"/>
      <c r="L35" s="145"/>
      <c r="M35" s="120"/>
      <c r="N35" s="138"/>
      <c r="O35" s="138"/>
    </row>
    <row r="36" spans="1:48" s="142" customFormat="1">
      <c r="A36" s="150" t="s">
        <v>8</v>
      </c>
      <c r="B36" s="150"/>
      <c r="C36" s="124" t="str">
        <f>E38</f>
        <v>19-100606</v>
      </c>
      <c r="D36" s="145" t="s">
        <v>9</v>
      </c>
      <c r="E36" s="27" t="s">
        <v>14</v>
      </c>
      <c r="F36" s="145" t="s">
        <v>10</v>
      </c>
      <c r="G36" s="118" t="str">
        <f>G38</f>
        <v>19- GPU Module w/ Cold Plate</v>
      </c>
      <c r="H36" s="145"/>
      <c r="I36" s="145"/>
      <c r="J36" s="145"/>
      <c r="K36" s="145"/>
      <c r="L36" s="145"/>
      <c r="M36" s="120"/>
      <c r="N36" s="138"/>
      <c r="O36" s="138"/>
    </row>
    <row r="37" spans="1:48" s="142" customFormat="1" ht="30">
      <c r="A37" s="28" t="s">
        <v>2</v>
      </c>
      <c r="B37" s="28" t="s">
        <v>3</v>
      </c>
      <c r="C37" s="28" t="s">
        <v>11</v>
      </c>
      <c r="D37" s="28" t="s">
        <v>12</v>
      </c>
      <c r="E37" s="28" t="s">
        <v>35</v>
      </c>
      <c r="F37" s="28" t="s">
        <v>13</v>
      </c>
      <c r="G37" s="28" t="s">
        <v>18</v>
      </c>
      <c r="H37" s="28" t="s">
        <v>31</v>
      </c>
      <c r="I37" s="28" t="s">
        <v>19</v>
      </c>
      <c r="J37" s="28" t="s">
        <v>4</v>
      </c>
      <c r="K37" s="28" t="s">
        <v>22</v>
      </c>
      <c r="L37" s="28" t="s">
        <v>49</v>
      </c>
      <c r="M37" s="28" t="s">
        <v>15</v>
      </c>
      <c r="N37" s="138"/>
      <c r="O37" s="138"/>
    </row>
    <row r="38" spans="1:48" s="142" customFormat="1">
      <c r="A38" s="143">
        <v>1</v>
      </c>
      <c r="B38" s="50" t="s">
        <v>36</v>
      </c>
      <c r="C38" s="77" t="s">
        <v>681</v>
      </c>
      <c r="D38" s="143" t="s">
        <v>17</v>
      </c>
      <c r="E38" s="143" t="s">
        <v>683</v>
      </c>
      <c r="F38" s="143" t="s">
        <v>14</v>
      </c>
      <c r="G38" s="118" t="s">
        <v>690</v>
      </c>
      <c r="H38" s="143" t="s">
        <v>20</v>
      </c>
      <c r="I38" s="53" t="str">
        <f>C38</f>
        <v>TEMP-S000228054</v>
      </c>
      <c r="J38" s="143" t="s">
        <v>14</v>
      </c>
      <c r="K38" s="143">
        <v>1</v>
      </c>
      <c r="L38" s="143" t="s">
        <v>14</v>
      </c>
      <c r="M38" s="146"/>
      <c r="N38" s="138"/>
      <c r="O38" s="138"/>
    </row>
    <row r="39" spans="1:48" s="142" customFormat="1">
      <c r="A39" s="59">
        <v>2</v>
      </c>
      <c r="B39" s="70" t="s">
        <v>29</v>
      </c>
      <c r="C39" s="63" t="s">
        <v>34</v>
      </c>
      <c r="D39" s="59" t="s">
        <v>14</v>
      </c>
      <c r="E39" s="59" t="s">
        <v>34</v>
      </c>
      <c r="F39" s="59" t="s">
        <v>14</v>
      </c>
      <c r="G39" s="66" t="s">
        <v>682</v>
      </c>
      <c r="H39" s="59" t="s">
        <v>34</v>
      </c>
      <c r="I39" s="77" t="s">
        <v>34</v>
      </c>
      <c r="J39" s="59" t="s">
        <v>14</v>
      </c>
      <c r="K39" s="59">
        <v>1</v>
      </c>
      <c r="L39" s="59" t="s">
        <v>41</v>
      </c>
      <c r="M39" s="63"/>
      <c r="N39" s="138"/>
      <c r="O39" s="138"/>
    </row>
    <row r="40" spans="1:48" s="146" customFormat="1">
      <c r="A40" s="146">
        <v>3</v>
      </c>
      <c r="B40" s="103" t="s">
        <v>37</v>
      </c>
      <c r="C40" s="121" t="s">
        <v>639</v>
      </c>
      <c r="D40" s="146" t="s">
        <v>17</v>
      </c>
      <c r="E40" s="223" t="s">
        <v>491</v>
      </c>
      <c r="F40" s="146" t="s">
        <v>14</v>
      </c>
      <c r="G40" s="105" t="s">
        <v>449</v>
      </c>
      <c r="H40" s="146" t="s">
        <v>441</v>
      </c>
      <c r="I40" s="146" t="s">
        <v>627</v>
      </c>
      <c r="J40" s="146" t="s">
        <v>14</v>
      </c>
      <c r="K40" s="146">
        <v>1</v>
      </c>
      <c r="L40" s="146" t="s">
        <v>442</v>
      </c>
      <c r="M40" s="107"/>
      <c r="N40" s="138"/>
      <c r="O40" s="13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row>
    <row r="41" spans="1:48" s="146" customFormat="1">
      <c r="A41" s="146">
        <v>4</v>
      </c>
      <c r="B41" s="103"/>
      <c r="C41" s="113" t="s">
        <v>625</v>
      </c>
      <c r="D41" s="146" t="s">
        <v>17</v>
      </c>
      <c r="E41" s="223" t="s">
        <v>491</v>
      </c>
      <c r="F41" s="146" t="s">
        <v>14</v>
      </c>
      <c r="G41" s="105" t="s">
        <v>454</v>
      </c>
      <c r="H41" s="146" t="s">
        <v>214</v>
      </c>
      <c r="I41" s="113" t="s">
        <v>628</v>
      </c>
      <c r="J41" s="146" t="s">
        <v>14</v>
      </c>
      <c r="L41" s="146" t="s">
        <v>442</v>
      </c>
      <c r="M41" s="107"/>
      <c r="N41" s="138"/>
      <c r="O41" s="13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row>
    <row r="42" spans="1:48" s="208" customFormat="1">
      <c r="A42" s="146">
        <v>5</v>
      </c>
      <c r="B42" s="103"/>
      <c r="C42" s="113" t="s">
        <v>626</v>
      </c>
      <c r="D42" s="146" t="s">
        <v>17</v>
      </c>
      <c r="E42" s="223" t="s">
        <v>491</v>
      </c>
      <c r="F42" s="146" t="s">
        <v>14</v>
      </c>
      <c r="G42" s="105" t="s">
        <v>459</v>
      </c>
      <c r="H42" s="146" t="s">
        <v>447</v>
      </c>
      <c r="I42" s="113" t="s">
        <v>629</v>
      </c>
      <c r="J42" s="146" t="s">
        <v>14</v>
      </c>
      <c r="K42" s="146"/>
      <c r="L42" s="146" t="s">
        <v>442</v>
      </c>
      <c r="M42" s="107"/>
      <c r="N42" s="138"/>
      <c r="O42" s="13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row>
    <row r="43" spans="1:48" s="138" customFormat="1">
      <c r="A43" s="140"/>
      <c r="B43" s="209"/>
      <c r="C43" s="210"/>
      <c r="D43" s="140"/>
      <c r="E43" s="211"/>
      <c r="F43" s="140"/>
      <c r="G43" s="212"/>
      <c r="H43" s="140"/>
      <c r="I43" s="140"/>
      <c r="J43" s="140"/>
      <c r="K43" s="140"/>
      <c r="L43" s="213"/>
    </row>
    <row r="44" spans="1:48" s="142" customFormat="1">
      <c r="A44" s="151" t="s">
        <v>21</v>
      </c>
      <c r="B44" s="151"/>
      <c r="C44" s="151"/>
      <c r="D44" s="151"/>
      <c r="E44" s="151"/>
      <c r="F44" s="151"/>
      <c r="G44" s="151"/>
      <c r="H44" s="151"/>
      <c r="I44" s="151"/>
      <c r="J44" s="151"/>
      <c r="K44" s="151"/>
      <c r="L44" s="151"/>
      <c r="M44" s="151"/>
      <c r="N44" s="138"/>
      <c r="O44" s="138"/>
    </row>
    <row r="45" spans="1:48" s="142" customFormat="1">
      <c r="A45" s="151" t="s">
        <v>0</v>
      </c>
      <c r="B45" s="151"/>
      <c r="C45" s="151"/>
      <c r="D45" s="151"/>
      <c r="E45" s="151"/>
      <c r="F45" s="151"/>
      <c r="G45" s="151"/>
      <c r="H45" s="151"/>
      <c r="I45" s="151"/>
      <c r="J45" s="151"/>
      <c r="K45" s="151"/>
      <c r="L45" s="151"/>
      <c r="M45" s="151"/>
      <c r="N45" s="138"/>
      <c r="O45" s="138"/>
    </row>
    <row r="46" spans="1:48" s="142" customFormat="1">
      <c r="A46" s="150" t="s">
        <v>7</v>
      </c>
      <c r="B46" s="150"/>
      <c r="C46" s="77" t="s">
        <v>684</v>
      </c>
      <c r="D46" s="145" t="s">
        <v>1</v>
      </c>
      <c r="E46" s="27" t="s">
        <v>14</v>
      </c>
      <c r="F46" s="145"/>
      <c r="G46" s="145"/>
      <c r="H46" s="145"/>
      <c r="I46" s="145"/>
      <c r="J46" s="145"/>
      <c r="K46" s="145"/>
      <c r="L46" s="145"/>
      <c r="M46" s="120"/>
      <c r="N46" s="138"/>
      <c r="O46" s="138"/>
    </row>
    <row r="47" spans="1:48" s="142" customFormat="1">
      <c r="A47" s="150" t="s">
        <v>8</v>
      </c>
      <c r="B47" s="150"/>
      <c r="C47" s="124" t="str">
        <f>E49</f>
        <v>TBD</v>
      </c>
      <c r="D47" s="145" t="s">
        <v>9</v>
      </c>
      <c r="E47" s="27" t="s">
        <v>14</v>
      </c>
      <c r="F47" s="145" t="s">
        <v>10</v>
      </c>
      <c r="G47" s="118" t="str">
        <f>G49</f>
        <v>2TB E1.S boot drive Assy</v>
      </c>
      <c r="H47" s="145"/>
      <c r="I47" s="145"/>
      <c r="J47" s="145"/>
      <c r="K47" s="145"/>
      <c r="L47" s="145"/>
      <c r="M47" s="120"/>
      <c r="N47" s="138"/>
      <c r="O47" s="138"/>
    </row>
    <row r="48" spans="1:48" s="142" customFormat="1" ht="30">
      <c r="A48" s="28" t="s">
        <v>2</v>
      </c>
      <c r="B48" s="28" t="s">
        <v>3</v>
      </c>
      <c r="C48" s="28" t="s">
        <v>11</v>
      </c>
      <c r="D48" s="28" t="s">
        <v>12</v>
      </c>
      <c r="E48" s="28" t="s">
        <v>35</v>
      </c>
      <c r="F48" s="28" t="s">
        <v>13</v>
      </c>
      <c r="G48" s="28" t="s">
        <v>18</v>
      </c>
      <c r="H48" s="28" t="s">
        <v>31</v>
      </c>
      <c r="I48" s="28" t="s">
        <v>19</v>
      </c>
      <c r="J48" s="28" t="s">
        <v>4</v>
      </c>
      <c r="K48" s="28" t="s">
        <v>22</v>
      </c>
      <c r="L48" s="28" t="s">
        <v>49</v>
      </c>
      <c r="M48" s="28" t="s">
        <v>15</v>
      </c>
      <c r="N48" s="138"/>
      <c r="O48" s="138"/>
    </row>
    <row r="49" spans="1:46" s="142" customFormat="1">
      <c r="A49" s="143">
        <v>1</v>
      </c>
      <c r="B49" s="50" t="s">
        <v>36</v>
      </c>
      <c r="C49" s="77" t="s">
        <v>684</v>
      </c>
      <c r="D49" s="143" t="s">
        <v>17</v>
      </c>
      <c r="E49" s="59" t="s">
        <v>34</v>
      </c>
      <c r="F49" s="143" t="s">
        <v>14</v>
      </c>
      <c r="G49" s="118" t="s">
        <v>691</v>
      </c>
      <c r="H49" s="143" t="s">
        <v>20</v>
      </c>
      <c r="I49" s="53" t="str">
        <f>C49</f>
        <v>TEMP-S000228055</v>
      </c>
      <c r="J49" s="143" t="s">
        <v>14</v>
      </c>
      <c r="K49" s="143">
        <v>1</v>
      </c>
      <c r="L49" s="143" t="s">
        <v>14</v>
      </c>
      <c r="M49" s="146"/>
      <c r="N49" s="138"/>
      <c r="O49" s="138"/>
    </row>
    <row r="50" spans="1:46" s="142" customFormat="1">
      <c r="A50" s="59">
        <v>2</v>
      </c>
      <c r="B50" s="70" t="s">
        <v>29</v>
      </c>
      <c r="C50" s="63" t="s">
        <v>348</v>
      </c>
      <c r="D50" s="59" t="s">
        <v>14</v>
      </c>
      <c r="E50" s="59" t="s">
        <v>34</v>
      </c>
      <c r="F50" s="59" t="s">
        <v>14</v>
      </c>
      <c r="G50" s="66" t="s">
        <v>685</v>
      </c>
      <c r="H50" s="77" t="s">
        <v>434</v>
      </c>
      <c r="I50" s="63" t="s">
        <v>348</v>
      </c>
      <c r="J50" s="59" t="s">
        <v>14</v>
      </c>
      <c r="K50" s="59">
        <v>1</v>
      </c>
      <c r="L50" s="59" t="s">
        <v>686</v>
      </c>
      <c r="M50" s="63"/>
      <c r="N50" s="138"/>
      <c r="O50" s="138"/>
    </row>
    <row r="51" spans="1:46" s="142" customFormat="1">
      <c r="A51" s="143">
        <v>3</v>
      </c>
      <c r="B51" s="60" t="s">
        <v>37</v>
      </c>
      <c r="C51" s="63" t="s">
        <v>224</v>
      </c>
      <c r="D51" s="64" t="s">
        <v>30</v>
      </c>
      <c r="E51" s="127" t="s">
        <v>493</v>
      </c>
      <c r="F51" s="59" t="s">
        <v>14</v>
      </c>
      <c r="G51" s="66" t="s">
        <v>133</v>
      </c>
      <c r="H51" s="59" t="s">
        <v>138</v>
      </c>
      <c r="I51" s="59" t="s">
        <v>136</v>
      </c>
      <c r="J51" s="64" t="s">
        <v>30</v>
      </c>
      <c r="K51" s="59">
        <v>1</v>
      </c>
      <c r="L51" s="59" t="s">
        <v>43</v>
      </c>
      <c r="M51" s="65"/>
    </row>
    <row r="52" spans="1:46" s="142" customFormat="1">
      <c r="A52" s="59">
        <v>4</v>
      </c>
      <c r="B52" s="60"/>
      <c r="C52" s="63" t="s">
        <v>225</v>
      </c>
      <c r="D52" s="64" t="s">
        <v>30</v>
      </c>
      <c r="E52" s="127" t="s">
        <v>493</v>
      </c>
      <c r="F52" s="59" t="s">
        <v>14</v>
      </c>
      <c r="G52" s="66" t="s">
        <v>134</v>
      </c>
      <c r="H52" s="59" t="s">
        <v>139</v>
      </c>
      <c r="I52" s="59" t="s">
        <v>141</v>
      </c>
      <c r="J52" s="64" t="s">
        <v>30</v>
      </c>
      <c r="K52" s="59"/>
      <c r="L52" s="59" t="s">
        <v>43</v>
      </c>
      <c r="M52" s="65"/>
    </row>
    <row r="53" spans="1:46" s="142" customFormat="1">
      <c r="A53" s="143">
        <v>5</v>
      </c>
      <c r="B53" s="60"/>
      <c r="C53" s="63" t="s">
        <v>226</v>
      </c>
      <c r="D53" s="64" t="s">
        <v>30</v>
      </c>
      <c r="E53" s="127" t="s">
        <v>493</v>
      </c>
      <c r="F53" s="59" t="s">
        <v>14</v>
      </c>
      <c r="G53" s="66" t="s">
        <v>135</v>
      </c>
      <c r="H53" s="59" t="s">
        <v>140</v>
      </c>
      <c r="I53" s="59" t="s">
        <v>142</v>
      </c>
      <c r="J53" s="64" t="s">
        <v>30</v>
      </c>
      <c r="K53" s="59"/>
      <c r="L53" s="59" t="s">
        <v>43</v>
      </c>
      <c r="M53" s="65"/>
    </row>
    <row r="54" spans="1:46" s="138" customFormat="1">
      <c r="A54" s="140"/>
      <c r="B54" s="206"/>
      <c r="C54" s="207"/>
      <c r="E54" s="205"/>
      <c r="G54" s="214"/>
      <c r="M54" s="141"/>
      <c r="N54" s="215"/>
      <c r="O54" s="215"/>
      <c r="P54" s="215"/>
      <c r="Q54" s="215"/>
      <c r="R54" s="215"/>
      <c r="S54" s="215"/>
      <c r="T54" s="215"/>
      <c r="U54" s="215"/>
      <c r="V54" s="215"/>
      <c r="W54" s="215"/>
      <c r="X54" s="215"/>
      <c r="Y54" s="215"/>
      <c r="Z54" s="215"/>
      <c r="AA54" s="215"/>
      <c r="AB54" s="215"/>
      <c r="AC54" s="215"/>
      <c r="AD54" s="215"/>
      <c r="AE54" s="215"/>
      <c r="AF54" s="215"/>
      <c r="AG54" s="215"/>
      <c r="AH54" s="215"/>
      <c r="AI54" s="215"/>
      <c r="AJ54" s="215"/>
      <c r="AK54" s="215"/>
      <c r="AL54" s="215"/>
      <c r="AM54" s="215"/>
      <c r="AN54" s="215"/>
      <c r="AO54" s="215"/>
      <c r="AP54" s="215"/>
      <c r="AQ54" s="215"/>
      <c r="AR54" s="215"/>
      <c r="AS54" s="215"/>
      <c r="AT54" s="215"/>
    </row>
    <row r="55" spans="1:46" s="142" customFormat="1">
      <c r="A55" s="151" t="s">
        <v>21</v>
      </c>
      <c r="B55" s="151"/>
      <c r="C55" s="151"/>
      <c r="D55" s="151"/>
      <c r="E55" s="151"/>
      <c r="F55" s="151"/>
      <c r="G55" s="151"/>
      <c r="H55" s="151"/>
      <c r="I55" s="151"/>
      <c r="J55" s="151"/>
      <c r="K55" s="151"/>
      <c r="L55" s="151"/>
      <c r="M55" s="151"/>
      <c r="N55" s="138"/>
      <c r="O55" s="138"/>
    </row>
    <row r="56" spans="1:46" s="142" customFormat="1">
      <c r="A56" s="151" t="s">
        <v>0</v>
      </c>
      <c r="B56" s="151"/>
      <c r="C56" s="151"/>
      <c r="D56" s="151"/>
      <c r="E56" s="151"/>
      <c r="F56" s="151"/>
      <c r="G56" s="151"/>
      <c r="H56" s="151"/>
      <c r="I56" s="151"/>
      <c r="J56" s="151"/>
      <c r="K56" s="151"/>
      <c r="L56" s="151"/>
      <c r="M56" s="151"/>
      <c r="N56" s="138"/>
      <c r="O56" s="138"/>
    </row>
    <row r="57" spans="1:46" s="142" customFormat="1">
      <c r="A57" s="150" t="s">
        <v>7</v>
      </c>
      <c r="B57" s="150"/>
      <c r="C57" s="77" t="s">
        <v>687</v>
      </c>
      <c r="D57" s="145" t="s">
        <v>1</v>
      </c>
      <c r="E57" s="27" t="s">
        <v>14</v>
      </c>
      <c r="F57" s="145"/>
      <c r="G57" s="145"/>
      <c r="H57" s="145"/>
      <c r="I57" s="145"/>
      <c r="J57" s="145"/>
      <c r="K57" s="145"/>
      <c r="L57" s="145"/>
      <c r="M57" s="120"/>
      <c r="N57" s="138"/>
      <c r="O57" s="138"/>
    </row>
    <row r="58" spans="1:46" s="142" customFormat="1">
      <c r="A58" s="150" t="s">
        <v>8</v>
      </c>
      <c r="B58" s="150"/>
      <c r="C58" s="124" t="str">
        <f>E60</f>
        <v>TBD</v>
      </c>
      <c r="D58" s="145" t="s">
        <v>9</v>
      </c>
      <c r="E58" s="27" t="s">
        <v>14</v>
      </c>
      <c r="F58" s="145" t="s">
        <v>10</v>
      </c>
      <c r="G58" s="118" t="str">
        <f>G60</f>
        <v>8TB E1.S SSD Assy</v>
      </c>
      <c r="H58" s="145"/>
      <c r="I58" s="145"/>
      <c r="J58" s="145"/>
      <c r="K58" s="145"/>
      <c r="L58" s="145"/>
      <c r="M58" s="120"/>
      <c r="N58" s="138"/>
      <c r="O58" s="138"/>
    </row>
    <row r="59" spans="1:46" s="142" customFormat="1" ht="30">
      <c r="A59" s="28" t="s">
        <v>2</v>
      </c>
      <c r="B59" s="28" t="s">
        <v>3</v>
      </c>
      <c r="C59" s="28" t="s">
        <v>11</v>
      </c>
      <c r="D59" s="28" t="s">
        <v>12</v>
      </c>
      <c r="E59" s="28" t="s">
        <v>35</v>
      </c>
      <c r="F59" s="28" t="s">
        <v>13</v>
      </c>
      <c r="G59" s="28" t="s">
        <v>18</v>
      </c>
      <c r="H59" s="28" t="s">
        <v>31</v>
      </c>
      <c r="I59" s="28" t="s">
        <v>19</v>
      </c>
      <c r="J59" s="28" t="s">
        <v>4</v>
      </c>
      <c r="K59" s="28" t="s">
        <v>22</v>
      </c>
      <c r="L59" s="28" t="s">
        <v>49</v>
      </c>
      <c r="M59" s="28" t="s">
        <v>15</v>
      </c>
      <c r="N59" s="138"/>
      <c r="O59" s="138"/>
    </row>
    <row r="60" spans="1:46" s="142" customFormat="1">
      <c r="A60" s="143">
        <v>1</v>
      </c>
      <c r="B60" s="50" t="s">
        <v>36</v>
      </c>
      <c r="C60" s="77" t="s">
        <v>687</v>
      </c>
      <c r="D60" s="143" t="s">
        <v>17</v>
      </c>
      <c r="E60" s="59" t="s">
        <v>34</v>
      </c>
      <c r="F60" s="143" t="s">
        <v>14</v>
      </c>
      <c r="G60" s="118" t="s">
        <v>688</v>
      </c>
      <c r="H60" s="143" t="s">
        <v>20</v>
      </c>
      <c r="I60" s="53" t="str">
        <f>C60</f>
        <v>TEMP-S000228056</v>
      </c>
      <c r="J60" s="143" t="s">
        <v>14</v>
      </c>
      <c r="K60" s="143">
        <v>1</v>
      </c>
      <c r="L60" s="143" t="s">
        <v>14</v>
      </c>
      <c r="M60" s="146"/>
      <c r="N60" s="138"/>
      <c r="O60" s="138"/>
    </row>
    <row r="61" spans="1:46" s="142" customFormat="1">
      <c r="A61" s="59">
        <v>2</v>
      </c>
      <c r="B61" s="70" t="s">
        <v>29</v>
      </c>
      <c r="C61" s="63" t="s">
        <v>430</v>
      </c>
      <c r="D61" s="59" t="s">
        <v>14</v>
      </c>
      <c r="E61" s="59" t="s">
        <v>34</v>
      </c>
      <c r="F61" s="59" t="s">
        <v>14</v>
      </c>
      <c r="G61" s="66" t="s">
        <v>689</v>
      </c>
      <c r="H61" s="77" t="s">
        <v>434</v>
      </c>
      <c r="I61" s="63" t="s">
        <v>430</v>
      </c>
      <c r="J61" s="59" t="s">
        <v>14</v>
      </c>
      <c r="K61" s="59">
        <v>1</v>
      </c>
      <c r="L61" s="59" t="s">
        <v>686</v>
      </c>
      <c r="M61" s="63"/>
      <c r="N61" s="138"/>
      <c r="O61" s="138"/>
    </row>
    <row r="62" spans="1:46" s="142" customFormat="1">
      <c r="A62" s="143">
        <v>3</v>
      </c>
      <c r="B62" s="60" t="s">
        <v>37</v>
      </c>
      <c r="C62" s="63" t="s">
        <v>227</v>
      </c>
      <c r="D62" s="64" t="s">
        <v>30</v>
      </c>
      <c r="E62" s="127" t="s">
        <v>494</v>
      </c>
      <c r="F62" s="59" t="s">
        <v>14</v>
      </c>
      <c r="G62" s="62" t="s">
        <v>192</v>
      </c>
      <c r="H62" s="59" t="s">
        <v>137</v>
      </c>
      <c r="I62" s="59" t="s">
        <v>144</v>
      </c>
      <c r="J62" s="64" t="s">
        <v>30</v>
      </c>
      <c r="K62" s="67">
        <v>1</v>
      </c>
      <c r="L62" s="59" t="s">
        <v>43</v>
      </c>
      <c r="M62" s="68"/>
    </row>
    <row r="63" spans="1:46" s="142" customFormat="1">
      <c r="A63" s="59">
        <v>4</v>
      </c>
      <c r="B63" s="60"/>
      <c r="C63" s="63" t="s">
        <v>228</v>
      </c>
      <c r="D63" s="64" t="s">
        <v>30</v>
      </c>
      <c r="E63" s="127" t="s">
        <v>495</v>
      </c>
      <c r="F63" s="59" t="s">
        <v>14</v>
      </c>
      <c r="G63" s="62" t="s">
        <v>192</v>
      </c>
      <c r="H63" s="59" t="s">
        <v>143</v>
      </c>
      <c r="I63" s="59" t="s">
        <v>145</v>
      </c>
      <c r="J63" s="64" t="s">
        <v>30</v>
      </c>
      <c r="K63" s="67"/>
      <c r="L63" s="59" t="s">
        <v>43</v>
      </c>
      <c r="M63" s="68"/>
    </row>
    <row r="64" spans="1:46" s="142" customFormat="1">
      <c r="A64" s="143">
        <v>5</v>
      </c>
      <c r="B64" s="60"/>
      <c r="C64" s="63" t="s">
        <v>229</v>
      </c>
      <c r="D64" s="64" t="s">
        <v>30</v>
      </c>
      <c r="E64" s="127" t="s">
        <v>492</v>
      </c>
      <c r="F64" s="59" t="s">
        <v>14</v>
      </c>
      <c r="G64" s="62" t="s">
        <v>192</v>
      </c>
      <c r="H64" s="59" t="s">
        <v>139</v>
      </c>
      <c r="I64" s="59" t="s">
        <v>146</v>
      </c>
      <c r="J64" s="64" t="s">
        <v>30</v>
      </c>
      <c r="K64" s="67"/>
      <c r="L64" s="59" t="s">
        <v>43</v>
      </c>
      <c r="M64" s="68"/>
    </row>
    <row r="65" spans="1:13" s="142" customFormat="1">
      <c r="A65" s="198"/>
      <c r="B65" s="224"/>
      <c r="C65" s="200"/>
      <c r="D65" s="225"/>
      <c r="E65" s="211"/>
      <c r="F65" s="198"/>
      <c r="G65" s="226"/>
      <c r="H65" s="198"/>
      <c r="I65" s="198"/>
      <c r="J65" s="225"/>
      <c r="K65" s="198"/>
      <c r="L65" s="198"/>
      <c r="M65" s="176"/>
    </row>
    <row r="66" spans="1:13" s="142" customFormat="1">
      <c r="A66" s="198"/>
      <c r="B66" s="224"/>
      <c r="C66" s="200"/>
      <c r="D66" s="225"/>
      <c r="E66" s="211"/>
      <c r="F66" s="198"/>
      <c r="G66" s="226"/>
      <c r="H66" s="198"/>
      <c r="I66" s="198"/>
      <c r="J66" s="225"/>
      <c r="K66" s="198"/>
      <c r="L66" s="198"/>
      <c r="M66" s="176"/>
    </row>
    <row r="67" spans="1:13" ht="17.25" customHeight="1">
      <c r="A67" s="17"/>
      <c r="B67" s="1" t="s">
        <v>15</v>
      </c>
      <c r="C67" s="10" t="s">
        <v>16</v>
      </c>
      <c r="D67" s="18"/>
      <c r="E67" s="17"/>
      <c r="F67" s="17"/>
      <c r="G67" s="4"/>
      <c r="H67" s="17"/>
      <c r="I67" s="17"/>
      <c r="J67" s="17"/>
      <c r="L67" s="17"/>
    </row>
    <row r="68" spans="1:13">
      <c r="A68" s="17"/>
      <c r="B68" s="17"/>
      <c r="C68" s="15" t="s">
        <v>5</v>
      </c>
      <c r="D68" s="17"/>
      <c r="E68" s="17"/>
      <c r="F68" s="17"/>
      <c r="G68" s="16"/>
      <c r="H68" s="17"/>
      <c r="I68" s="17"/>
      <c r="J68" s="17"/>
      <c r="L68" s="17"/>
    </row>
    <row r="69" spans="1:13">
      <c r="A69" s="17"/>
      <c r="B69" s="17"/>
      <c r="C69" s="19" t="s">
        <v>6</v>
      </c>
      <c r="D69" s="17"/>
      <c r="E69" s="17"/>
      <c r="F69" s="17"/>
      <c r="G69" s="16"/>
      <c r="H69" s="17"/>
      <c r="I69" s="17"/>
      <c r="J69" s="17"/>
      <c r="L69" s="17"/>
    </row>
    <row r="70" spans="1:13">
      <c r="C70" s="20" t="s">
        <v>52</v>
      </c>
      <c r="G70" s="18"/>
    </row>
    <row r="71" spans="1:13" ht="47.25">
      <c r="C71" s="29" t="s">
        <v>53</v>
      </c>
    </row>
    <row r="72" spans="1:13">
      <c r="K72" s="7"/>
    </row>
    <row r="73" spans="1:13">
      <c r="G73" s="22"/>
    </row>
  </sheetData>
  <mergeCells count="20">
    <mergeCell ref="A58:B58"/>
    <mergeCell ref="A46:B46"/>
    <mergeCell ref="A47:B47"/>
    <mergeCell ref="A55:M55"/>
    <mergeCell ref="A56:M56"/>
    <mergeCell ref="A57:B57"/>
    <mergeCell ref="A34:M34"/>
    <mergeCell ref="A35:B35"/>
    <mergeCell ref="A36:B36"/>
    <mergeCell ref="A44:M44"/>
    <mergeCell ref="A45:M45"/>
    <mergeCell ref="A13:M13"/>
    <mergeCell ref="A14:B14"/>
    <mergeCell ref="A15:B15"/>
    <mergeCell ref="A12:M12"/>
    <mergeCell ref="A33:M33"/>
    <mergeCell ref="A1:M1"/>
    <mergeCell ref="A2:M2"/>
    <mergeCell ref="A3:B3"/>
    <mergeCell ref="A4:B4"/>
  </mergeCells>
  <phoneticPr fontId="18" type="noConversion"/>
  <conditionalFormatting sqref="N12:XFD18 A32:M32 N32:XFD39 A67:XFD1048576 A1:XFD11 F19:XFD21 B22:XFD22 B43:XFD43">
    <cfRule type="containsText" dxfId="140" priority="176" operator="containsText" text="TBD">
      <formula>NOT(ISERROR(SEARCH("TBD",A1)))</formula>
    </cfRule>
  </conditionalFormatting>
  <conditionalFormatting sqref="A3:L6">
    <cfRule type="containsText" dxfId="139" priority="161" operator="containsText" text="TBD">
      <formula>NOT(ISERROR(SEARCH("TBD",A3)))</formula>
    </cfRule>
  </conditionalFormatting>
  <conditionalFormatting sqref="C67:C70">
    <cfRule type="containsText" dxfId="138" priority="175" operator="containsText" text="TBD">
      <formula>NOT(ISERROR(SEARCH("TBD",C67)))</formula>
    </cfRule>
  </conditionalFormatting>
  <conditionalFormatting sqref="M5">
    <cfRule type="containsText" dxfId="137" priority="173" operator="containsText" text="TBD">
      <formula>NOT(ISERROR(SEARCH("TBD",M5)))</formula>
    </cfRule>
  </conditionalFormatting>
  <conditionalFormatting sqref="C10">
    <cfRule type="containsText" dxfId="136" priority="153" operator="containsText" text="TBD">
      <formula>NOT(ISERROR(SEARCH("TBD",C10)))</formula>
    </cfRule>
  </conditionalFormatting>
  <conditionalFormatting sqref="A10">
    <cfRule type="containsText" dxfId="135" priority="151" operator="containsText" text="TBD">
      <formula>NOT(ISERROR(SEARCH("TBD",A10)))</formula>
    </cfRule>
  </conditionalFormatting>
  <conditionalFormatting sqref="C10:L10">
    <cfRule type="containsText" dxfId="134" priority="152" operator="containsText" text="TBD">
      <formula>NOT(ISERROR(SEARCH("TBD",C10)))</formula>
    </cfRule>
  </conditionalFormatting>
  <conditionalFormatting sqref="C7:C9">
    <cfRule type="containsText" dxfId="133" priority="149" operator="containsText" text="TBD">
      <formula>NOT(ISERROR(SEARCH("TBD",C7)))</formula>
    </cfRule>
  </conditionalFormatting>
  <conditionalFormatting sqref="A8:L9">
    <cfRule type="containsText" dxfId="132" priority="147" operator="containsText" text="TBD">
      <formula>NOT(ISERROR(SEARCH("TBD",A8)))</formula>
    </cfRule>
  </conditionalFormatting>
  <conditionalFormatting sqref="A12:A13">
    <cfRule type="containsText" dxfId="131" priority="144" operator="containsText" text="TBD">
      <formula>NOT(ISERROR(SEARCH("TBD",A12)))</formula>
    </cfRule>
  </conditionalFormatting>
  <conditionalFormatting sqref="A14:L17 A19:A20 A22:A23 A25:A26 A28:A29 A31">
    <cfRule type="containsText" dxfId="130" priority="141" operator="containsText" text="TBD">
      <formula>NOT(ISERROR(SEARCH("TBD",A14)))</formula>
    </cfRule>
  </conditionalFormatting>
  <conditionalFormatting sqref="A12:M17 A19:A20 A22:A23 A25:A26 A28:A29 A31">
    <cfRule type="containsText" dxfId="129" priority="142" operator="containsText" text="TBD">
      <formula>NOT(ISERROR(SEARCH("TBD",A12)))</formula>
    </cfRule>
  </conditionalFormatting>
  <conditionalFormatting sqref="M16">
    <cfRule type="containsText" dxfId="128" priority="143" operator="containsText" text="TBD">
      <formula>NOT(ISERROR(SEARCH("TBD",M16)))</formula>
    </cfRule>
  </conditionalFormatting>
  <conditionalFormatting sqref="C18">
    <cfRule type="containsText" dxfId="127" priority="136" operator="containsText" text="TBD">
      <formula>NOT(ISERROR(SEARCH("TBD",C18)))</formula>
    </cfRule>
  </conditionalFormatting>
  <conditionalFormatting sqref="A18:M18 A21 A24 A27 A30">
    <cfRule type="containsText" dxfId="126" priority="135" operator="containsText" text="TBD">
      <formula>NOT(ISERROR(SEARCH("TBD",A18)))</formula>
    </cfRule>
  </conditionalFormatting>
  <conditionalFormatting sqref="E19:E20">
    <cfRule type="containsText" dxfId="125" priority="128" operator="containsText" text="TBD">
      <formula>NOT(ISERROR(SEARCH("TBD",E19)))</formula>
    </cfRule>
  </conditionalFormatting>
  <conditionalFormatting sqref="E19:E20">
    <cfRule type="containsText" dxfId="124" priority="127" operator="containsText" text="TBD">
      <formula>NOT(ISERROR(SEARCH("TBD",E19)))</formula>
    </cfRule>
  </conditionalFormatting>
  <conditionalFormatting sqref="M18">
    <cfRule type="containsText" dxfId="123" priority="132" operator="containsText" text="TBD">
      <formula>NOT(ISERROR(SEARCH("TBD",M18)))</formula>
    </cfRule>
  </conditionalFormatting>
  <conditionalFormatting sqref="C19:C20">
    <cfRule type="containsText" dxfId="122" priority="131" operator="containsText" text="TBD">
      <formula>NOT(ISERROR(SEARCH("TBD",C19)))</formula>
    </cfRule>
  </conditionalFormatting>
  <conditionalFormatting sqref="B19:D20">
    <cfRule type="containsText" dxfId="121" priority="130" operator="containsText" text="TBD">
      <formula>NOT(ISERROR(SEARCH("TBD",B19)))</formula>
    </cfRule>
  </conditionalFormatting>
  <conditionalFormatting sqref="E21:E22">
    <cfRule type="containsText" dxfId="120" priority="112" operator="containsText" text="TBD">
      <formula>NOT(ISERROR(SEARCH("TBD",E21)))</formula>
    </cfRule>
  </conditionalFormatting>
  <conditionalFormatting sqref="E19:E20">
    <cfRule type="containsText" dxfId="119" priority="129" operator="containsText" text="TBD">
      <formula>NOT(ISERROR(SEARCH("TBD",E19)))</formula>
    </cfRule>
  </conditionalFormatting>
  <conditionalFormatting sqref="E19:E20">
    <cfRule type="containsText" dxfId="118" priority="126" operator="containsText" text="TBD">
      <formula>NOT(ISERROR(SEARCH("TBD",E19)))</formula>
    </cfRule>
  </conditionalFormatting>
  <conditionalFormatting sqref="E21">
    <cfRule type="containsText" dxfId="117" priority="111" operator="containsText" text="TBD">
      <formula>NOT(ISERROR(SEARCH("TBD",E21)))</formula>
    </cfRule>
  </conditionalFormatting>
  <conditionalFormatting sqref="B21 D21">
    <cfRule type="containsText" dxfId="116" priority="115" operator="containsText" text="TBD">
      <formula>NOT(ISERROR(SEARCH("TBD",B21)))</formula>
    </cfRule>
  </conditionalFormatting>
  <conditionalFormatting sqref="C22">
    <cfRule type="containsText" dxfId="115" priority="116" operator="containsText" text="TBD">
      <formula>NOT(ISERROR(SEARCH("TBD",C22)))</formula>
    </cfRule>
  </conditionalFormatting>
  <conditionalFormatting sqref="C21">
    <cfRule type="containsText" dxfId="114" priority="114" operator="containsText" text="TBD">
      <formula>NOT(ISERROR(SEARCH("TBD",C21)))</formula>
    </cfRule>
  </conditionalFormatting>
  <conditionalFormatting sqref="E21">
    <cfRule type="containsText" dxfId="113" priority="110" operator="containsText" text="TBD">
      <formula>NOT(ISERROR(SEARCH("TBD",E21)))</formula>
    </cfRule>
  </conditionalFormatting>
  <conditionalFormatting sqref="B23 H23 J23:L23 D23:F23">
    <cfRule type="containsText" dxfId="112" priority="109" operator="containsText" text="TBD">
      <formula>NOT(ISERROR(SEARCH("TBD",B23)))</formula>
    </cfRule>
  </conditionalFormatting>
  <conditionalFormatting sqref="E21:E22">
    <cfRule type="containsText" dxfId="111" priority="113" operator="containsText" text="TBD">
      <formula>NOT(ISERROR(SEARCH("TBD",E21)))</formula>
    </cfRule>
  </conditionalFormatting>
  <conditionalFormatting sqref="E22">
    <cfRule type="containsText" dxfId="110" priority="103" operator="containsText" text="TBD">
      <formula>NOT(ISERROR(SEARCH("TBD",E22)))</formula>
    </cfRule>
  </conditionalFormatting>
  <conditionalFormatting sqref="E22">
    <cfRule type="containsText" dxfId="109" priority="102" operator="containsText" text="TBD">
      <formula>NOT(ISERROR(SEARCH("TBD",E22)))</formula>
    </cfRule>
  </conditionalFormatting>
  <conditionalFormatting sqref="G23">
    <cfRule type="containsText" dxfId="108" priority="108" operator="containsText" text="TBD">
      <formula>NOT(ISERROR(SEARCH("TBD",G23)))</formula>
    </cfRule>
  </conditionalFormatting>
  <conditionalFormatting sqref="B28:D28 D27 F27:F28 B26:B27 H26:H28 J26:L28 D26:F26">
    <cfRule type="containsText" dxfId="107" priority="101" operator="containsText" text="TBD">
      <formula>NOT(ISERROR(SEARCH("TBD",B26)))</formula>
    </cfRule>
  </conditionalFormatting>
  <conditionalFormatting sqref="B24 H24 J24:L24 D24:F24">
    <cfRule type="containsText" dxfId="106" priority="107" operator="containsText" text="TBD">
      <formula>NOT(ISERROR(SEARCH("TBD",B24)))</formula>
    </cfRule>
  </conditionalFormatting>
  <conditionalFormatting sqref="G24">
    <cfRule type="containsText" dxfId="105" priority="106" operator="containsText" text="TBD">
      <formula>NOT(ISERROR(SEARCH("TBD",G24)))</formula>
    </cfRule>
  </conditionalFormatting>
  <conditionalFormatting sqref="G25">
    <cfRule type="containsText" dxfId="104" priority="104" operator="containsText" text="TBD">
      <formula>NOT(ISERROR(SEARCH("TBD",G25)))</formula>
    </cfRule>
  </conditionalFormatting>
  <conditionalFormatting sqref="B25 H25 J25:L25 D25:F25">
    <cfRule type="containsText" dxfId="103" priority="105" operator="containsText" text="TBD">
      <formula>NOT(ISERROR(SEARCH("TBD",B25)))</formula>
    </cfRule>
  </conditionalFormatting>
  <conditionalFormatting sqref="G28">
    <cfRule type="containsText" dxfId="102" priority="97" operator="containsText" text="TBD">
      <formula>NOT(ISERROR(SEARCH("TBD",G28)))</formula>
    </cfRule>
  </conditionalFormatting>
  <conditionalFormatting sqref="G26">
    <cfRule type="containsText" dxfId="101" priority="100" operator="containsText" text="TBD">
      <formula>NOT(ISERROR(SEARCH("TBD",G26)))</formula>
    </cfRule>
  </conditionalFormatting>
  <conditionalFormatting sqref="G29">
    <cfRule type="containsText" dxfId="100" priority="92" operator="containsText" text="TBD">
      <formula>NOT(ISERROR(SEARCH("TBD",G29)))</formula>
    </cfRule>
  </conditionalFormatting>
  <conditionalFormatting sqref="G27">
    <cfRule type="containsText" dxfId="99" priority="99" operator="containsText" text="TBD">
      <formula>NOT(ISERROR(SEARCH("TBD",G27)))</formula>
    </cfRule>
  </conditionalFormatting>
  <conditionalFormatting sqref="I28">
    <cfRule type="containsText" dxfId="98" priority="96" operator="containsText" text="TBD">
      <formula>NOT(ISERROR(SEARCH("TBD",I28)))</formula>
    </cfRule>
  </conditionalFormatting>
  <conditionalFormatting sqref="B30 H30 J30:L30 D30 F30">
    <cfRule type="containsText" dxfId="97" priority="91" operator="containsText" text="TBD">
      <formula>NOT(ISERROR(SEARCH("TBD",B30)))</formula>
    </cfRule>
  </conditionalFormatting>
  <conditionalFormatting sqref="E27">
    <cfRule type="containsText" dxfId="96" priority="98" operator="containsText" text="TBD">
      <formula>NOT(ISERROR(SEARCH("TBD",E27)))</formula>
    </cfRule>
  </conditionalFormatting>
  <conditionalFormatting sqref="C31">
    <cfRule type="containsText" dxfId="95" priority="86" operator="containsText" text="TBD">
      <formula>NOT(ISERROR(SEARCH("TBD",C31)))</formula>
    </cfRule>
  </conditionalFormatting>
  <conditionalFormatting sqref="I31">
    <cfRule type="containsText" dxfId="94" priority="85" operator="containsText" text="TBD">
      <formula>NOT(ISERROR(SEARCH("TBD",I31)))</formula>
    </cfRule>
  </conditionalFormatting>
  <conditionalFormatting sqref="E28">
    <cfRule type="containsText" dxfId="93" priority="95" operator="containsText" text="TBD">
      <formula>NOT(ISERROR(SEARCH("TBD",E28)))</formula>
    </cfRule>
  </conditionalFormatting>
  <conditionalFormatting sqref="G30">
    <cfRule type="containsText" dxfId="92" priority="90" operator="containsText" text="TBD">
      <formula>NOT(ISERROR(SEARCH("TBD",G30)))</formula>
    </cfRule>
  </conditionalFormatting>
  <conditionalFormatting sqref="E30">
    <cfRule type="containsText" dxfId="91" priority="89" operator="containsText" text="TBD">
      <formula>NOT(ISERROR(SEARCH("TBD",E30)))</formula>
    </cfRule>
  </conditionalFormatting>
  <conditionalFormatting sqref="B31 H31 D31 J31:L31 F31">
    <cfRule type="containsText" dxfId="90" priority="88" operator="containsText" text="TBD">
      <formula>NOT(ISERROR(SEARCH("TBD",B31)))</formula>
    </cfRule>
  </conditionalFormatting>
  <conditionalFormatting sqref="G31">
    <cfRule type="containsText" dxfId="89" priority="87" operator="containsText" text="TBD">
      <formula>NOT(ISERROR(SEARCH("TBD",G31)))</formula>
    </cfRule>
  </conditionalFormatting>
  <conditionalFormatting sqref="E31">
    <cfRule type="containsText" dxfId="88" priority="84" operator="containsText" text="TBD">
      <formula>NOT(ISERROR(SEARCH("TBD",E31)))</formula>
    </cfRule>
  </conditionalFormatting>
  <conditionalFormatting sqref="E29">
    <cfRule type="containsText" dxfId="87" priority="94" operator="containsText" text="TBD">
      <formula>NOT(ISERROR(SEARCH("TBD",E29)))</formula>
    </cfRule>
  </conditionalFormatting>
  <conditionalFormatting sqref="B29 H29 J29:L29 D29 F29">
    <cfRule type="containsText" dxfId="86" priority="93" operator="containsText" text="TBD">
      <formula>NOT(ISERROR(SEARCH("TBD",B29)))</formula>
    </cfRule>
  </conditionalFormatting>
  <conditionalFormatting sqref="A33:A34">
    <cfRule type="containsText" dxfId="85" priority="82" operator="containsText" text="TBD">
      <formula>NOT(ISERROR(SEARCH("TBD",A33)))</formula>
    </cfRule>
  </conditionalFormatting>
  <conditionalFormatting sqref="A43 A35:L38 A54">
    <cfRule type="containsText" dxfId="84" priority="79" operator="containsText" text="TBD">
      <formula>NOT(ISERROR(SEARCH("TBD",A35)))</formula>
    </cfRule>
  </conditionalFormatting>
  <conditionalFormatting sqref="A43 A33:M38 A54">
    <cfRule type="containsText" dxfId="83" priority="80" operator="containsText" text="TBD">
      <formula>NOT(ISERROR(SEARCH("TBD",A33)))</formula>
    </cfRule>
  </conditionalFormatting>
  <conditionalFormatting sqref="M37">
    <cfRule type="containsText" dxfId="82" priority="81" operator="containsText" text="TBD">
      <formula>NOT(ISERROR(SEARCH("TBD",M37)))</formula>
    </cfRule>
  </conditionalFormatting>
  <conditionalFormatting sqref="C39">
    <cfRule type="containsText" dxfId="81" priority="78" operator="containsText" text="TBD">
      <formula>NOT(ISERROR(SEARCH("TBD",C39)))</formula>
    </cfRule>
  </conditionalFormatting>
  <conditionalFormatting sqref="A39:M39">
    <cfRule type="containsText" dxfId="80" priority="77" operator="containsText" text="TBD">
      <formula>NOT(ISERROR(SEARCH("TBD",A39)))</formula>
    </cfRule>
  </conditionalFormatting>
  <conditionalFormatting sqref="C43">
    <cfRule type="containsText" dxfId="78" priority="69" operator="containsText" text="TBD">
      <formula>NOT(ISERROR(SEARCH("TBD",C43)))</formula>
    </cfRule>
  </conditionalFormatting>
  <conditionalFormatting sqref="M39">
    <cfRule type="containsText" dxfId="77" priority="76" operator="containsText" text="TBD">
      <formula>NOT(ISERROR(SEARCH("TBD",M39)))</formula>
    </cfRule>
  </conditionalFormatting>
  <conditionalFormatting sqref="E43">
    <cfRule type="containsText" dxfId="74" priority="65" operator="containsText" text="TBD">
      <formula>NOT(ISERROR(SEARCH("TBD",E43)))</formula>
    </cfRule>
  </conditionalFormatting>
  <conditionalFormatting sqref="E43">
    <cfRule type="containsText" dxfId="68" priority="66" operator="containsText" text="TBD">
      <formula>NOT(ISERROR(SEARCH("TBD",E43)))</formula>
    </cfRule>
  </conditionalFormatting>
  <conditionalFormatting sqref="B54 H54 J54:L54 D54:F54">
    <cfRule type="containsText" dxfId="67" priority="62" operator="containsText" text="TBD">
      <formula>NOT(ISERROR(SEARCH("TBD",B54)))</formula>
    </cfRule>
  </conditionalFormatting>
  <conditionalFormatting sqref="A40:B42 H40:H42 J40:L42 D40:F42">
    <cfRule type="containsText" dxfId="66" priority="36" operator="containsText" text="TBD">
      <formula>NOT(ISERROR(SEARCH("TBD",A40)))</formula>
    </cfRule>
  </conditionalFormatting>
  <conditionalFormatting sqref="E43">
    <cfRule type="containsText" dxfId="64" priority="56" operator="containsText" text="TBD">
      <formula>NOT(ISERROR(SEARCH("TBD",E43)))</formula>
    </cfRule>
  </conditionalFormatting>
  <conditionalFormatting sqref="E43">
    <cfRule type="containsText" dxfId="63" priority="55" operator="containsText" text="TBD">
      <formula>NOT(ISERROR(SEARCH("TBD",E43)))</formula>
    </cfRule>
  </conditionalFormatting>
  <conditionalFormatting sqref="G54">
    <cfRule type="containsText" dxfId="62" priority="61" operator="containsText" text="TBD">
      <formula>NOT(ISERROR(SEARCH("TBD",G54)))</formula>
    </cfRule>
  </conditionalFormatting>
  <conditionalFormatting sqref="G41">
    <cfRule type="containsText" dxfId="54" priority="34" operator="containsText" text="TBD">
      <formula>NOT(ISERROR(SEARCH("TBD",G41)))</formula>
    </cfRule>
  </conditionalFormatting>
  <conditionalFormatting sqref="G42">
    <cfRule type="containsText" dxfId="51" priority="33" operator="containsText" text="TBD">
      <formula>NOT(ISERROR(SEARCH("TBD",G42)))</formula>
    </cfRule>
  </conditionalFormatting>
  <conditionalFormatting sqref="A46:L48 A51 A53 A49:D49 F49:L49">
    <cfRule type="containsText" dxfId="49" priority="28" operator="containsText" text="TBD">
      <formula>NOT(ISERROR(SEARCH("TBD",A46)))</formula>
    </cfRule>
  </conditionalFormatting>
  <conditionalFormatting sqref="C50">
    <cfRule type="containsText" dxfId="48" priority="27" operator="containsText" text="TBD">
      <formula>NOT(ISERROR(SEARCH("TBD",C50)))</formula>
    </cfRule>
  </conditionalFormatting>
  <conditionalFormatting sqref="N44:XFD50">
    <cfRule type="containsText" dxfId="46" priority="32" operator="containsText" text="TBD">
      <formula>NOT(ISERROR(SEARCH("TBD",N44)))</formula>
    </cfRule>
  </conditionalFormatting>
  <conditionalFormatting sqref="A44:A45">
    <cfRule type="containsText" dxfId="45" priority="31" operator="containsText" text="TBD">
      <formula>NOT(ISERROR(SEARCH("TBD",A44)))</formula>
    </cfRule>
  </conditionalFormatting>
  <conditionalFormatting sqref="M48">
    <cfRule type="containsText" dxfId="44" priority="30" operator="containsText" text="TBD">
      <formula>NOT(ISERROR(SEARCH("TBD",M48)))</formula>
    </cfRule>
  </conditionalFormatting>
  <conditionalFormatting sqref="A44:M48 A51 A53 A49:D49 F49:M49">
    <cfRule type="containsText" dxfId="43" priority="29" operator="containsText" text="TBD">
      <formula>NOT(ISERROR(SEARCH("TBD",A44)))</formula>
    </cfRule>
  </conditionalFormatting>
  <conditionalFormatting sqref="A50:G50 I50:M50 A52">
    <cfRule type="containsText" dxfId="42" priority="26" operator="containsText" text="TBD">
      <formula>NOT(ISERROR(SEARCH("TBD",A50)))</formula>
    </cfRule>
  </conditionalFormatting>
  <conditionalFormatting sqref="G40">
    <cfRule type="containsText" dxfId="40" priority="35" operator="containsText" text="TBD">
      <formula>NOT(ISERROR(SEARCH("TBD",G40)))</formula>
    </cfRule>
  </conditionalFormatting>
  <conditionalFormatting sqref="M50">
    <cfRule type="containsText" dxfId="28" priority="25" operator="containsText" text="TBD">
      <formula>NOT(ISERROR(SEARCH("TBD",M50)))</formula>
    </cfRule>
  </conditionalFormatting>
  <conditionalFormatting sqref="C61">
    <cfRule type="containsText" dxfId="27" priority="12" operator="containsText" text="TBD">
      <formula>NOT(ISERROR(SEARCH("TBD",C61)))</formula>
    </cfRule>
  </conditionalFormatting>
  <conditionalFormatting sqref="I61:M61 A61:G61 A63">
    <cfRule type="containsText" dxfId="26" priority="11" operator="containsText" text="TBD">
      <formula>NOT(ISERROR(SEARCH("TBD",A61)))</formula>
    </cfRule>
  </conditionalFormatting>
  <conditionalFormatting sqref="M61">
    <cfRule type="containsText" dxfId="25" priority="10" operator="containsText" text="TBD">
      <formula>NOT(ISERROR(SEARCH("TBD",M61)))</formula>
    </cfRule>
  </conditionalFormatting>
  <conditionalFormatting sqref="I61">
    <cfRule type="containsText" dxfId="24" priority="9" operator="containsText" text="TBD">
      <formula>NOT(ISERROR(SEARCH("TBD",I61)))</formula>
    </cfRule>
  </conditionalFormatting>
  <conditionalFormatting sqref="A65:XFD66">
    <cfRule type="containsText" dxfId="23" priority="7" operator="containsText" text="TBD">
      <formula>NOT(ISERROR(SEARCH("TBD",A65)))</formula>
    </cfRule>
  </conditionalFormatting>
  <conditionalFormatting sqref="I50">
    <cfRule type="containsText" dxfId="22" priority="20" operator="containsText" text="TBD">
      <formula>NOT(ISERROR(SEARCH("TBD",I50)))</formula>
    </cfRule>
  </conditionalFormatting>
  <conditionalFormatting sqref="H50">
    <cfRule type="containsText" dxfId="21" priority="19" operator="containsText" text="TBD">
      <formula>NOT(ISERROR(SEARCH("TBD",H50)))</formula>
    </cfRule>
  </conditionalFormatting>
  <conditionalFormatting sqref="B51:XFD53">
    <cfRule type="containsText" dxfId="20" priority="18" operator="containsText" text="TBD">
      <formula>NOT(ISERROR(SEARCH("TBD",B51)))</formula>
    </cfRule>
  </conditionalFormatting>
  <conditionalFormatting sqref="N55:XFD61">
    <cfRule type="containsText" dxfId="19" priority="17" operator="containsText" text="TBD">
      <formula>NOT(ISERROR(SEARCH("TBD",N55)))</formula>
    </cfRule>
  </conditionalFormatting>
  <conditionalFormatting sqref="A55:A56">
    <cfRule type="containsText" dxfId="18" priority="16" operator="containsText" text="TBD">
      <formula>NOT(ISERROR(SEARCH("TBD",A55)))</formula>
    </cfRule>
  </conditionalFormatting>
  <conditionalFormatting sqref="A57:L59 A60:D60 H60:L60 A62 A64 F60">
    <cfRule type="containsText" dxfId="17" priority="13" operator="containsText" text="TBD">
      <formula>NOT(ISERROR(SEARCH("TBD",A57)))</formula>
    </cfRule>
  </conditionalFormatting>
  <conditionalFormatting sqref="A55:M59 A60:D60 H60:M60 A62 A64 F60">
    <cfRule type="containsText" dxfId="16" priority="14" operator="containsText" text="TBD">
      <formula>NOT(ISERROR(SEARCH("TBD",A55)))</formula>
    </cfRule>
  </conditionalFormatting>
  <conditionalFormatting sqref="M59">
    <cfRule type="containsText" dxfId="15" priority="15" operator="containsText" text="TBD">
      <formula>NOT(ISERROR(SEARCH("TBD",M59)))</formula>
    </cfRule>
  </conditionalFormatting>
  <conditionalFormatting sqref="H61">
    <cfRule type="containsText" dxfId="10" priority="8" operator="containsText" text="TBD">
      <formula>NOT(ISERROR(SEARCH("TBD",H61)))</formula>
    </cfRule>
  </conditionalFormatting>
  <conditionalFormatting sqref="G60">
    <cfRule type="containsText" dxfId="8" priority="5" operator="containsText" text="TBD">
      <formula>NOT(ISERROR(SEARCH("TBD",G60)))</formula>
    </cfRule>
  </conditionalFormatting>
  <conditionalFormatting sqref="G60">
    <cfRule type="containsText" dxfId="7" priority="6" operator="containsText" text="TBD">
      <formula>NOT(ISERROR(SEARCH("TBD",G60)))</formula>
    </cfRule>
  </conditionalFormatting>
  <conditionalFormatting sqref="C61">
    <cfRule type="containsText" dxfId="6" priority="4" operator="containsText" text="TBD">
      <formula>NOT(ISERROR(SEARCH("TBD",C61)))</formula>
    </cfRule>
  </conditionalFormatting>
  <conditionalFormatting sqref="B62:XFD64">
    <cfRule type="containsText" dxfId="5" priority="3" operator="containsText" text="TBD">
      <formula>NOT(ISERROR(SEARCH("TBD",B62)))</formula>
    </cfRule>
  </conditionalFormatting>
  <conditionalFormatting sqref="E49">
    <cfRule type="containsText" dxfId="1" priority="2" operator="containsText" text="TBD">
      <formula>NOT(ISERROR(SEARCH("TBD",E49)))</formula>
    </cfRule>
  </conditionalFormatting>
  <conditionalFormatting sqref="E60">
    <cfRule type="containsText" dxfId="0" priority="1" operator="containsText" text="TBD">
      <formula>NOT(ISERROR(SEARCH("TBD",E60)))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zoomScaleNormal="100" workbookViewId="0">
      <selection activeCell="C14" sqref="C14:C17"/>
    </sheetView>
  </sheetViews>
  <sheetFormatPr defaultColWidth="8.75" defaultRowHeight="15"/>
  <cols>
    <col min="1" max="1" width="8.75" style="31"/>
    <col min="2" max="2" width="18.625" style="31" bestFit="1" customWidth="1"/>
    <col min="3" max="3" width="55.375" style="31" bestFit="1" customWidth="1"/>
    <col min="4" max="4" width="18.125" style="31" bestFit="1" customWidth="1"/>
    <col min="5" max="16384" width="8.75" style="31"/>
  </cols>
  <sheetData>
    <row r="1" spans="1:6">
      <c r="A1" s="33"/>
      <c r="B1" s="33" t="s">
        <v>69</v>
      </c>
      <c r="C1" s="34" t="s">
        <v>60</v>
      </c>
      <c r="D1" s="33" t="s">
        <v>70</v>
      </c>
      <c r="E1" s="33" t="s">
        <v>71</v>
      </c>
      <c r="F1" s="33" t="s">
        <v>72</v>
      </c>
    </row>
    <row r="2" spans="1:6" s="32" customFormat="1">
      <c r="A2" s="159" t="s">
        <v>73</v>
      </c>
      <c r="B2" s="35" t="s">
        <v>74</v>
      </c>
      <c r="C2" s="35" t="s">
        <v>75</v>
      </c>
      <c r="D2" s="35" t="s">
        <v>76</v>
      </c>
      <c r="E2" s="161">
        <v>1</v>
      </c>
      <c r="F2" s="162">
        <v>0.35</v>
      </c>
    </row>
    <row r="3" spans="1:6" s="32" customFormat="1">
      <c r="A3" s="159"/>
      <c r="B3" s="35" t="s">
        <v>77</v>
      </c>
      <c r="C3" s="35" t="s">
        <v>78</v>
      </c>
      <c r="D3" s="35" t="s">
        <v>79</v>
      </c>
      <c r="E3" s="161"/>
      <c r="F3" s="161"/>
    </row>
    <row r="4" spans="1:6" s="32" customFormat="1">
      <c r="A4" s="159"/>
      <c r="B4" s="35" t="s">
        <v>80</v>
      </c>
      <c r="C4" s="35" t="s">
        <v>81</v>
      </c>
      <c r="D4" s="35" t="s">
        <v>82</v>
      </c>
      <c r="E4" s="161"/>
      <c r="F4" s="161"/>
    </row>
    <row r="5" spans="1:6" s="32" customFormat="1">
      <c r="A5" s="159"/>
      <c r="B5" s="35" t="s">
        <v>83</v>
      </c>
      <c r="C5" s="35" t="s">
        <v>84</v>
      </c>
      <c r="D5" s="35" t="s">
        <v>85</v>
      </c>
      <c r="E5" s="161"/>
      <c r="F5" s="161"/>
    </row>
    <row r="6" spans="1:6" s="38" customFormat="1">
      <c r="A6" s="159"/>
      <c r="B6" s="37" t="s">
        <v>86</v>
      </c>
      <c r="C6" s="37" t="s">
        <v>87</v>
      </c>
      <c r="D6" s="37" t="s">
        <v>88</v>
      </c>
      <c r="E6" s="163">
        <v>2</v>
      </c>
      <c r="F6" s="164">
        <v>0.35</v>
      </c>
    </row>
    <row r="7" spans="1:6" s="38" customFormat="1">
      <c r="A7" s="159"/>
      <c r="B7" s="37" t="s">
        <v>89</v>
      </c>
      <c r="C7" s="37" t="s">
        <v>90</v>
      </c>
      <c r="D7" s="37" t="s">
        <v>91</v>
      </c>
      <c r="E7" s="163">
        <v>2</v>
      </c>
      <c r="F7" s="163"/>
    </row>
    <row r="8" spans="1:6" s="38" customFormat="1">
      <c r="A8" s="159"/>
      <c r="B8" s="37" t="s">
        <v>92</v>
      </c>
      <c r="C8" s="37" t="s">
        <v>93</v>
      </c>
      <c r="D8" s="37" t="s">
        <v>94</v>
      </c>
      <c r="E8" s="163">
        <v>2</v>
      </c>
      <c r="F8" s="163"/>
    </row>
    <row r="9" spans="1:6" s="38" customFormat="1">
      <c r="A9" s="159"/>
      <c r="B9" s="37" t="s">
        <v>95</v>
      </c>
      <c r="C9" s="37" t="s">
        <v>96</v>
      </c>
      <c r="D9" s="37" t="s">
        <v>97</v>
      </c>
      <c r="E9" s="163">
        <v>2</v>
      </c>
      <c r="F9" s="163"/>
    </row>
    <row r="10" spans="1:6" s="32" customFormat="1">
      <c r="A10" s="159"/>
      <c r="B10" s="35" t="s">
        <v>98</v>
      </c>
      <c r="C10" s="35" t="s">
        <v>99</v>
      </c>
      <c r="D10" s="35" t="s">
        <v>100</v>
      </c>
      <c r="E10" s="161">
        <v>3</v>
      </c>
      <c r="F10" s="162">
        <v>0.15</v>
      </c>
    </row>
    <row r="11" spans="1:6" s="32" customFormat="1">
      <c r="A11" s="159"/>
      <c r="B11" s="35" t="s">
        <v>101</v>
      </c>
      <c r="C11" s="35" t="s">
        <v>102</v>
      </c>
      <c r="D11" s="35" t="s">
        <v>103</v>
      </c>
      <c r="E11" s="161"/>
      <c r="F11" s="161"/>
    </row>
    <row r="12" spans="1:6" s="32" customFormat="1">
      <c r="A12" s="159"/>
      <c r="B12" s="35" t="s">
        <v>80</v>
      </c>
      <c r="C12" s="35" t="s">
        <v>81</v>
      </c>
      <c r="D12" s="35" t="s">
        <v>82</v>
      </c>
      <c r="E12" s="161"/>
      <c r="F12" s="161"/>
    </row>
    <row r="13" spans="1:6" s="32" customFormat="1">
      <c r="A13" s="159"/>
      <c r="B13" s="35" t="s">
        <v>83</v>
      </c>
      <c r="C13" s="35" t="s">
        <v>84</v>
      </c>
      <c r="D13" s="35" t="s">
        <v>85</v>
      </c>
      <c r="E13" s="161"/>
      <c r="F13" s="161"/>
    </row>
    <row r="14" spans="1:6">
      <c r="A14" s="159"/>
      <c r="B14" s="33" t="s">
        <v>104</v>
      </c>
      <c r="C14" s="33" t="s">
        <v>105</v>
      </c>
      <c r="D14" s="33" t="s">
        <v>106</v>
      </c>
      <c r="E14" s="159">
        <v>4</v>
      </c>
      <c r="F14" s="165">
        <v>0.15</v>
      </c>
    </row>
    <row r="15" spans="1:6">
      <c r="A15" s="159"/>
      <c r="B15" s="33" t="s">
        <v>107</v>
      </c>
      <c r="C15" s="33" t="s">
        <v>108</v>
      </c>
      <c r="D15" s="33" t="s">
        <v>109</v>
      </c>
      <c r="E15" s="159"/>
      <c r="F15" s="159"/>
    </row>
    <row r="16" spans="1:6">
      <c r="A16" s="159"/>
      <c r="B16" s="36" t="s">
        <v>110</v>
      </c>
      <c r="C16" s="36" t="s">
        <v>93</v>
      </c>
      <c r="D16" s="36" t="s">
        <v>94</v>
      </c>
      <c r="E16" s="159"/>
      <c r="F16" s="159"/>
    </row>
    <row r="17" spans="1:6">
      <c r="A17" s="159"/>
      <c r="B17" s="36" t="s">
        <v>95</v>
      </c>
      <c r="C17" s="36" t="s">
        <v>96</v>
      </c>
      <c r="D17" s="36" t="s">
        <v>97</v>
      </c>
      <c r="E17" s="159"/>
      <c r="F17" s="159"/>
    </row>
    <row r="18" spans="1:6">
      <c r="A18" s="159" t="s">
        <v>111</v>
      </c>
      <c r="B18" s="33" t="s">
        <v>61</v>
      </c>
      <c r="C18" s="33" t="s">
        <v>112</v>
      </c>
      <c r="D18" s="33" t="s">
        <v>65</v>
      </c>
      <c r="E18" s="33"/>
      <c r="F18" s="33"/>
    </row>
    <row r="19" spans="1:6">
      <c r="A19" s="159"/>
      <c r="B19" s="33" t="s">
        <v>62</v>
      </c>
      <c r="C19" s="33" t="s">
        <v>113</v>
      </c>
      <c r="D19" s="33" t="s">
        <v>66</v>
      </c>
      <c r="E19" s="33"/>
      <c r="F19" s="33"/>
    </row>
    <row r="20" spans="1:6">
      <c r="A20" s="159"/>
      <c r="B20" s="33" t="s">
        <v>63</v>
      </c>
      <c r="C20" s="33" t="s">
        <v>114</v>
      </c>
      <c r="D20" s="33" t="s">
        <v>67</v>
      </c>
      <c r="E20" s="33"/>
      <c r="F20" s="33"/>
    </row>
    <row r="21" spans="1:6">
      <c r="A21" s="159"/>
      <c r="B21" s="33" t="s">
        <v>64</v>
      </c>
      <c r="C21" s="33" t="s">
        <v>115</v>
      </c>
      <c r="D21" s="33" t="s">
        <v>68</v>
      </c>
      <c r="E21" s="33"/>
      <c r="F21" s="33"/>
    </row>
    <row r="22" spans="1:6">
      <c r="A22" s="160" t="s">
        <v>116</v>
      </c>
      <c r="B22" s="159"/>
      <c r="C22" s="159"/>
      <c r="D22" s="159"/>
      <c r="E22" s="33"/>
      <c r="F22" s="33"/>
    </row>
  </sheetData>
  <mergeCells count="11">
    <mergeCell ref="A18:A21"/>
    <mergeCell ref="A22:D22"/>
    <mergeCell ref="A2:A17"/>
    <mergeCell ref="E2:E5"/>
    <mergeCell ref="F2:F5"/>
    <mergeCell ref="E6:E9"/>
    <mergeCell ref="F6:F9"/>
    <mergeCell ref="E10:E13"/>
    <mergeCell ref="F10:F13"/>
    <mergeCell ref="E14:E17"/>
    <mergeCell ref="F14:F17"/>
  </mergeCells>
  <phoneticPr fontId="18" type="noConversion"/>
  <pageMargins left="0.7" right="0.7" top="0.75" bottom="0.75" header="0.3" footer="0.3"/>
  <pageSetup paperSize="9" orientation="portrait" horizontalDpi="1200" verticalDpi="1200" r:id="rId1"/>
  <drawing r:id="rId2"/>
</worksheet>
</file>

<file path=docMetadata/LabelInfo.xml><?xml version="1.0" encoding="utf-8"?>
<clbl:labelList xmlns:clbl="http://schemas.microsoft.com/office/2020/mipLabelMetadata">
  <clbl:label id="{44ccf059-af5d-4b92-932d-3690a1231c55}" enabled="1" method="Standard" siteId="{cb3d8dcd-2ed2-4bad-89a5-e0a7195fb6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Change History</vt:lpstr>
      <vt:lpstr>L10 Compute Tray _MGX-OCP</vt:lpstr>
      <vt:lpstr>L10 Compute Tray _Sun Ref.</vt:lpstr>
      <vt:lpstr>L Thermal Matrix</vt:lpstr>
      <vt:lpstr>TIM Packs</vt:lpstr>
      <vt:lpstr>FRU</vt:lpstr>
      <vt:lpstr>Meta GB200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2025-02-08T19:17:14Z</dcterms:modified>
</cp:coreProperties>
</file>