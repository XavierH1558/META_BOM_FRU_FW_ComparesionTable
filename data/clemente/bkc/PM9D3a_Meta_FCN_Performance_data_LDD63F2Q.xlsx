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DOCUMENTS\EFSS\TEMPFILES\CHECKOUT\DATA\D_36ca54299_09_\"/>
    </mc:Choice>
  </mc:AlternateContent>
  <xr:revisionPtr revIDLastSave="0" documentId="13_ncr:1_{4BE100FF-66B9-4163-95CE-C609F603D0FD}" xr6:coauthVersionLast="47" xr6:coauthVersionMax="47" xr10:uidLastSave="{00000000-0000-0000-0000-000000000000}"/>
  <bookViews>
    <workbookView xWindow="-108" yWindow="-108" windowWidth="23256" windowHeight="12456" tabRatio="652" firstSheet="5" activeTab="5" xr2:uid="{00000000-000D-0000-FFFF-FFFF00000000}"/>
  </bookViews>
  <sheets>
    <sheet name="응기_issue" sheetId="115" state="hidden" r:id="rId1"/>
    <sheet name="QoS(Gen4)_N1103" sheetId="106" state="hidden" r:id="rId2"/>
    <sheet name="QoS(Gen4_4Thread)_N1103" sheetId="108" state="hidden" r:id="rId3"/>
    <sheet name="QoS_0702" sheetId="129" state="hidden" r:id="rId4"/>
    <sheet name="QoS(4Thread)_0702" sheetId="130" state="hidden" r:id="rId5"/>
    <sheet name="performance" sheetId="88" r:id="rId6"/>
    <sheet name="QoS_1203" sheetId="116" state="hidden" r:id="rId7"/>
    <sheet name="QoS(4Thread)_1203" sheetId="117" state="hidden" r:id="rId8"/>
    <sheet name="QoS_1116" sheetId="109" state="hidden" r:id="rId9"/>
    <sheet name="QoS(4Thread)_1116" sheetId="110" state="hidden" r:id="rId10"/>
    <sheet name="QoS_1211" sheetId="119" state="hidden" r:id="rId11"/>
    <sheet name="QoS(4Thread)_1211" sheetId="120" state="hidden" r:id="rId12"/>
    <sheet name="QoS_1229" sheetId="121" state="hidden" r:id="rId13"/>
    <sheet name="QoS(4Thread)_1229" sheetId="122" state="hidden" r:id="rId14"/>
    <sheet name="QoS_0527" sheetId="127" state="hidden" r:id="rId15"/>
    <sheet name="QoS(4Thread)_0527" sheetId="128" state="hidden" r:id="rId16"/>
    <sheet name="QoS_0202" sheetId="125" state="hidden" r:id="rId17"/>
    <sheet name="QoS(4Thread)_0202" sheetId="126" state="hidden" r:id="rId18"/>
    <sheet name="QoS_0112" sheetId="123" state="hidden" r:id="rId19"/>
    <sheet name="QoS(4Thread)_0112" sheetId="124" state="hidden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6" i="88" l="1"/>
  <c r="AH16" i="88"/>
  <c r="AG16" i="88"/>
  <c r="AF16" i="88"/>
  <c r="AE16" i="88"/>
  <c r="AD16" i="88"/>
  <c r="AC16" i="88"/>
  <c r="AB16" i="88"/>
  <c r="L16" i="88"/>
  <c r="K16" i="88"/>
  <c r="J16" i="88"/>
  <c r="I16" i="88"/>
  <c r="AI15" i="88"/>
  <c r="AH15" i="88"/>
  <c r="AG15" i="88"/>
  <c r="AF15" i="88"/>
  <c r="AE15" i="88"/>
  <c r="AD15" i="88"/>
  <c r="AC15" i="88"/>
  <c r="AB15" i="88"/>
  <c r="L15" i="88"/>
  <c r="K15" i="88"/>
  <c r="J15" i="88"/>
  <c r="I15" i="88"/>
  <c r="AI14" i="88"/>
  <c r="AH14" i="88"/>
  <c r="AG14" i="88"/>
  <c r="AF14" i="88"/>
  <c r="AE14" i="88"/>
  <c r="AD14" i="88"/>
  <c r="AC14" i="88"/>
  <c r="AB14" i="88"/>
  <c r="L14" i="88"/>
  <c r="K14" i="88"/>
  <c r="J14" i="88"/>
  <c r="I14" i="88"/>
  <c r="AI13" i="88"/>
  <c r="AH13" i="88"/>
  <c r="AG13" i="88"/>
  <c r="AF13" i="88"/>
  <c r="AE13" i="88"/>
  <c r="AD13" i="88"/>
  <c r="AC13" i="88"/>
  <c r="AB13" i="88"/>
  <c r="L13" i="88"/>
  <c r="K13" i="88"/>
  <c r="J13" i="88"/>
  <c r="I13" i="88"/>
  <c r="AI8" i="88"/>
  <c r="AH8" i="88"/>
  <c r="AG8" i="88"/>
  <c r="AF8" i="88"/>
  <c r="AE8" i="88"/>
  <c r="AD8" i="88"/>
  <c r="AC8" i="88"/>
  <c r="AB8" i="88"/>
  <c r="L8" i="88"/>
  <c r="K8" i="88"/>
  <c r="J8" i="88"/>
  <c r="I8" i="88"/>
  <c r="AI7" i="88"/>
  <c r="AH7" i="88"/>
  <c r="AG7" i="88"/>
  <c r="AF7" i="88"/>
  <c r="AE7" i="88"/>
  <c r="AD7" i="88"/>
  <c r="AC7" i="88"/>
  <c r="AB7" i="88"/>
  <c r="L7" i="88"/>
  <c r="K7" i="88"/>
  <c r="J7" i="88"/>
  <c r="I7" i="88"/>
  <c r="AI6" i="88"/>
  <c r="AH6" i="88"/>
  <c r="AG6" i="88"/>
  <c r="AF6" i="88"/>
  <c r="AE6" i="88"/>
  <c r="AD6" i="88"/>
  <c r="AC6" i="88"/>
  <c r="AB6" i="88"/>
  <c r="L6" i="88"/>
  <c r="K6" i="88"/>
  <c r="J6" i="88"/>
  <c r="I6" i="88"/>
  <c r="AI5" i="88"/>
  <c r="AH5" i="88"/>
  <c r="AG5" i="88"/>
  <c r="AF5" i="88"/>
  <c r="AE5" i="88"/>
  <c r="AD5" i="88"/>
  <c r="AC5" i="88"/>
  <c r="AB5" i="88"/>
  <c r="L5" i="88"/>
  <c r="K5" i="88"/>
  <c r="J5" i="88"/>
  <c r="I5" i="88"/>
  <c r="AR27" i="130"/>
  <c r="AQ27" i="130"/>
  <c r="AP27" i="130"/>
  <c r="AO27" i="130"/>
  <c r="AN27" i="130"/>
  <c r="AM27" i="130"/>
  <c r="AL27" i="130"/>
  <c r="AK27" i="130"/>
  <c r="AJ27" i="130"/>
  <c r="AI27" i="130"/>
  <c r="AH27" i="130"/>
  <c r="AG27" i="130"/>
  <c r="AF27" i="130"/>
  <c r="AE27" i="130"/>
  <c r="AD27" i="130"/>
  <c r="AC27" i="130"/>
  <c r="AB27" i="130"/>
  <c r="AA27" i="130"/>
  <c r="AR26" i="130"/>
  <c r="AQ26" i="130"/>
  <c r="AP26" i="130"/>
  <c r="AO26" i="130"/>
  <c r="AN26" i="130"/>
  <c r="AM26" i="130"/>
  <c r="AL26" i="130"/>
  <c r="AK26" i="130"/>
  <c r="AJ26" i="130"/>
  <c r="AI26" i="130"/>
  <c r="AH26" i="130"/>
  <c r="AG26" i="130"/>
  <c r="AF26" i="130"/>
  <c r="AE26" i="130"/>
  <c r="AD26" i="130"/>
  <c r="AC26" i="130"/>
  <c r="AB26" i="130"/>
  <c r="AA26" i="130"/>
  <c r="AR25" i="130"/>
  <c r="AQ25" i="130"/>
  <c r="AP25" i="130"/>
  <c r="AO25" i="130"/>
  <c r="AN25" i="130"/>
  <c r="AM25" i="130"/>
  <c r="AL25" i="130"/>
  <c r="AK25" i="130"/>
  <c r="AJ25" i="130"/>
  <c r="AI25" i="130"/>
  <c r="AH25" i="130"/>
  <c r="AG25" i="130"/>
  <c r="AF25" i="130"/>
  <c r="AE25" i="130"/>
  <c r="AD25" i="130"/>
  <c r="AC25" i="130"/>
  <c r="AB25" i="130"/>
  <c r="AA25" i="130"/>
  <c r="AR24" i="130"/>
  <c r="AQ24" i="130"/>
  <c r="AP24" i="130"/>
  <c r="AO24" i="130"/>
  <c r="AN24" i="130"/>
  <c r="AM24" i="130"/>
  <c r="AL24" i="130"/>
  <c r="AK24" i="130"/>
  <c r="AJ24" i="130"/>
  <c r="AI24" i="130"/>
  <c r="AH24" i="130"/>
  <c r="AG24" i="130"/>
  <c r="AF24" i="130"/>
  <c r="AE24" i="130"/>
  <c r="AD24" i="130"/>
  <c r="AC24" i="130"/>
  <c r="AB24" i="130"/>
  <c r="AA24" i="130"/>
  <c r="AR23" i="130"/>
  <c r="AQ23" i="130"/>
  <c r="AP23" i="130"/>
  <c r="AO23" i="130"/>
  <c r="AN23" i="130"/>
  <c r="AM23" i="130"/>
  <c r="AL23" i="130"/>
  <c r="AK23" i="130"/>
  <c r="AJ23" i="130"/>
  <c r="AI23" i="130"/>
  <c r="AH23" i="130"/>
  <c r="AG23" i="130"/>
  <c r="AF23" i="130"/>
  <c r="AE23" i="130"/>
  <c r="AD23" i="130"/>
  <c r="AC23" i="130"/>
  <c r="AB23" i="130"/>
  <c r="AA23" i="130"/>
  <c r="AR22" i="130"/>
  <c r="AQ22" i="130"/>
  <c r="AP22" i="130"/>
  <c r="AO22" i="130"/>
  <c r="AN22" i="130"/>
  <c r="AM22" i="130"/>
  <c r="AL22" i="130"/>
  <c r="AK22" i="130"/>
  <c r="AJ22" i="130"/>
  <c r="AI22" i="130"/>
  <c r="AH22" i="130"/>
  <c r="AG22" i="130"/>
  <c r="AF22" i="130"/>
  <c r="AE22" i="130"/>
  <c r="AD22" i="130"/>
  <c r="AC22" i="130"/>
  <c r="AB22" i="130"/>
  <c r="AA22" i="130"/>
  <c r="AR21" i="130"/>
  <c r="AQ21" i="130"/>
  <c r="AP21" i="130"/>
  <c r="AO21" i="130"/>
  <c r="AN21" i="130"/>
  <c r="AM21" i="130"/>
  <c r="AL21" i="130"/>
  <c r="AK21" i="130"/>
  <c r="AJ21" i="130"/>
  <c r="AI21" i="130"/>
  <c r="AH21" i="130"/>
  <c r="AG21" i="130"/>
  <c r="AF21" i="130"/>
  <c r="AE21" i="130"/>
  <c r="AD21" i="130"/>
  <c r="AC21" i="130"/>
  <c r="AB21" i="130"/>
  <c r="AA21" i="130"/>
  <c r="AR20" i="130"/>
  <c r="AQ20" i="130"/>
  <c r="AP20" i="130"/>
  <c r="AO20" i="130"/>
  <c r="AN20" i="130"/>
  <c r="AM20" i="130"/>
  <c r="AL20" i="130"/>
  <c r="AK20" i="130"/>
  <c r="AJ20" i="130"/>
  <c r="AI20" i="130"/>
  <c r="AH20" i="130"/>
  <c r="AG20" i="130"/>
  <c r="AF20" i="130"/>
  <c r="AE20" i="130"/>
  <c r="AD20" i="130"/>
  <c r="AC20" i="130"/>
  <c r="AB20" i="130"/>
  <c r="AA20" i="130"/>
  <c r="AR19" i="130"/>
  <c r="AQ19" i="130"/>
  <c r="AP19" i="130"/>
  <c r="AO19" i="130"/>
  <c r="AN19" i="130"/>
  <c r="AM19" i="130"/>
  <c r="AL19" i="130"/>
  <c r="AK19" i="130"/>
  <c r="AJ19" i="130"/>
  <c r="AI19" i="130"/>
  <c r="AH19" i="130"/>
  <c r="AG19" i="130"/>
  <c r="AF19" i="130"/>
  <c r="AE19" i="130"/>
  <c r="AD19" i="130"/>
  <c r="AC19" i="130"/>
  <c r="AB19" i="130"/>
  <c r="AA19" i="130"/>
  <c r="AR18" i="130"/>
  <c r="AQ18" i="130"/>
  <c r="AP18" i="130"/>
  <c r="AO18" i="130"/>
  <c r="AN18" i="130"/>
  <c r="AM18" i="130"/>
  <c r="AL18" i="130"/>
  <c r="AK18" i="130"/>
  <c r="AJ18" i="130"/>
  <c r="AI18" i="130"/>
  <c r="AH18" i="130"/>
  <c r="AG18" i="130"/>
  <c r="AF18" i="130"/>
  <c r="AE18" i="130"/>
  <c r="AD18" i="130"/>
  <c r="AC18" i="130"/>
  <c r="AB18" i="130"/>
  <c r="AA18" i="130"/>
  <c r="AR17" i="130"/>
  <c r="AQ17" i="130"/>
  <c r="AP17" i="130"/>
  <c r="AO17" i="130"/>
  <c r="AN17" i="130"/>
  <c r="AM17" i="130"/>
  <c r="AL17" i="130"/>
  <c r="AK17" i="130"/>
  <c r="AJ17" i="130"/>
  <c r="AI17" i="130"/>
  <c r="AH17" i="130"/>
  <c r="AG17" i="130"/>
  <c r="AF17" i="130"/>
  <c r="AE17" i="130"/>
  <c r="AD17" i="130"/>
  <c r="AC17" i="130"/>
  <c r="AB17" i="130"/>
  <c r="AA17" i="130"/>
  <c r="AR16" i="130"/>
  <c r="AQ16" i="130"/>
  <c r="AP16" i="130"/>
  <c r="AO16" i="130"/>
  <c r="AN16" i="130"/>
  <c r="AM16" i="130"/>
  <c r="AL16" i="130"/>
  <c r="AK16" i="130"/>
  <c r="AJ16" i="130"/>
  <c r="AI16" i="130"/>
  <c r="AH16" i="130"/>
  <c r="AG16" i="130"/>
  <c r="AF16" i="130"/>
  <c r="AE16" i="130"/>
  <c r="AD16" i="130"/>
  <c r="AC16" i="130"/>
  <c r="AB16" i="130"/>
  <c r="AA16" i="130"/>
  <c r="AR15" i="130"/>
  <c r="AQ15" i="130"/>
  <c r="AP15" i="130"/>
  <c r="AO15" i="130"/>
  <c r="AN15" i="130"/>
  <c r="AM15" i="130"/>
  <c r="AL15" i="130"/>
  <c r="AK15" i="130"/>
  <c r="AJ15" i="130"/>
  <c r="AI15" i="130"/>
  <c r="AH15" i="130"/>
  <c r="AG15" i="130"/>
  <c r="AF15" i="130"/>
  <c r="AE15" i="130"/>
  <c r="AD15" i="130"/>
  <c r="AC15" i="130"/>
  <c r="AB15" i="130"/>
  <c r="AA15" i="130"/>
  <c r="AR14" i="130"/>
  <c r="AQ14" i="130"/>
  <c r="AP14" i="130"/>
  <c r="AO14" i="130"/>
  <c r="AN14" i="130"/>
  <c r="AM14" i="130"/>
  <c r="AL14" i="130"/>
  <c r="AK14" i="130"/>
  <c r="AJ14" i="130"/>
  <c r="AI14" i="130"/>
  <c r="AH14" i="130"/>
  <c r="AG14" i="130"/>
  <c r="AF14" i="130"/>
  <c r="AE14" i="130"/>
  <c r="AD14" i="130"/>
  <c r="AC14" i="130"/>
  <c r="AB14" i="130"/>
  <c r="AA14" i="130"/>
  <c r="AR13" i="130"/>
  <c r="AQ13" i="130"/>
  <c r="AP13" i="130"/>
  <c r="AO13" i="130"/>
  <c r="AN13" i="130"/>
  <c r="AM13" i="130"/>
  <c r="AL13" i="130"/>
  <c r="AK13" i="130"/>
  <c r="AJ13" i="130"/>
  <c r="AI13" i="130"/>
  <c r="AH13" i="130"/>
  <c r="AG13" i="130"/>
  <c r="AF13" i="130"/>
  <c r="AE13" i="130"/>
  <c r="AD13" i="130"/>
  <c r="AC13" i="130"/>
  <c r="AB13" i="130"/>
  <c r="AA13" i="130"/>
  <c r="AR12" i="130"/>
  <c r="AQ12" i="130"/>
  <c r="AP12" i="130"/>
  <c r="AO12" i="130"/>
  <c r="AN12" i="130"/>
  <c r="AM12" i="130"/>
  <c r="AL12" i="130"/>
  <c r="AK12" i="130"/>
  <c r="AJ12" i="130"/>
  <c r="AI12" i="130"/>
  <c r="AH12" i="130"/>
  <c r="AG12" i="130"/>
  <c r="AF12" i="130"/>
  <c r="AE12" i="130"/>
  <c r="AD12" i="130"/>
  <c r="AC12" i="130"/>
  <c r="AB12" i="130"/>
  <c r="AA12" i="130"/>
  <c r="AR11" i="130"/>
  <c r="AQ11" i="130"/>
  <c r="AP11" i="130"/>
  <c r="AO11" i="130"/>
  <c r="AN11" i="130"/>
  <c r="AM11" i="130"/>
  <c r="AL11" i="130"/>
  <c r="AK11" i="130"/>
  <c r="AJ11" i="130"/>
  <c r="AI11" i="130"/>
  <c r="AH11" i="130"/>
  <c r="AG11" i="130"/>
  <c r="AF11" i="130"/>
  <c r="AE11" i="130"/>
  <c r="AD11" i="130"/>
  <c r="AC11" i="130"/>
  <c r="AB11" i="130"/>
  <c r="AA11" i="130"/>
  <c r="AR10" i="130"/>
  <c r="AQ10" i="130"/>
  <c r="AP10" i="130"/>
  <c r="AO10" i="130"/>
  <c r="AN10" i="130"/>
  <c r="AM10" i="130"/>
  <c r="AL10" i="130"/>
  <c r="AK10" i="130"/>
  <c r="AJ10" i="130"/>
  <c r="AI10" i="130"/>
  <c r="AH10" i="130"/>
  <c r="AG10" i="130"/>
  <c r="AF10" i="130"/>
  <c r="AE10" i="130"/>
  <c r="AD10" i="130"/>
  <c r="AC10" i="130"/>
  <c r="AB10" i="130"/>
  <c r="AA10" i="130"/>
  <c r="AR9" i="130"/>
  <c r="AQ9" i="130"/>
  <c r="AP9" i="130"/>
  <c r="AO9" i="130"/>
  <c r="AN9" i="130"/>
  <c r="AM9" i="130"/>
  <c r="AL9" i="130"/>
  <c r="AK9" i="130"/>
  <c r="AJ9" i="130"/>
  <c r="AI9" i="130"/>
  <c r="AH9" i="130"/>
  <c r="AG9" i="130"/>
  <c r="AF9" i="130"/>
  <c r="AE9" i="130"/>
  <c r="AD9" i="130"/>
  <c r="AC9" i="130"/>
  <c r="AB9" i="130"/>
  <c r="AA9" i="130"/>
  <c r="AR8" i="130"/>
  <c r="AQ8" i="130"/>
  <c r="AP8" i="130"/>
  <c r="AO8" i="130"/>
  <c r="AN8" i="130"/>
  <c r="AM8" i="130"/>
  <c r="AL8" i="130"/>
  <c r="AK8" i="130"/>
  <c r="AJ8" i="130"/>
  <c r="AI8" i="130"/>
  <c r="AH8" i="130"/>
  <c r="AG8" i="130"/>
  <c r="AF8" i="130"/>
  <c r="AE8" i="130"/>
  <c r="AD8" i="130"/>
  <c r="AC8" i="130"/>
  <c r="AB8" i="130"/>
  <c r="AA8" i="130"/>
  <c r="AR7" i="130"/>
  <c r="AQ7" i="130"/>
  <c r="AP7" i="130"/>
  <c r="AO7" i="130"/>
  <c r="AN7" i="130"/>
  <c r="AM7" i="130"/>
  <c r="AL7" i="130"/>
  <c r="AK7" i="130"/>
  <c r="AJ7" i="130"/>
  <c r="AI7" i="130"/>
  <c r="AH7" i="130"/>
  <c r="AG7" i="130"/>
  <c r="AF7" i="130"/>
  <c r="AE7" i="130"/>
  <c r="AD7" i="130"/>
  <c r="AC7" i="130"/>
  <c r="AB7" i="130"/>
  <c r="AA7" i="130"/>
  <c r="AR6" i="130"/>
  <c r="AQ6" i="130"/>
  <c r="AP6" i="130"/>
  <c r="AO6" i="130"/>
  <c r="AN6" i="130"/>
  <c r="AM6" i="130"/>
  <c r="AL6" i="130"/>
  <c r="AK6" i="130"/>
  <c r="AJ6" i="130"/>
  <c r="AI6" i="130"/>
  <c r="AH6" i="130"/>
  <c r="AG6" i="130"/>
  <c r="AF6" i="130"/>
  <c r="AE6" i="130"/>
  <c r="AD6" i="130"/>
  <c r="AC6" i="130"/>
  <c r="AB6" i="130"/>
  <c r="AA6" i="130"/>
  <c r="AR5" i="130"/>
  <c r="AQ5" i="130"/>
  <c r="AP5" i="130"/>
  <c r="AO5" i="130"/>
  <c r="AN5" i="130"/>
  <c r="AM5" i="130"/>
  <c r="AL5" i="130"/>
  <c r="AK5" i="130"/>
  <c r="AJ5" i="130"/>
  <c r="AI5" i="130"/>
  <c r="AH5" i="130"/>
  <c r="AG5" i="130"/>
  <c r="AF5" i="130"/>
  <c r="AE5" i="130"/>
  <c r="AD5" i="130"/>
  <c r="AC5" i="130"/>
  <c r="AB5" i="130"/>
  <c r="AA5" i="130"/>
  <c r="AR4" i="130"/>
  <c r="AQ4" i="130"/>
  <c r="AP4" i="130"/>
  <c r="AO4" i="130"/>
  <c r="AN4" i="130"/>
  <c r="AM4" i="130"/>
  <c r="AL4" i="130"/>
  <c r="AK4" i="130"/>
  <c r="AJ4" i="130"/>
  <c r="AI4" i="130"/>
  <c r="AH4" i="130"/>
  <c r="AG4" i="130"/>
  <c r="AF4" i="130"/>
  <c r="AE4" i="130"/>
  <c r="AD4" i="130"/>
  <c r="AC4" i="130"/>
  <c r="AB4" i="130"/>
  <c r="AA4" i="130"/>
  <c r="X2" i="130"/>
  <c r="AN27" i="129"/>
  <c r="AM27" i="129"/>
  <c r="AL27" i="129"/>
  <c r="AK27" i="129"/>
  <c r="AJ27" i="129"/>
  <c r="AI27" i="129"/>
  <c r="AH27" i="129"/>
  <c r="AG27" i="129"/>
  <c r="AF27" i="129"/>
  <c r="AE27" i="129"/>
  <c r="AD27" i="129"/>
  <c r="AC27" i="129"/>
  <c r="AB27" i="129"/>
  <c r="AA27" i="129"/>
  <c r="Z27" i="129"/>
  <c r="Y27" i="129"/>
  <c r="AN26" i="129"/>
  <c r="AM26" i="129"/>
  <c r="AL26" i="129"/>
  <c r="AK26" i="129"/>
  <c r="AJ26" i="129"/>
  <c r="AI26" i="129"/>
  <c r="AH26" i="129"/>
  <c r="AG26" i="129"/>
  <c r="AF26" i="129"/>
  <c r="AE26" i="129"/>
  <c r="AD26" i="129"/>
  <c r="AC26" i="129"/>
  <c r="AB26" i="129"/>
  <c r="AA26" i="129"/>
  <c r="Z26" i="129"/>
  <c r="Y26" i="129"/>
  <c r="AN25" i="129"/>
  <c r="AM25" i="129"/>
  <c r="AL25" i="129"/>
  <c r="AK25" i="129"/>
  <c r="AJ25" i="129"/>
  <c r="AI25" i="129"/>
  <c r="AH25" i="129"/>
  <c r="AG25" i="129"/>
  <c r="AF25" i="129"/>
  <c r="AE25" i="129"/>
  <c r="AD25" i="129"/>
  <c r="AC25" i="129"/>
  <c r="AB25" i="129"/>
  <c r="AA25" i="129"/>
  <c r="Z25" i="129"/>
  <c r="Y25" i="129"/>
  <c r="AN24" i="129"/>
  <c r="AM24" i="129"/>
  <c r="AL24" i="129"/>
  <c r="AK24" i="129"/>
  <c r="AJ24" i="129"/>
  <c r="AI24" i="129"/>
  <c r="AH24" i="129"/>
  <c r="AG24" i="129"/>
  <c r="AF24" i="129"/>
  <c r="AE24" i="129"/>
  <c r="AD24" i="129"/>
  <c r="AC24" i="129"/>
  <c r="AB24" i="129"/>
  <c r="AA24" i="129"/>
  <c r="Z24" i="129"/>
  <c r="Y24" i="129"/>
  <c r="AN23" i="129"/>
  <c r="AM23" i="129"/>
  <c r="AL23" i="129"/>
  <c r="AK23" i="129"/>
  <c r="AJ23" i="129"/>
  <c r="AI23" i="129"/>
  <c r="AH23" i="129"/>
  <c r="AG23" i="129"/>
  <c r="AF23" i="129"/>
  <c r="AE23" i="129"/>
  <c r="AD23" i="129"/>
  <c r="AC23" i="129"/>
  <c r="AB23" i="129"/>
  <c r="AA23" i="129"/>
  <c r="Z23" i="129"/>
  <c r="Y23" i="129"/>
  <c r="AN22" i="129"/>
  <c r="AM22" i="129"/>
  <c r="AL22" i="129"/>
  <c r="AK22" i="129"/>
  <c r="AJ22" i="129"/>
  <c r="AI22" i="129"/>
  <c r="AH22" i="129"/>
  <c r="AG22" i="129"/>
  <c r="AF22" i="129"/>
  <c r="AE22" i="129"/>
  <c r="AD22" i="129"/>
  <c r="AC22" i="129"/>
  <c r="AB22" i="129"/>
  <c r="AA22" i="129"/>
  <c r="Z22" i="129"/>
  <c r="Y22" i="129"/>
  <c r="AN21" i="129"/>
  <c r="AM21" i="129"/>
  <c r="AL21" i="129"/>
  <c r="AK21" i="129"/>
  <c r="AJ21" i="129"/>
  <c r="AI21" i="129"/>
  <c r="AH21" i="129"/>
  <c r="AG21" i="129"/>
  <c r="AF21" i="129"/>
  <c r="AE21" i="129"/>
  <c r="AD21" i="129"/>
  <c r="AC21" i="129"/>
  <c r="AB21" i="129"/>
  <c r="AA21" i="129"/>
  <c r="Z21" i="129"/>
  <c r="Y21" i="129"/>
  <c r="AN20" i="129"/>
  <c r="AM20" i="129"/>
  <c r="AL20" i="129"/>
  <c r="AK20" i="129"/>
  <c r="AJ20" i="129"/>
  <c r="AI20" i="129"/>
  <c r="AH20" i="129"/>
  <c r="AG20" i="129"/>
  <c r="AF20" i="129"/>
  <c r="AE20" i="129"/>
  <c r="AD20" i="129"/>
  <c r="AC20" i="129"/>
  <c r="AB20" i="129"/>
  <c r="AA20" i="129"/>
  <c r="Z20" i="129"/>
  <c r="Y20" i="129"/>
  <c r="AN19" i="129"/>
  <c r="AM19" i="129"/>
  <c r="AL19" i="129"/>
  <c r="AK19" i="129"/>
  <c r="AJ19" i="129"/>
  <c r="AI19" i="129"/>
  <c r="AH19" i="129"/>
  <c r="AG19" i="129"/>
  <c r="AF19" i="129"/>
  <c r="AE19" i="129"/>
  <c r="AD19" i="129"/>
  <c r="AC19" i="129"/>
  <c r="AB19" i="129"/>
  <c r="AA19" i="129"/>
  <c r="Z19" i="129"/>
  <c r="Y19" i="129"/>
  <c r="AN18" i="129"/>
  <c r="AM18" i="129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Z18" i="129"/>
  <c r="Y18" i="129"/>
  <c r="AN17" i="129"/>
  <c r="AM17" i="129"/>
  <c r="AL17" i="129"/>
  <c r="AK17" i="129"/>
  <c r="AJ17" i="129"/>
  <c r="AI17" i="129"/>
  <c r="AH17" i="129"/>
  <c r="AG17" i="129"/>
  <c r="AF17" i="129"/>
  <c r="AE17" i="129"/>
  <c r="AD17" i="129"/>
  <c r="AC17" i="129"/>
  <c r="AB17" i="129"/>
  <c r="AA17" i="129"/>
  <c r="Z17" i="129"/>
  <c r="Y17" i="129"/>
  <c r="AN16" i="129"/>
  <c r="AM16" i="129"/>
  <c r="AL16" i="129"/>
  <c r="AK16" i="129"/>
  <c r="AJ16" i="129"/>
  <c r="AI16" i="129"/>
  <c r="AH16" i="129"/>
  <c r="AG16" i="129"/>
  <c r="AF16" i="129"/>
  <c r="AE16" i="129"/>
  <c r="AD16" i="129"/>
  <c r="AC16" i="129"/>
  <c r="AB16" i="129"/>
  <c r="AA16" i="129"/>
  <c r="Z16" i="129"/>
  <c r="Y16" i="129"/>
  <c r="AN15" i="129"/>
  <c r="AM15" i="129"/>
  <c r="AL15" i="129"/>
  <c r="AK15" i="129"/>
  <c r="AJ15" i="129"/>
  <c r="AI15" i="129"/>
  <c r="AH15" i="129"/>
  <c r="AG15" i="129"/>
  <c r="AF15" i="129"/>
  <c r="AE15" i="129"/>
  <c r="AD15" i="129"/>
  <c r="AC15" i="129"/>
  <c r="AB15" i="129"/>
  <c r="AA15" i="129"/>
  <c r="Z15" i="129"/>
  <c r="Y15" i="129"/>
  <c r="AN14" i="129"/>
  <c r="AM14" i="129"/>
  <c r="AL14" i="129"/>
  <c r="AK14" i="129"/>
  <c r="AJ14" i="129"/>
  <c r="AI14" i="129"/>
  <c r="AH14" i="129"/>
  <c r="AG14" i="129"/>
  <c r="AF14" i="129"/>
  <c r="AE14" i="129"/>
  <c r="AD14" i="129"/>
  <c r="AC14" i="129"/>
  <c r="AB14" i="129"/>
  <c r="AA14" i="129"/>
  <c r="Z14" i="129"/>
  <c r="Y14" i="129"/>
  <c r="AN13" i="129"/>
  <c r="AM13" i="129"/>
  <c r="AL13" i="129"/>
  <c r="AK13" i="129"/>
  <c r="AJ13" i="129"/>
  <c r="AI13" i="129"/>
  <c r="AH13" i="129"/>
  <c r="AG13" i="129"/>
  <c r="AF13" i="129"/>
  <c r="AE13" i="129"/>
  <c r="AD13" i="129"/>
  <c r="AC13" i="129"/>
  <c r="AB13" i="129"/>
  <c r="AA13" i="129"/>
  <c r="Z13" i="129"/>
  <c r="Y13" i="129"/>
  <c r="AN12" i="129"/>
  <c r="AM12" i="129"/>
  <c r="AL12" i="129"/>
  <c r="AK12" i="129"/>
  <c r="AJ12" i="129"/>
  <c r="AI12" i="129"/>
  <c r="AH12" i="129"/>
  <c r="AG12" i="129"/>
  <c r="AF12" i="129"/>
  <c r="AE12" i="129"/>
  <c r="AD12" i="129"/>
  <c r="AC12" i="129"/>
  <c r="AB12" i="129"/>
  <c r="AA12" i="129"/>
  <c r="Z12" i="129"/>
  <c r="Y12" i="129"/>
  <c r="AN11" i="129"/>
  <c r="AM11" i="129"/>
  <c r="AL11" i="129"/>
  <c r="AK11" i="129"/>
  <c r="AJ11" i="129"/>
  <c r="AI11" i="129"/>
  <c r="AH11" i="129"/>
  <c r="AG11" i="129"/>
  <c r="AF11" i="129"/>
  <c r="AE11" i="129"/>
  <c r="AD11" i="129"/>
  <c r="AC11" i="129"/>
  <c r="AB11" i="129"/>
  <c r="AA11" i="129"/>
  <c r="Z11" i="129"/>
  <c r="Y11" i="129"/>
  <c r="AN10" i="129"/>
  <c r="AM10" i="129"/>
  <c r="AL10" i="129"/>
  <c r="AK10" i="129"/>
  <c r="AJ10" i="129"/>
  <c r="AI10" i="129"/>
  <c r="AH10" i="129"/>
  <c r="AG10" i="129"/>
  <c r="AF10" i="129"/>
  <c r="AE10" i="129"/>
  <c r="AD10" i="129"/>
  <c r="AC10" i="129"/>
  <c r="AB10" i="129"/>
  <c r="AA10" i="129"/>
  <c r="Z10" i="129"/>
  <c r="Y10" i="129"/>
  <c r="AN9" i="129"/>
  <c r="AM9" i="129"/>
  <c r="AL9" i="129"/>
  <c r="AK9" i="129"/>
  <c r="AJ9" i="129"/>
  <c r="AI9" i="129"/>
  <c r="AH9" i="129"/>
  <c r="AG9" i="129"/>
  <c r="AF9" i="129"/>
  <c r="AE9" i="129"/>
  <c r="AD9" i="129"/>
  <c r="AC9" i="129"/>
  <c r="AB9" i="129"/>
  <c r="AA9" i="129"/>
  <c r="Z9" i="129"/>
  <c r="Y9" i="129"/>
  <c r="AN8" i="129"/>
  <c r="AM8" i="129"/>
  <c r="AL8" i="129"/>
  <c r="AK8" i="129"/>
  <c r="AJ8" i="129"/>
  <c r="AI8" i="129"/>
  <c r="AH8" i="129"/>
  <c r="AG8" i="129"/>
  <c r="AF8" i="129"/>
  <c r="AE8" i="129"/>
  <c r="AD8" i="129"/>
  <c r="AC8" i="129"/>
  <c r="AB8" i="129"/>
  <c r="AA8" i="129"/>
  <c r="Z8" i="129"/>
  <c r="Y8" i="129"/>
  <c r="AN7" i="129"/>
  <c r="AM7" i="129"/>
  <c r="AL7" i="129"/>
  <c r="AK7" i="129"/>
  <c r="AJ7" i="129"/>
  <c r="AI7" i="129"/>
  <c r="AH7" i="129"/>
  <c r="AG7" i="129"/>
  <c r="AF7" i="129"/>
  <c r="AE7" i="129"/>
  <c r="AD7" i="129"/>
  <c r="AC7" i="129"/>
  <c r="AB7" i="129"/>
  <c r="AA7" i="129"/>
  <c r="Z7" i="129"/>
  <c r="Y7" i="129"/>
  <c r="AN6" i="129"/>
  <c r="AM6" i="129"/>
  <c r="AL6" i="129"/>
  <c r="AK6" i="129"/>
  <c r="AJ6" i="129"/>
  <c r="AI6" i="129"/>
  <c r="AH6" i="129"/>
  <c r="AG6" i="129"/>
  <c r="AF6" i="129"/>
  <c r="AE6" i="129"/>
  <c r="AD6" i="129"/>
  <c r="AC6" i="129"/>
  <c r="AB6" i="129"/>
  <c r="AA6" i="129"/>
  <c r="Z6" i="129"/>
  <c r="Y6" i="129"/>
  <c r="AN5" i="129"/>
  <c r="AM5" i="129"/>
  <c r="AL5" i="129"/>
  <c r="AK5" i="129"/>
  <c r="AJ5" i="129"/>
  <c r="AI5" i="129"/>
  <c r="AH5" i="129"/>
  <c r="AG5" i="129"/>
  <c r="AF5" i="129"/>
  <c r="AE5" i="129"/>
  <c r="AD5" i="129"/>
  <c r="AC5" i="129"/>
  <c r="AB5" i="129"/>
  <c r="AA5" i="129"/>
  <c r="Z5" i="129"/>
  <c r="Y5" i="129"/>
  <c r="AN4" i="129"/>
  <c r="AM4" i="129"/>
  <c r="AL4" i="129"/>
  <c r="AK4" i="129"/>
  <c r="AJ4" i="129"/>
  <c r="AI4" i="129"/>
  <c r="AH4" i="129"/>
  <c r="AG4" i="129"/>
  <c r="AF4" i="129"/>
  <c r="AE4" i="129"/>
  <c r="AD4" i="129"/>
  <c r="AC4" i="129"/>
  <c r="AB4" i="129"/>
  <c r="AA4" i="129"/>
  <c r="Z4" i="129"/>
  <c r="Y4" i="129"/>
  <c r="V2" i="129"/>
  <c r="Y31" i="130" l="1"/>
  <c r="Y30" i="130"/>
  <c r="W30" i="129"/>
  <c r="W31" i="129"/>
  <c r="W29" i="129"/>
  <c r="Y29" i="130"/>
  <c r="AR27" i="128"/>
  <c r="AQ27" i="128"/>
  <c r="AP27" i="128"/>
  <c r="AO27" i="128"/>
  <c r="AN27" i="128"/>
  <c r="AM27" i="128"/>
  <c r="AL27" i="128"/>
  <c r="AK27" i="128"/>
  <c r="AJ27" i="128"/>
  <c r="AI27" i="128"/>
  <c r="AH27" i="128"/>
  <c r="AG27" i="128"/>
  <c r="AF27" i="128"/>
  <c r="AE27" i="128"/>
  <c r="AD27" i="128"/>
  <c r="AC27" i="128"/>
  <c r="AB27" i="128"/>
  <c r="AA27" i="128"/>
  <c r="AR26" i="128"/>
  <c r="AQ26" i="128"/>
  <c r="AP26" i="128"/>
  <c r="AO26" i="128"/>
  <c r="AN26" i="128"/>
  <c r="AM26" i="128"/>
  <c r="AL26" i="128"/>
  <c r="AK26" i="128"/>
  <c r="AJ26" i="128"/>
  <c r="AI26" i="128"/>
  <c r="AH26" i="128"/>
  <c r="AG26" i="128"/>
  <c r="AF26" i="128"/>
  <c r="AE26" i="128"/>
  <c r="AD26" i="128"/>
  <c r="AC26" i="128"/>
  <c r="AB26" i="128"/>
  <c r="AA26" i="128"/>
  <c r="AR25" i="128"/>
  <c r="AQ25" i="128"/>
  <c r="AP25" i="128"/>
  <c r="AO25" i="128"/>
  <c r="AN25" i="128"/>
  <c r="AM25" i="128"/>
  <c r="AL25" i="128"/>
  <c r="AK25" i="128"/>
  <c r="AJ25" i="128"/>
  <c r="AI25" i="128"/>
  <c r="AH25" i="128"/>
  <c r="AG25" i="128"/>
  <c r="AF25" i="128"/>
  <c r="AE25" i="128"/>
  <c r="AD25" i="128"/>
  <c r="AC25" i="128"/>
  <c r="AB25" i="128"/>
  <c r="AA25" i="128"/>
  <c r="AR24" i="128"/>
  <c r="AQ24" i="128"/>
  <c r="AP24" i="128"/>
  <c r="AO24" i="128"/>
  <c r="AN24" i="128"/>
  <c r="AM24" i="128"/>
  <c r="AL24" i="128"/>
  <c r="AK24" i="128"/>
  <c r="AJ24" i="128"/>
  <c r="AI24" i="128"/>
  <c r="AH24" i="128"/>
  <c r="AG24" i="128"/>
  <c r="AF24" i="128"/>
  <c r="AE24" i="128"/>
  <c r="AD24" i="128"/>
  <c r="AC24" i="128"/>
  <c r="AB24" i="128"/>
  <c r="AA24" i="128"/>
  <c r="AR23" i="128"/>
  <c r="AQ23" i="128"/>
  <c r="AP23" i="128"/>
  <c r="AO23" i="128"/>
  <c r="AN23" i="128"/>
  <c r="AM23" i="128"/>
  <c r="AL23" i="128"/>
  <c r="AK23" i="128"/>
  <c r="AJ23" i="128"/>
  <c r="AI23" i="128"/>
  <c r="AH23" i="128"/>
  <c r="AG23" i="128"/>
  <c r="AF23" i="128"/>
  <c r="AE23" i="128"/>
  <c r="AD23" i="128"/>
  <c r="AC23" i="128"/>
  <c r="AB23" i="128"/>
  <c r="AA23" i="128"/>
  <c r="AR22" i="128"/>
  <c r="AQ22" i="128"/>
  <c r="AP22" i="128"/>
  <c r="AO22" i="128"/>
  <c r="AN22" i="128"/>
  <c r="AM22" i="128"/>
  <c r="AL22" i="128"/>
  <c r="AK22" i="128"/>
  <c r="AJ22" i="128"/>
  <c r="AI22" i="128"/>
  <c r="AH22" i="128"/>
  <c r="AG22" i="128"/>
  <c r="AF22" i="128"/>
  <c r="AE22" i="128"/>
  <c r="AD22" i="128"/>
  <c r="AC22" i="128"/>
  <c r="AB22" i="128"/>
  <c r="AA22" i="128"/>
  <c r="AR21" i="128"/>
  <c r="AQ21" i="128"/>
  <c r="AP21" i="128"/>
  <c r="AO21" i="128"/>
  <c r="AN21" i="128"/>
  <c r="AM21" i="128"/>
  <c r="AL21" i="128"/>
  <c r="AK21" i="128"/>
  <c r="AJ21" i="128"/>
  <c r="AI21" i="128"/>
  <c r="AH21" i="128"/>
  <c r="AG21" i="128"/>
  <c r="AF21" i="128"/>
  <c r="AE21" i="128"/>
  <c r="AD21" i="128"/>
  <c r="AC21" i="128"/>
  <c r="AB21" i="128"/>
  <c r="AA21" i="128"/>
  <c r="AR20" i="128"/>
  <c r="AQ20" i="128"/>
  <c r="AP20" i="128"/>
  <c r="AO20" i="128"/>
  <c r="AN20" i="128"/>
  <c r="AM20" i="128"/>
  <c r="AL20" i="128"/>
  <c r="AK20" i="128"/>
  <c r="AJ20" i="128"/>
  <c r="AI20" i="128"/>
  <c r="AH20" i="128"/>
  <c r="AG20" i="128"/>
  <c r="AF20" i="128"/>
  <c r="AE20" i="128"/>
  <c r="AD20" i="128"/>
  <c r="AC20" i="128"/>
  <c r="AB20" i="128"/>
  <c r="AA20" i="128"/>
  <c r="AR19" i="128"/>
  <c r="AQ19" i="128"/>
  <c r="AP19" i="128"/>
  <c r="AO19" i="128"/>
  <c r="AN19" i="128"/>
  <c r="AM19" i="128"/>
  <c r="AL19" i="128"/>
  <c r="AK19" i="128"/>
  <c r="AJ19" i="128"/>
  <c r="AI19" i="128"/>
  <c r="AH19" i="128"/>
  <c r="AG19" i="128"/>
  <c r="AF19" i="128"/>
  <c r="AE19" i="128"/>
  <c r="AD19" i="128"/>
  <c r="AC19" i="128"/>
  <c r="AB19" i="128"/>
  <c r="AA19" i="128"/>
  <c r="AR18" i="128"/>
  <c r="AQ18" i="128"/>
  <c r="AP18" i="128"/>
  <c r="AO18" i="128"/>
  <c r="AN18" i="128"/>
  <c r="AM18" i="128"/>
  <c r="AL18" i="128"/>
  <c r="AK18" i="128"/>
  <c r="AJ18" i="128"/>
  <c r="AI18" i="128"/>
  <c r="AH18" i="128"/>
  <c r="AG18" i="128"/>
  <c r="AF18" i="128"/>
  <c r="AE18" i="128"/>
  <c r="AD18" i="128"/>
  <c r="AC18" i="128"/>
  <c r="AB18" i="128"/>
  <c r="AA18" i="128"/>
  <c r="AR17" i="128"/>
  <c r="AQ17" i="128"/>
  <c r="AP17" i="128"/>
  <c r="AO17" i="128"/>
  <c r="AN17" i="128"/>
  <c r="AM17" i="128"/>
  <c r="AL17" i="128"/>
  <c r="AK17" i="128"/>
  <c r="AJ17" i="128"/>
  <c r="AI17" i="128"/>
  <c r="AH17" i="128"/>
  <c r="AG17" i="128"/>
  <c r="AF17" i="128"/>
  <c r="AE17" i="128"/>
  <c r="AD17" i="128"/>
  <c r="AC17" i="128"/>
  <c r="AB17" i="128"/>
  <c r="AA17" i="128"/>
  <c r="AR16" i="128"/>
  <c r="AQ16" i="128"/>
  <c r="AP16" i="128"/>
  <c r="AO16" i="128"/>
  <c r="AN16" i="128"/>
  <c r="AM16" i="128"/>
  <c r="AL16" i="128"/>
  <c r="AK16" i="128"/>
  <c r="AJ16" i="128"/>
  <c r="AI16" i="128"/>
  <c r="AH16" i="128"/>
  <c r="AG16" i="128"/>
  <c r="AF16" i="128"/>
  <c r="AE16" i="128"/>
  <c r="AD16" i="128"/>
  <c r="AC16" i="128"/>
  <c r="AB16" i="128"/>
  <c r="AA16" i="128"/>
  <c r="AR15" i="128"/>
  <c r="AQ15" i="128"/>
  <c r="AP15" i="128"/>
  <c r="AO15" i="128"/>
  <c r="AN15" i="128"/>
  <c r="AM15" i="128"/>
  <c r="AL15" i="128"/>
  <c r="AK15" i="128"/>
  <c r="AJ15" i="128"/>
  <c r="AI15" i="128"/>
  <c r="AH15" i="128"/>
  <c r="AG15" i="128"/>
  <c r="AF15" i="128"/>
  <c r="AE15" i="128"/>
  <c r="AD15" i="128"/>
  <c r="AC15" i="128"/>
  <c r="AB15" i="128"/>
  <c r="AA15" i="128"/>
  <c r="AR14" i="128"/>
  <c r="AQ14" i="128"/>
  <c r="AP14" i="128"/>
  <c r="AO14" i="128"/>
  <c r="AN14" i="128"/>
  <c r="AM14" i="128"/>
  <c r="AL14" i="128"/>
  <c r="AK14" i="128"/>
  <c r="AJ14" i="128"/>
  <c r="AI14" i="128"/>
  <c r="AH14" i="128"/>
  <c r="AG14" i="128"/>
  <c r="AF14" i="128"/>
  <c r="AE14" i="128"/>
  <c r="AD14" i="128"/>
  <c r="AC14" i="128"/>
  <c r="AB14" i="128"/>
  <c r="AA14" i="128"/>
  <c r="AR13" i="128"/>
  <c r="AQ13" i="128"/>
  <c r="AP13" i="128"/>
  <c r="AO13" i="128"/>
  <c r="AN13" i="128"/>
  <c r="AM13" i="128"/>
  <c r="AL13" i="128"/>
  <c r="AK13" i="128"/>
  <c r="AJ13" i="128"/>
  <c r="AI13" i="128"/>
  <c r="AH13" i="128"/>
  <c r="AG13" i="128"/>
  <c r="AF13" i="128"/>
  <c r="AE13" i="128"/>
  <c r="AD13" i="128"/>
  <c r="AC13" i="128"/>
  <c r="AB13" i="128"/>
  <c r="AA13" i="128"/>
  <c r="AR12" i="128"/>
  <c r="AQ12" i="128"/>
  <c r="AP12" i="128"/>
  <c r="AO12" i="128"/>
  <c r="AN12" i="128"/>
  <c r="AM12" i="128"/>
  <c r="AL12" i="128"/>
  <c r="AK12" i="128"/>
  <c r="AJ12" i="128"/>
  <c r="AI12" i="128"/>
  <c r="AH12" i="128"/>
  <c r="AG12" i="128"/>
  <c r="AF12" i="128"/>
  <c r="AE12" i="128"/>
  <c r="AD12" i="128"/>
  <c r="AC12" i="128"/>
  <c r="AB12" i="128"/>
  <c r="AA12" i="128"/>
  <c r="AR11" i="128"/>
  <c r="AQ11" i="128"/>
  <c r="AP11" i="128"/>
  <c r="AO11" i="128"/>
  <c r="AN11" i="128"/>
  <c r="AM11" i="128"/>
  <c r="AL11" i="128"/>
  <c r="AK11" i="128"/>
  <c r="AJ11" i="128"/>
  <c r="AI11" i="128"/>
  <c r="AH11" i="128"/>
  <c r="AG11" i="128"/>
  <c r="AF11" i="128"/>
  <c r="AE11" i="128"/>
  <c r="AD11" i="128"/>
  <c r="AC11" i="128"/>
  <c r="AB11" i="128"/>
  <c r="AA11" i="128"/>
  <c r="AR10" i="128"/>
  <c r="AQ10" i="128"/>
  <c r="AP10" i="128"/>
  <c r="AO10" i="128"/>
  <c r="AN10" i="128"/>
  <c r="AM10" i="128"/>
  <c r="AL10" i="128"/>
  <c r="AK10" i="128"/>
  <c r="AJ10" i="128"/>
  <c r="AI10" i="128"/>
  <c r="AH10" i="128"/>
  <c r="AG10" i="128"/>
  <c r="AF10" i="128"/>
  <c r="AE10" i="128"/>
  <c r="AD10" i="128"/>
  <c r="AC10" i="128"/>
  <c r="AB10" i="128"/>
  <c r="AA10" i="128"/>
  <c r="AR9" i="128"/>
  <c r="AQ9" i="128"/>
  <c r="AP9" i="128"/>
  <c r="AO9" i="128"/>
  <c r="AN9" i="128"/>
  <c r="AM9" i="128"/>
  <c r="AL9" i="128"/>
  <c r="AK9" i="128"/>
  <c r="AJ9" i="128"/>
  <c r="AI9" i="128"/>
  <c r="AH9" i="128"/>
  <c r="AG9" i="128"/>
  <c r="AF9" i="128"/>
  <c r="AE9" i="128"/>
  <c r="AD9" i="128"/>
  <c r="AC9" i="128"/>
  <c r="AB9" i="128"/>
  <c r="AA9" i="128"/>
  <c r="AR8" i="128"/>
  <c r="AQ8" i="128"/>
  <c r="AP8" i="128"/>
  <c r="AO8" i="128"/>
  <c r="AN8" i="128"/>
  <c r="AM8" i="128"/>
  <c r="AL8" i="128"/>
  <c r="AK8" i="128"/>
  <c r="AJ8" i="128"/>
  <c r="AI8" i="128"/>
  <c r="AH8" i="128"/>
  <c r="AG8" i="128"/>
  <c r="AF8" i="128"/>
  <c r="AE8" i="128"/>
  <c r="AD8" i="128"/>
  <c r="AC8" i="128"/>
  <c r="AB8" i="128"/>
  <c r="AA8" i="128"/>
  <c r="AR7" i="128"/>
  <c r="AQ7" i="128"/>
  <c r="AP7" i="128"/>
  <c r="AO7" i="128"/>
  <c r="AN7" i="128"/>
  <c r="AM7" i="128"/>
  <c r="AL7" i="128"/>
  <c r="AK7" i="128"/>
  <c r="AJ7" i="128"/>
  <c r="AI7" i="128"/>
  <c r="AH7" i="128"/>
  <c r="AG7" i="128"/>
  <c r="AF7" i="128"/>
  <c r="AE7" i="128"/>
  <c r="AD7" i="128"/>
  <c r="AC7" i="128"/>
  <c r="AB7" i="128"/>
  <c r="AA7" i="128"/>
  <c r="AR6" i="128"/>
  <c r="AQ6" i="128"/>
  <c r="AP6" i="128"/>
  <c r="AO6" i="128"/>
  <c r="AN6" i="128"/>
  <c r="AM6" i="128"/>
  <c r="AL6" i="128"/>
  <c r="AK6" i="128"/>
  <c r="AJ6" i="128"/>
  <c r="AI6" i="128"/>
  <c r="AH6" i="128"/>
  <c r="AG6" i="128"/>
  <c r="AF6" i="128"/>
  <c r="AE6" i="128"/>
  <c r="AD6" i="128"/>
  <c r="AC6" i="128"/>
  <c r="AB6" i="128"/>
  <c r="AA6" i="128"/>
  <c r="AR5" i="128"/>
  <c r="AQ5" i="128"/>
  <c r="AP5" i="128"/>
  <c r="AO5" i="128"/>
  <c r="AN5" i="128"/>
  <c r="AM5" i="128"/>
  <c r="AL5" i="128"/>
  <c r="AK5" i="128"/>
  <c r="AJ5" i="128"/>
  <c r="AI5" i="128"/>
  <c r="AH5" i="128"/>
  <c r="AG5" i="128"/>
  <c r="AF5" i="128"/>
  <c r="AE5" i="128"/>
  <c r="AD5" i="128"/>
  <c r="AC5" i="128"/>
  <c r="AB5" i="128"/>
  <c r="AA5" i="128"/>
  <c r="AR4" i="128"/>
  <c r="AQ4" i="128"/>
  <c r="AP4" i="128"/>
  <c r="AO4" i="128"/>
  <c r="AN4" i="128"/>
  <c r="AM4" i="128"/>
  <c r="AL4" i="128"/>
  <c r="AK4" i="128"/>
  <c r="AJ4" i="128"/>
  <c r="AI4" i="128"/>
  <c r="AH4" i="128"/>
  <c r="AG4" i="128"/>
  <c r="AF4" i="128"/>
  <c r="AE4" i="128"/>
  <c r="AD4" i="128"/>
  <c r="AC4" i="128"/>
  <c r="AB4" i="128"/>
  <c r="AA4" i="128"/>
  <c r="X2" i="128"/>
  <c r="AN27" i="127"/>
  <c r="AM27" i="127"/>
  <c r="AL27" i="127"/>
  <c r="AK27" i="127"/>
  <c r="AJ27" i="127"/>
  <c r="AI27" i="127"/>
  <c r="AH27" i="127"/>
  <c r="AG27" i="127"/>
  <c r="AF27" i="127"/>
  <c r="AE27" i="127"/>
  <c r="AD27" i="127"/>
  <c r="AC27" i="127"/>
  <c r="AB27" i="127"/>
  <c r="AA27" i="127"/>
  <c r="Z27" i="127"/>
  <c r="Y27" i="127"/>
  <c r="AN26" i="127"/>
  <c r="AM26" i="127"/>
  <c r="AL26" i="127"/>
  <c r="AK26" i="127"/>
  <c r="AJ26" i="127"/>
  <c r="AI26" i="127"/>
  <c r="AH26" i="127"/>
  <c r="AG26" i="127"/>
  <c r="AF26" i="127"/>
  <c r="AE26" i="127"/>
  <c r="AD26" i="127"/>
  <c r="AC26" i="127"/>
  <c r="AB26" i="127"/>
  <c r="AA26" i="127"/>
  <c r="Z26" i="127"/>
  <c r="Y26" i="127"/>
  <c r="AN25" i="127"/>
  <c r="AM25" i="127"/>
  <c r="AL25" i="127"/>
  <c r="AK25" i="127"/>
  <c r="AJ25" i="127"/>
  <c r="AI25" i="127"/>
  <c r="AH25" i="127"/>
  <c r="AG25" i="127"/>
  <c r="AF25" i="127"/>
  <c r="AE25" i="127"/>
  <c r="AD25" i="127"/>
  <c r="AC25" i="127"/>
  <c r="AB25" i="127"/>
  <c r="AA25" i="127"/>
  <c r="Z25" i="127"/>
  <c r="Y25" i="127"/>
  <c r="AN24" i="127"/>
  <c r="AM24" i="127"/>
  <c r="AL24" i="127"/>
  <c r="AK24" i="127"/>
  <c r="AJ24" i="127"/>
  <c r="AI24" i="127"/>
  <c r="AH24" i="127"/>
  <c r="AG24" i="127"/>
  <c r="AF24" i="127"/>
  <c r="AE24" i="127"/>
  <c r="AD24" i="127"/>
  <c r="AC24" i="127"/>
  <c r="AB24" i="127"/>
  <c r="AA24" i="127"/>
  <c r="Z24" i="127"/>
  <c r="Y24" i="127"/>
  <c r="AN23" i="127"/>
  <c r="AM23" i="127"/>
  <c r="AL23" i="127"/>
  <c r="AK23" i="127"/>
  <c r="AJ23" i="127"/>
  <c r="AI23" i="127"/>
  <c r="AH23" i="127"/>
  <c r="AG23" i="127"/>
  <c r="AF23" i="127"/>
  <c r="AE23" i="127"/>
  <c r="AD23" i="127"/>
  <c r="AC23" i="127"/>
  <c r="AB23" i="127"/>
  <c r="AA23" i="127"/>
  <c r="Z23" i="127"/>
  <c r="Y23" i="127"/>
  <c r="AN22" i="127"/>
  <c r="AM22" i="127"/>
  <c r="AL22" i="127"/>
  <c r="AK22" i="127"/>
  <c r="AJ22" i="127"/>
  <c r="AI22" i="127"/>
  <c r="AH22" i="127"/>
  <c r="AG22" i="127"/>
  <c r="AF22" i="127"/>
  <c r="AE22" i="127"/>
  <c r="AD22" i="127"/>
  <c r="AC22" i="127"/>
  <c r="AB22" i="127"/>
  <c r="AA22" i="127"/>
  <c r="Z22" i="127"/>
  <c r="Y22" i="127"/>
  <c r="AN21" i="127"/>
  <c r="AM21" i="127"/>
  <c r="AL21" i="127"/>
  <c r="AK21" i="127"/>
  <c r="AJ21" i="127"/>
  <c r="AI21" i="127"/>
  <c r="AH21" i="127"/>
  <c r="AG21" i="127"/>
  <c r="AF21" i="127"/>
  <c r="AE21" i="127"/>
  <c r="AD21" i="127"/>
  <c r="AC21" i="127"/>
  <c r="AB21" i="127"/>
  <c r="AA21" i="127"/>
  <c r="Z21" i="127"/>
  <c r="Y21" i="127"/>
  <c r="AN20" i="127"/>
  <c r="AM20" i="127"/>
  <c r="AL20" i="127"/>
  <c r="AK20" i="127"/>
  <c r="AJ20" i="127"/>
  <c r="AI20" i="127"/>
  <c r="AH20" i="127"/>
  <c r="AG20" i="127"/>
  <c r="AF20" i="127"/>
  <c r="AE20" i="127"/>
  <c r="AD20" i="127"/>
  <c r="AC20" i="127"/>
  <c r="AB20" i="127"/>
  <c r="AA20" i="127"/>
  <c r="Z20" i="127"/>
  <c r="Y20" i="127"/>
  <c r="AN19" i="127"/>
  <c r="AM19" i="127"/>
  <c r="AL19" i="127"/>
  <c r="AK19" i="127"/>
  <c r="AJ19" i="127"/>
  <c r="AI19" i="127"/>
  <c r="AH19" i="127"/>
  <c r="AG19" i="127"/>
  <c r="AF19" i="127"/>
  <c r="AE19" i="127"/>
  <c r="AD19" i="127"/>
  <c r="AC19" i="127"/>
  <c r="AB19" i="127"/>
  <c r="AA19" i="127"/>
  <c r="Z19" i="127"/>
  <c r="Y19" i="127"/>
  <c r="AN18" i="127"/>
  <c r="AM18" i="127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Z18" i="127"/>
  <c r="Y18" i="127"/>
  <c r="AN17" i="127"/>
  <c r="AM17" i="127"/>
  <c r="AL17" i="127"/>
  <c r="AK17" i="127"/>
  <c r="AJ17" i="127"/>
  <c r="AI17" i="127"/>
  <c r="AH17" i="127"/>
  <c r="AG17" i="127"/>
  <c r="AF17" i="127"/>
  <c r="AE17" i="127"/>
  <c r="AD17" i="127"/>
  <c r="AC17" i="127"/>
  <c r="AB17" i="127"/>
  <c r="AA17" i="127"/>
  <c r="Z17" i="127"/>
  <c r="Y17" i="127"/>
  <c r="AN16" i="127"/>
  <c r="AM16" i="127"/>
  <c r="AL16" i="127"/>
  <c r="AK16" i="127"/>
  <c r="AJ16" i="127"/>
  <c r="AI16" i="127"/>
  <c r="AH16" i="127"/>
  <c r="AG16" i="127"/>
  <c r="AF16" i="127"/>
  <c r="AE16" i="127"/>
  <c r="AD16" i="127"/>
  <c r="AC16" i="127"/>
  <c r="AB16" i="127"/>
  <c r="AA16" i="127"/>
  <c r="Z16" i="127"/>
  <c r="Y16" i="127"/>
  <c r="AN15" i="127"/>
  <c r="AM15" i="127"/>
  <c r="AL15" i="127"/>
  <c r="AK15" i="127"/>
  <c r="AJ15" i="127"/>
  <c r="AI15" i="127"/>
  <c r="AH15" i="127"/>
  <c r="AG15" i="127"/>
  <c r="AF15" i="127"/>
  <c r="AE15" i="127"/>
  <c r="AD15" i="127"/>
  <c r="AC15" i="127"/>
  <c r="AB15" i="127"/>
  <c r="AA15" i="127"/>
  <c r="Z15" i="127"/>
  <c r="Y15" i="127"/>
  <c r="AN14" i="127"/>
  <c r="AM14" i="127"/>
  <c r="AL14" i="127"/>
  <c r="AK14" i="127"/>
  <c r="AJ14" i="127"/>
  <c r="AI14" i="127"/>
  <c r="AH14" i="127"/>
  <c r="AG14" i="127"/>
  <c r="AF14" i="127"/>
  <c r="AE14" i="127"/>
  <c r="AD14" i="127"/>
  <c r="AC14" i="127"/>
  <c r="AB14" i="127"/>
  <c r="AA14" i="127"/>
  <c r="Z14" i="127"/>
  <c r="Y14" i="127"/>
  <c r="AN13" i="127"/>
  <c r="AM13" i="127"/>
  <c r="AL13" i="127"/>
  <c r="AK13" i="127"/>
  <c r="AJ13" i="127"/>
  <c r="AI13" i="127"/>
  <c r="AH13" i="127"/>
  <c r="AG13" i="127"/>
  <c r="AF13" i="127"/>
  <c r="AE13" i="127"/>
  <c r="AD13" i="127"/>
  <c r="AC13" i="127"/>
  <c r="AB13" i="127"/>
  <c r="AA13" i="127"/>
  <c r="Z13" i="127"/>
  <c r="Y13" i="127"/>
  <c r="AN12" i="127"/>
  <c r="AM12" i="127"/>
  <c r="AL12" i="127"/>
  <c r="AK12" i="127"/>
  <c r="AJ12" i="127"/>
  <c r="AI12" i="127"/>
  <c r="AH12" i="127"/>
  <c r="AG12" i="127"/>
  <c r="AF12" i="127"/>
  <c r="AE12" i="127"/>
  <c r="AD12" i="127"/>
  <c r="AC12" i="127"/>
  <c r="AB12" i="127"/>
  <c r="AA12" i="127"/>
  <c r="Z12" i="127"/>
  <c r="Y12" i="127"/>
  <c r="AN11" i="127"/>
  <c r="AM11" i="127"/>
  <c r="AL11" i="127"/>
  <c r="AK11" i="127"/>
  <c r="AJ11" i="127"/>
  <c r="AI11" i="127"/>
  <c r="AH11" i="127"/>
  <c r="AG11" i="127"/>
  <c r="AF11" i="127"/>
  <c r="AE11" i="127"/>
  <c r="AD11" i="127"/>
  <c r="AC11" i="127"/>
  <c r="AB11" i="127"/>
  <c r="AA11" i="127"/>
  <c r="Z11" i="127"/>
  <c r="Y11" i="127"/>
  <c r="AN10" i="127"/>
  <c r="AM10" i="127"/>
  <c r="AL10" i="127"/>
  <c r="AK10" i="127"/>
  <c r="AJ10" i="127"/>
  <c r="AI10" i="127"/>
  <c r="AH10" i="127"/>
  <c r="AG10" i="127"/>
  <c r="AF10" i="127"/>
  <c r="AE10" i="127"/>
  <c r="AD10" i="127"/>
  <c r="AC10" i="127"/>
  <c r="AB10" i="127"/>
  <c r="AA10" i="127"/>
  <c r="Z10" i="127"/>
  <c r="Y10" i="127"/>
  <c r="AN9" i="127"/>
  <c r="AM9" i="127"/>
  <c r="AL9" i="127"/>
  <c r="AK9" i="127"/>
  <c r="AJ9" i="127"/>
  <c r="AI9" i="127"/>
  <c r="AH9" i="127"/>
  <c r="AG9" i="127"/>
  <c r="AF9" i="127"/>
  <c r="AE9" i="127"/>
  <c r="AD9" i="127"/>
  <c r="AC9" i="127"/>
  <c r="AB9" i="127"/>
  <c r="AA9" i="127"/>
  <c r="Z9" i="127"/>
  <c r="Y9" i="127"/>
  <c r="AN8" i="127"/>
  <c r="AM8" i="127"/>
  <c r="AL8" i="127"/>
  <c r="AK8" i="127"/>
  <c r="AJ8" i="127"/>
  <c r="AI8" i="127"/>
  <c r="AH8" i="127"/>
  <c r="AG8" i="127"/>
  <c r="AF8" i="127"/>
  <c r="AE8" i="127"/>
  <c r="AD8" i="127"/>
  <c r="AC8" i="127"/>
  <c r="AB8" i="127"/>
  <c r="AA8" i="127"/>
  <c r="Z8" i="127"/>
  <c r="Y8" i="127"/>
  <c r="AN7" i="127"/>
  <c r="AM7" i="127"/>
  <c r="AL7" i="127"/>
  <c r="AK7" i="127"/>
  <c r="AJ7" i="127"/>
  <c r="AI7" i="127"/>
  <c r="AH7" i="127"/>
  <c r="AG7" i="127"/>
  <c r="AF7" i="127"/>
  <c r="AE7" i="127"/>
  <c r="AD7" i="127"/>
  <c r="AC7" i="127"/>
  <c r="AB7" i="127"/>
  <c r="AA7" i="127"/>
  <c r="Z7" i="127"/>
  <c r="Y7" i="127"/>
  <c r="AN6" i="127"/>
  <c r="AM6" i="127"/>
  <c r="AL6" i="127"/>
  <c r="AK6" i="127"/>
  <c r="AJ6" i="127"/>
  <c r="AI6" i="127"/>
  <c r="AH6" i="127"/>
  <c r="AG6" i="127"/>
  <c r="AF6" i="127"/>
  <c r="AE6" i="127"/>
  <c r="AD6" i="127"/>
  <c r="AC6" i="127"/>
  <c r="AB6" i="127"/>
  <c r="AA6" i="127"/>
  <c r="Z6" i="127"/>
  <c r="Y6" i="127"/>
  <c r="AN5" i="127"/>
  <c r="AM5" i="127"/>
  <c r="AL5" i="127"/>
  <c r="AK5" i="127"/>
  <c r="AJ5" i="127"/>
  <c r="AI5" i="127"/>
  <c r="AH5" i="127"/>
  <c r="AG5" i="127"/>
  <c r="AF5" i="127"/>
  <c r="AE5" i="127"/>
  <c r="AD5" i="127"/>
  <c r="AC5" i="127"/>
  <c r="AB5" i="127"/>
  <c r="AA5" i="127"/>
  <c r="Z5" i="127"/>
  <c r="Y5" i="127"/>
  <c r="AN4" i="127"/>
  <c r="AM4" i="127"/>
  <c r="AL4" i="127"/>
  <c r="AK4" i="127"/>
  <c r="AJ4" i="127"/>
  <c r="AI4" i="127"/>
  <c r="AH4" i="127"/>
  <c r="AG4" i="127"/>
  <c r="AF4" i="127"/>
  <c r="AE4" i="127"/>
  <c r="AD4" i="127"/>
  <c r="AC4" i="127"/>
  <c r="AB4" i="127"/>
  <c r="AA4" i="127"/>
  <c r="Z4" i="127"/>
  <c r="Y4" i="127"/>
  <c r="V2" i="127"/>
  <c r="Y31" i="128" l="1"/>
  <c r="Y29" i="128"/>
  <c r="W30" i="127"/>
  <c r="W31" i="127"/>
  <c r="W29" i="127"/>
  <c r="Y30" i="128"/>
  <c r="Z27" i="126"/>
  <c r="Y27" i="126"/>
  <c r="X27" i="126"/>
  <c r="W27" i="126"/>
  <c r="V27" i="126"/>
  <c r="U27" i="126"/>
  <c r="T27" i="126"/>
  <c r="S27" i="126"/>
  <c r="R27" i="126"/>
  <c r="Z26" i="126"/>
  <c r="Y26" i="126"/>
  <c r="X26" i="126"/>
  <c r="W26" i="126"/>
  <c r="V26" i="126"/>
  <c r="U26" i="126"/>
  <c r="T26" i="126"/>
  <c r="S26" i="126"/>
  <c r="R26" i="126"/>
  <c r="Z25" i="126"/>
  <c r="Y25" i="126"/>
  <c r="X25" i="126"/>
  <c r="W25" i="126"/>
  <c r="V25" i="126"/>
  <c r="U25" i="126"/>
  <c r="T25" i="126"/>
  <c r="S25" i="126"/>
  <c r="R25" i="126"/>
  <c r="Z24" i="126"/>
  <c r="Y24" i="126"/>
  <c r="X24" i="126"/>
  <c r="W24" i="126"/>
  <c r="V24" i="126"/>
  <c r="U24" i="126"/>
  <c r="T24" i="126"/>
  <c r="S24" i="126"/>
  <c r="R24" i="126"/>
  <c r="Z23" i="126"/>
  <c r="Y23" i="126"/>
  <c r="X23" i="126"/>
  <c r="W23" i="126"/>
  <c r="V23" i="126"/>
  <c r="U23" i="126"/>
  <c r="T23" i="126"/>
  <c r="S23" i="126"/>
  <c r="R23" i="126"/>
  <c r="Z22" i="126"/>
  <c r="Y22" i="126"/>
  <c r="X22" i="126"/>
  <c r="W22" i="126"/>
  <c r="V22" i="126"/>
  <c r="U22" i="126"/>
  <c r="T22" i="126"/>
  <c r="S22" i="126"/>
  <c r="R22" i="126"/>
  <c r="Z21" i="126"/>
  <c r="Y21" i="126"/>
  <c r="X21" i="126"/>
  <c r="W21" i="126"/>
  <c r="V21" i="126"/>
  <c r="U21" i="126"/>
  <c r="T21" i="126"/>
  <c r="S21" i="126"/>
  <c r="R21" i="126"/>
  <c r="Z20" i="126"/>
  <c r="Y20" i="126"/>
  <c r="X20" i="126"/>
  <c r="W20" i="126"/>
  <c r="V20" i="126"/>
  <c r="U20" i="126"/>
  <c r="T20" i="126"/>
  <c r="S20" i="126"/>
  <c r="R20" i="126"/>
  <c r="Z19" i="126"/>
  <c r="Y19" i="126"/>
  <c r="X19" i="126"/>
  <c r="W19" i="126"/>
  <c r="V19" i="126"/>
  <c r="U19" i="126"/>
  <c r="T19" i="126"/>
  <c r="S19" i="126"/>
  <c r="R19" i="126"/>
  <c r="Z18" i="126"/>
  <c r="Y18" i="126"/>
  <c r="X18" i="126"/>
  <c r="W18" i="126"/>
  <c r="V18" i="126"/>
  <c r="U18" i="126"/>
  <c r="T18" i="126"/>
  <c r="S18" i="126"/>
  <c r="R18" i="126"/>
  <c r="Z17" i="126"/>
  <c r="Y17" i="126"/>
  <c r="X17" i="126"/>
  <c r="W17" i="126"/>
  <c r="V17" i="126"/>
  <c r="U17" i="126"/>
  <c r="T17" i="126"/>
  <c r="S17" i="126"/>
  <c r="R17" i="126"/>
  <c r="Z16" i="126"/>
  <c r="Y16" i="126"/>
  <c r="X16" i="126"/>
  <c r="W16" i="126"/>
  <c r="V16" i="126"/>
  <c r="U16" i="126"/>
  <c r="T16" i="126"/>
  <c r="S16" i="126"/>
  <c r="R16" i="126"/>
  <c r="Z15" i="126"/>
  <c r="Y15" i="126"/>
  <c r="X15" i="126"/>
  <c r="W15" i="126"/>
  <c r="V15" i="126"/>
  <c r="U15" i="126"/>
  <c r="T15" i="126"/>
  <c r="S15" i="126"/>
  <c r="R15" i="126"/>
  <c r="Z14" i="126"/>
  <c r="Y14" i="126"/>
  <c r="X14" i="126"/>
  <c r="W14" i="126"/>
  <c r="V14" i="126"/>
  <c r="U14" i="126"/>
  <c r="T14" i="126"/>
  <c r="S14" i="126"/>
  <c r="R14" i="126"/>
  <c r="Z13" i="126"/>
  <c r="Y13" i="126"/>
  <c r="X13" i="126"/>
  <c r="W13" i="126"/>
  <c r="V13" i="126"/>
  <c r="U13" i="126"/>
  <c r="T13" i="126"/>
  <c r="S13" i="126"/>
  <c r="R13" i="126"/>
  <c r="Z12" i="126"/>
  <c r="Y12" i="126"/>
  <c r="X12" i="126"/>
  <c r="W12" i="126"/>
  <c r="V12" i="126"/>
  <c r="U12" i="126"/>
  <c r="T12" i="126"/>
  <c r="S12" i="126"/>
  <c r="R12" i="126"/>
  <c r="Z11" i="126"/>
  <c r="Y11" i="126"/>
  <c r="X11" i="126"/>
  <c r="W11" i="126"/>
  <c r="V11" i="126"/>
  <c r="U11" i="126"/>
  <c r="T11" i="126"/>
  <c r="S11" i="126"/>
  <c r="R11" i="126"/>
  <c r="Z10" i="126"/>
  <c r="Y10" i="126"/>
  <c r="X10" i="126"/>
  <c r="W10" i="126"/>
  <c r="V10" i="126"/>
  <c r="U10" i="126"/>
  <c r="T10" i="126"/>
  <c r="S10" i="126"/>
  <c r="R10" i="126"/>
  <c r="Z9" i="126"/>
  <c r="Y9" i="126"/>
  <c r="X9" i="126"/>
  <c r="W9" i="126"/>
  <c r="V9" i="126"/>
  <c r="U9" i="126"/>
  <c r="T9" i="126"/>
  <c r="S9" i="126"/>
  <c r="R9" i="126"/>
  <c r="Z8" i="126"/>
  <c r="Y8" i="126"/>
  <c r="X8" i="126"/>
  <c r="W8" i="126"/>
  <c r="V8" i="126"/>
  <c r="U8" i="126"/>
  <c r="T8" i="126"/>
  <c r="S8" i="126"/>
  <c r="R8" i="126"/>
  <c r="Z7" i="126"/>
  <c r="Y7" i="126"/>
  <c r="X7" i="126"/>
  <c r="W7" i="126"/>
  <c r="V7" i="126"/>
  <c r="U7" i="126"/>
  <c r="T7" i="126"/>
  <c r="S7" i="126"/>
  <c r="R7" i="126"/>
  <c r="Z6" i="126"/>
  <c r="Y6" i="126"/>
  <c r="X6" i="126"/>
  <c r="W6" i="126"/>
  <c r="V6" i="126"/>
  <c r="U6" i="126"/>
  <c r="T6" i="126"/>
  <c r="S6" i="126"/>
  <c r="R6" i="126"/>
  <c r="Z5" i="126"/>
  <c r="Y5" i="126"/>
  <c r="X5" i="126"/>
  <c r="W5" i="126"/>
  <c r="V5" i="126"/>
  <c r="U5" i="126"/>
  <c r="T5" i="126"/>
  <c r="S5" i="126"/>
  <c r="R5" i="126"/>
  <c r="Z4" i="126"/>
  <c r="Y4" i="126"/>
  <c r="X4" i="126"/>
  <c r="W4" i="126"/>
  <c r="V4" i="126"/>
  <c r="U4" i="126"/>
  <c r="T4" i="126"/>
  <c r="S4" i="126"/>
  <c r="R4" i="126"/>
  <c r="O2" i="126"/>
  <c r="X27" i="125"/>
  <c r="W27" i="125"/>
  <c r="V27" i="125"/>
  <c r="U27" i="125"/>
  <c r="T27" i="125"/>
  <c r="S27" i="125"/>
  <c r="R27" i="125"/>
  <c r="Q27" i="125"/>
  <c r="X26" i="125"/>
  <c r="W26" i="125"/>
  <c r="V26" i="125"/>
  <c r="U26" i="125"/>
  <c r="T26" i="125"/>
  <c r="S26" i="125"/>
  <c r="R26" i="125"/>
  <c r="Q26" i="125"/>
  <c r="X25" i="125"/>
  <c r="W25" i="125"/>
  <c r="V25" i="125"/>
  <c r="U25" i="125"/>
  <c r="T25" i="125"/>
  <c r="S25" i="125"/>
  <c r="R25" i="125"/>
  <c r="Q25" i="125"/>
  <c r="X24" i="125"/>
  <c r="W24" i="125"/>
  <c r="V24" i="125"/>
  <c r="U24" i="125"/>
  <c r="T24" i="125"/>
  <c r="S24" i="125"/>
  <c r="R24" i="125"/>
  <c r="Q24" i="125"/>
  <c r="X23" i="125"/>
  <c r="W23" i="125"/>
  <c r="V23" i="125"/>
  <c r="U23" i="125"/>
  <c r="T23" i="125"/>
  <c r="S23" i="125"/>
  <c r="R23" i="125"/>
  <c r="Q23" i="125"/>
  <c r="X22" i="125"/>
  <c r="W22" i="125"/>
  <c r="V22" i="125"/>
  <c r="U22" i="125"/>
  <c r="T22" i="125"/>
  <c r="S22" i="125"/>
  <c r="R22" i="125"/>
  <c r="Q22" i="125"/>
  <c r="X21" i="125"/>
  <c r="W21" i="125"/>
  <c r="V21" i="125"/>
  <c r="U21" i="125"/>
  <c r="T21" i="125"/>
  <c r="S21" i="125"/>
  <c r="R21" i="125"/>
  <c r="Q21" i="125"/>
  <c r="X20" i="125"/>
  <c r="W20" i="125"/>
  <c r="V20" i="125"/>
  <c r="U20" i="125"/>
  <c r="T20" i="125"/>
  <c r="S20" i="125"/>
  <c r="R20" i="125"/>
  <c r="Q20" i="125"/>
  <c r="X19" i="125"/>
  <c r="W19" i="125"/>
  <c r="V19" i="125"/>
  <c r="U19" i="125"/>
  <c r="T19" i="125"/>
  <c r="S19" i="125"/>
  <c r="R19" i="125"/>
  <c r="Q19" i="125"/>
  <c r="X18" i="125"/>
  <c r="W18" i="125"/>
  <c r="V18" i="125"/>
  <c r="U18" i="125"/>
  <c r="T18" i="125"/>
  <c r="S18" i="125"/>
  <c r="R18" i="125"/>
  <c r="Q18" i="125"/>
  <c r="X17" i="125"/>
  <c r="W17" i="125"/>
  <c r="V17" i="125"/>
  <c r="U17" i="125"/>
  <c r="T17" i="125"/>
  <c r="S17" i="125"/>
  <c r="R17" i="125"/>
  <c r="Q17" i="125"/>
  <c r="X16" i="125"/>
  <c r="W16" i="125"/>
  <c r="V16" i="125"/>
  <c r="U16" i="125"/>
  <c r="T16" i="125"/>
  <c r="S16" i="125"/>
  <c r="R16" i="125"/>
  <c r="Q16" i="125"/>
  <c r="X15" i="125"/>
  <c r="W15" i="125"/>
  <c r="V15" i="125"/>
  <c r="U15" i="125"/>
  <c r="T15" i="125"/>
  <c r="S15" i="125"/>
  <c r="R15" i="125"/>
  <c r="Q15" i="125"/>
  <c r="X14" i="125"/>
  <c r="W14" i="125"/>
  <c r="V14" i="125"/>
  <c r="U14" i="125"/>
  <c r="T14" i="125"/>
  <c r="S14" i="125"/>
  <c r="R14" i="125"/>
  <c r="Q14" i="125"/>
  <c r="X13" i="125"/>
  <c r="W13" i="125"/>
  <c r="V13" i="125"/>
  <c r="U13" i="125"/>
  <c r="T13" i="125"/>
  <c r="S13" i="125"/>
  <c r="R13" i="125"/>
  <c r="Q13" i="125"/>
  <c r="X12" i="125"/>
  <c r="W12" i="125"/>
  <c r="V12" i="125"/>
  <c r="U12" i="125"/>
  <c r="T12" i="125"/>
  <c r="S12" i="125"/>
  <c r="R12" i="125"/>
  <c r="Q12" i="125"/>
  <c r="X11" i="125"/>
  <c r="W11" i="125"/>
  <c r="V11" i="125"/>
  <c r="U11" i="125"/>
  <c r="T11" i="125"/>
  <c r="S11" i="125"/>
  <c r="R11" i="125"/>
  <c r="Q11" i="125"/>
  <c r="X10" i="125"/>
  <c r="W10" i="125"/>
  <c r="V10" i="125"/>
  <c r="U10" i="125"/>
  <c r="T10" i="125"/>
  <c r="S10" i="125"/>
  <c r="R10" i="125"/>
  <c r="Q10" i="125"/>
  <c r="X9" i="125"/>
  <c r="W9" i="125"/>
  <c r="V9" i="125"/>
  <c r="U9" i="125"/>
  <c r="T9" i="125"/>
  <c r="S9" i="125"/>
  <c r="R9" i="125"/>
  <c r="Q9" i="125"/>
  <c r="X8" i="125"/>
  <c r="W8" i="125"/>
  <c r="V8" i="125"/>
  <c r="U8" i="125"/>
  <c r="T8" i="125"/>
  <c r="S8" i="125"/>
  <c r="R8" i="125"/>
  <c r="Q8" i="125"/>
  <c r="X7" i="125"/>
  <c r="W7" i="125"/>
  <c r="V7" i="125"/>
  <c r="U7" i="125"/>
  <c r="T7" i="125"/>
  <c r="S7" i="125"/>
  <c r="R7" i="125"/>
  <c r="Q7" i="125"/>
  <c r="X6" i="125"/>
  <c r="W6" i="125"/>
  <c r="V6" i="125"/>
  <c r="U6" i="125"/>
  <c r="T6" i="125"/>
  <c r="S6" i="125"/>
  <c r="R6" i="125"/>
  <c r="Q6" i="125"/>
  <c r="X5" i="125"/>
  <c r="W5" i="125"/>
  <c r="V5" i="125"/>
  <c r="U5" i="125"/>
  <c r="T5" i="125"/>
  <c r="S5" i="125"/>
  <c r="R5" i="125"/>
  <c r="Q5" i="125"/>
  <c r="X4" i="125"/>
  <c r="W4" i="125"/>
  <c r="V4" i="125"/>
  <c r="U4" i="125"/>
  <c r="T4" i="125"/>
  <c r="S4" i="125"/>
  <c r="R4" i="125"/>
  <c r="Q4" i="125"/>
  <c r="N2" i="125"/>
  <c r="O31" i="125" l="1"/>
  <c r="O30" i="125"/>
  <c r="P29" i="126"/>
  <c r="P30" i="126"/>
  <c r="P31" i="126"/>
  <c r="O29" i="125"/>
  <c r="AR27" i="124"/>
  <c r="AQ27" i="124"/>
  <c r="AP27" i="124"/>
  <c r="AO27" i="124"/>
  <c r="AN27" i="124"/>
  <c r="AM27" i="124"/>
  <c r="AL27" i="124"/>
  <c r="AK27" i="124"/>
  <c r="AJ27" i="124"/>
  <c r="AI27" i="124"/>
  <c r="AH27" i="124"/>
  <c r="AG27" i="124"/>
  <c r="AF27" i="124"/>
  <c r="AE27" i="124"/>
  <c r="AD27" i="124"/>
  <c r="AC27" i="124"/>
  <c r="AB27" i="124"/>
  <c r="AA27" i="124"/>
  <c r="AR26" i="124"/>
  <c r="AQ26" i="124"/>
  <c r="AP26" i="124"/>
  <c r="AO26" i="124"/>
  <c r="AN26" i="124"/>
  <c r="AM26" i="124"/>
  <c r="AL26" i="124"/>
  <c r="AK26" i="124"/>
  <c r="AJ26" i="124"/>
  <c r="AI26" i="124"/>
  <c r="AH26" i="124"/>
  <c r="AG26" i="124"/>
  <c r="AF26" i="124"/>
  <c r="AE26" i="124"/>
  <c r="AD26" i="124"/>
  <c r="AC26" i="124"/>
  <c r="AB26" i="124"/>
  <c r="AA26" i="124"/>
  <c r="AR25" i="124"/>
  <c r="AQ25" i="124"/>
  <c r="AP25" i="124"/>
  <c r="AO25" i="124"/>
  <c r="AN25" i="124"/>
  <c r="AM25" i="124"/>
  <c r="AL25" i="124"/>
  <c r="AK25" i="124"/>
  <c r="AJ25" i="124"/>
  <c r="AI25" i="124"/>
  <c r="AH25" i="124"/>
  <c r="AG25" i="124"/>
  <c r="AF25" i="124"/>
  <c r="AE25" i="124"/>
  <c r="AD25" i="124"/>
  <c r="AC25" i="124"/>
  <c r="AB25" i="124"/>
  <c r="AA25" i="124"/>
  <c r="AR24" i="124"/>
  <c r="AQ24" i="124"/>
  <c r="AP24" i="124"/>
  <c r="AO24" i="124"/>
  <c r="AN24" i="124"/>
  <c r="AM24" i="124"/>
  <c r="AL24" i="124"/>
  <c r="AK24" i="124"/>
  <c r="AJ24" i="124"/>
  <c r="AI24" i="124"/>
  <c r="AH24" i="124"/>
  <c r="AG24" i="124"/>
  <c r="AF24" i="124"/>
  <c r="AE24" i="124"/>
  <c r="AD24" i="124"/>
  <c r="AC24" i="124"/>
  <c r="AB24" i="124"/>
  <c r="AA24" i="124"/>
  <c r="AR23" i="124"/>
  <c r="AQ23" i="124"/>
  <c r="AP23" i="124"/>
  <c r="AO23" i="124"/>
  <c r="AN23" i="124"/>
  <c r="AM23" i="124"/>
  <c r="AL23" i="124"/>
  <c r="AK23" i="124"/>
  <c r="AJ23" i="124"/>
  <c r="AI23" i="124"/>
  <c r="AH23" i="124"/>
  <c r="AG23" i="124"/>
  <c r="AF23" i="124"/>
  <c r="AE23" i="124"/>
  <c r="AD23" i="124"/>
  <c r="AC23" i="124"/>
  <c r="AB23" i="124"/>
  <c r="AA23" i="124"/>
  <c r="AR22" i="124"/>
  <c r="AQ22" i="124"/>
  <c r="AP22" i="124"/>
  <c r="AO22" i="124"/>
  <c r="AN22" i="124"/>
  <c r="AM22" i="124"/>
  <c r="AL22" i="124"/>
  <c r="AK22" i="124"/>
  <c r="AJ22" i="124"/>
  <c r="AI22" i="124"/>
  <c r="AH22" i="124"/>
  <c r="AG22" i="124"/>
  <c r="AF22" i="124"/>
  <c r="AE22" i="124"/>
  <c r="AD22" i="124"/>
  <c r="AC22" i="124"/>
  <c r="AB22" i="124"/>
  <c r="AA22" i="124"/>
  <c r="AR21" i="124"/>
  <c r="AQ21" i="124"/>
  <c r="AP21" i="124"/>
  <c r="AO21" i="124"/>
  <c r="AN21" i="124"/>
  <c r="AM21" i="124"/>
  <c r="AL21" i="124"/>
  <c r="AK21" i="124"/>
  <c r="AJ21" i="124"/>
  <c r="AI21" i="124"/>
  <c r="AH21" i="124"/>
  <c r="AG21" i="124"/>
  <c r="AF21" i="124"/>
  <c r="AE21" i="124"/>
  <c r="AD21" i="124"/>
  <c r="AC21" i="124"/>
  <c r="AB21" i="124"/>
  <c r="AA21" i="124"/>
  <c r="AR20" i="124"/>
  <c r="AQ20" i="124"/>
  <c r="AP20" i="124"/>
  <c r="AO20" i="124"/>
  <c r="AN20" i="124"/>
  <c r="AM20" i="124"/>
  <c r="AL20" i="124"/>
  <c r="AK20" i="124"/>
  <c r="AJ20" i="124"/>
  <c r="AI20" i="124"/>
  <c r="AH20" i="124"/>
  <c r="AG20" i="124"/>
  <c r="AF20" i="124"/>
  <c r="AE20" i="124"/>
  <c r="AD20" i="124"/>
  <c r="AC20" i="124"/>
  <c r="AB20" i="124"/>
  <c r="AA20" i="124"/>
  <c r="AR19" i="124"/>
  <c r="AQ19" i="124"/>
  <c r="AP19" i="124"/>
  <c r="AO19" i="124"/>
  <c r="AN19" i="124"/>
  <c r="AM19" i="124"/>
  <c r="AL19" i="124"/>
  <c r="AK19" i="124"/>
  <c r="AJ19" i="124"/>
  <c r="AI19" i="124"/>
  <c r="AH19" i="124"/>
  <c r="AG19" i="124"/>
  <c r="AF19" i="124"/>
  <c r="AE19" i="124"/>
  <c r="AD19" i="124"/>
  <c r="AC19" i="124"/>
  <c r="AB19" i="124"/>
  <c r="AA19" i="124"/>
  <c r="AR18" i="124"/>
  <c r="AQ18" i="124"/>
  <c r="AP18" i="124"/>
  <c r="AO18" i="124"/>
  <c r="AN18" i="124"/>
  <c r="AM18" i="124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AR17" i="124"/>
  <c r="AQ17" i="124"/>
  <c r="AP17" i="124"/>
  <c r="AO17" i="124"/>
  <c r="AN17" i="124"/>
  <c r="AM17" i="124"/>
  <c r="AL17" i="124"/>
  <c r="AK17" i="124"/>
  <c r="AJ17" i="124"/>
  <c r="AI17" i="124"/>
  <c r="AH17" i="124"/>
  <c r="AG17" i="124"/>
  <c r="AF17" i="124"/>
  <c r="AE17" i="124"/>
  <c r="AD17" i="124"/>
  <c r="AC17" i="124"/>
  <c r="AB17" i="124"/>
  <c r="AA17" i="124"/>
  <c r="AR16" i="124"/>
  <c r="AQ16" i="124"/>
  <c r="AP16" i="124"/>
  <c r="AO16" i="124"/>
  <c r="AN16" i="124"/>
  <c r="AM16" i="124"/>
  <c r="AL16" i="124"/>
  <c r="AK16" i="124"/>
  <c r="AJ16" i="124"/>
  <c r="AI16" i="124"/>
  <c r="AH16" i="124"/>
  <c r="AG16" i="124"/>
  <c r="AF16" i="124"/>
  <c r="AE16" i="124"/>
  <c r="AD16" i="124"/>
  <c r="AC16" i="124"/>
  <c r="AB16" i="124"/>
  <c r="AA16" i="124"/>
  <c r="AR15" i="124"/>
  <c r="AQ15" i="124"/>
  <c r="AP15" i="124"/>
  <c r="AO15" i="124"/>
  <c r="AN15" i="124"/>
  <c r="AM15" i="124"/>
  <c r="AL15" i="124"/>
  <c r="AK15" i="124"/>
  <c r="AJ15" i="124"/>
  <c r="AI15" i="124"/>
  <c r="AH15" i="124"/>
  <c r="AG15" i="124"/>
  <c r="AF15" i="124"/>
  <c r="AE15" i="124"/>
  <c r="AD15" i="124"/>
  <c r="AC15" i="124"/>
  <c r="AB15" i="124"/>
  <c r="AA15" i="124"/>
  <c r="AR14" i="124"/>
  <c r="AQ14" i="124"/>
  <c r="AP14" i="124"/>
  <c r="AO14" i="124"/>
  <c r="AN14" i="124"/>
  <c r="AM14" i="124"/>
  <c r="AL14" i="124"/>
  <c r="AK14" i="124"/>
  <c r="AJ14" i="124"/>
  <c r="AI14" i="124"/>
  <c r="AH14" i="124"/>
  <c r="AG14" i="124"/>
  <c r="AF14" i="124"/>
  <c r="AE14" i="124"/>
  <c r="AD14" i="124"/>
  <c r="AC14" i="124"/>
  <c r="AB14" i="124"/>
  <c r="AA14" i="124"/>
  <c r="AR13" i="124"/>
  <c r="AQ13" i="124"/>
  <c r="AP13" i="124"/>
  <c r="AO13" i="124"/>
  <c r="AN13" i="124"/>
  <c r="AM13" i="124"/>
  <c r="AL13" i="124"/>
  <c r="AK13" i="124"/>
  <c r="AJ13" i="124"/>
  <c r="AI13" i="124"/>
  <c r="AH13" i="124"/>
  <c r="AG13" i="124"/>
  <c r="AF13" i="124"/>
  <c r="AE13" i="124"/>
  <c r="AD13" i="124"/>
  <c r="AC13" i="124"/>
  <c r="AB13" i="124"/>
  <c r="AA13" i="124"/>
  <c r="AR12" i="124"/>
  <c r="AQ12" i="124"/>
  <c r="AP12" i="124"/>
  <c r="AO12" i="124"/>
  <c r="AN12" i="124"/>
  <c r="AM12" i="124"/>
  <c r="AL12" i="124"/>
  <c r="AK12" i="124"/>
  <c r="AJ12" i="124"/>
  <c r="AI12" i="124"/>
  <c r="AH12" i="124"/>
  <c r="AG12" i="124"/>
  <c r="AF12" i="124"/>
  <c r="AE12" i="124"/>
  <c r="AD12" i="124"/>
  <c r="AC12" i="124"/>
  <c r="AB12" i="124"/>
  <c r="AA12" i="124"/>
  <c r="AR11" i="124"/>
  <c r="AQ11" i="124"/>
  <c r="AP11" i="124"/>
  <c r="AO11" i="124"/>
  <c r="AN11" i="124"/>
  <c r="AM11" i="124"/>
  <c r="AL11" i="124"/>
  <c r="AK11" i="124"/>
  <c r="AJ11" i="124"/>
  <c r="AI11" i="124"/>
  <c r="AH11" i="124"/>
  <c r="AG11" i="124"/>
  <c r="AF11" i="124"/>
  <c r="AE11" i="124"/>
  <c r="AD11" i="124"/>
  <c r="AC11" i="124"/>
  <c r="AB11" i="124"/>
  <c r="AA11" i="124"/>
  <c r="AR10" i="124"/>
  <c r="AQ10" i="124"/>
  <c r="AP10" i="124"/>
  <c r="AO10" i="124"/>
  <c r="AN10" i="124"/>
  <c r="AM10" i="124"/>
  <c r="AL10" i="124"/>
  <c r="AK10" i="124"/>
  <c r="AJ10" i="124"/>
  <c r="AI10" i="124"/>
  <c r="AH10" i="124"/>
  <c r="AG10" i="124"/>
  <c r="AF10" i="124"/>
  <c r="AE10" i="124"/>
  <c r="AD10" i="124"/>
  <c r="AC10" i="124"/>
  <c r="AB10" i="124"/>
  <c r="AA10" i="124"/>
  <c r="AR9" i="124"/>
  <c r="AQ9" i="124"/>
  <c r="AP9" i="124"/>
  <c r="AO9" i="124"/>
  <c r="AN9" i="124"/>
  <c r="AM9" i="124"/>
  <c r="AL9" i="124"/>
  <c r="AK9" i="124"/>
  <c r="AJ9" i="124"/>
  <c r="AI9" i="124"/>
  <c r="AH9" i="124"/>
  <c r="AG9" i="124"/>
  <c r="AF9" i="124"/>
  <c r="AE9" i="124"/>
  <c r="AD9" i="124"/>
  <c r="AC9" i="124"/>
  <c r="AB9" i="124"/>
  <c r="AA9" i="124"/>
  <c r="AR8" i="124"/>
  <c r="AQ8" i="124"/>
  <c r="AP8" i="124"/>
  <c r="AO8" i="124"/>
  <c r="AN8" i="124"/>
  <c r="AM8" i="124"/>
  <c r="AL8" i="124"/>
  <c r="AK8" i="124"/>
  <c r="AJ8" i="124"/>
  <c r="AI8" i="124"/>
  <c r="AH8" i="124"/>
  <c r="AG8" i="124"/>
  <c r="AF8" i="124"/>
  <c r="AE8" i="124"/>
  <c r="AD8" i="124"/>
  <c r="AC8" i="124"/>
  <c r="AB8" i="124"/>
  <c r="AA8" i="124"/>
  <c r="AR7" i="124"/>
  <c r="AQ7" i="124"/>
  <c r="AP7" i="124"/>
  <c r="AO7" i="124"/>
  <c r="AN7" i="124"/>
  <c r="AM7" i="124"/>
  <c r="AL7" i="124"/>
  <c r="AK7" i="124"/>
  <c r="AJ7" i="124"/>
  <c r="AI7" i="124"/>
  <c r="AH7" i="124"/>
  <c r="AG7" i="124"/>
  <c r="AF7" i="124"/>
  <c r="AE7" i="124"/>
  <c r="AD7" i="124"/>
  <c r="AC7" i="124"/>
  <c r="AB7" i="124"/>
  <c r="AA7" i="124"/>
  <c r="AR6" i="124"/>
  <c r="AQ6" i="124"/>
  <c r="AP6" i="124"/>
  <c r="AO6" i="124"/>
  <c r="AN6" i="124"/>
  <c r="AM6" i="124"/>
  <c r="AL6" i="124"/>
  <c r="AK6" i="124"/>
  <c r="AJ6" i="124"/>
  <c r="AI6" i="124"/>
  <c r="AH6" i="124"/>
  <c r="AG6" i="124"/>
  <c r="AF6" i="124"/>
  <c r="AE6" i="124"/>
  <c r="AD6" i="124"/>
  <c r="AC6" i="124"/>
  <c r="AB6" i="124"/>
  <c r="AA6" i="124"/>
  <c r="AR5" i="124"/>
  <c r="AQ5" i="124"/>
  <c r="AP5" i="124"/>
  <c r="AO5" i="124"/>
  <c r="AN5" i="124"/>
  <c r="AM5" i="124"/>
  <c r="AL5" i="124"/>
  <c r="AK5" i="124"/>
  <c r="AJ5" i="124"/>
  <c r="AI5" i="124"/>
  <c r="AH5" i="124"/>
  <c r="AG5" i="124"/>
  <c r="AF5" i="124"/>
  <c r="AE5" i="124"/>
  <c r="AD5" i="124"/>
  <c r="AC5" i="124"/>
  <c r="AB5" i="124"/>
  <c r="AA5" i="124"/>
  <c r="AR4" i="124"/>
  <c r="AQ4" i="124"/>
  <c r="AP4" i="124"/>
  <c r="AO4" i="124"/>
  <c r="AN4" i="124"/>
  <c r="AM4" i="124"/>
  <c r="AL4" i="124"/>
  <c r="AK4" i="124"/>
  <c r="AJ4" i="124"/>
  <c r="AI4" i="124"/>
  <c r="AH4" i="124"/>
  <c r="AG4" i="124"/>
  <c r="AF4" i="124"/>
  <c r="AE4" i="124"/>
  <c r="AD4" i="124"/>
  <c r="AC4" i="124"/>
  <c r="AB4" i="124"/>
  <c r="AA4" i="124"/>
  <c r="X2" i="124"/>
  <c r="AN27" i="123"/>
  <c r="AM27" i="123"/>
  <c r="AL27" i="123"/>
  <c r="AK27" i="123"/>
  <c r="AJ27" i="123"/>
  <c r="AI27" i="123"/>
  <c r="AH27" i="123"/>
  <c r="AG27" i="123"/>
  <c r="AF27" i="123"/>
  <c r="AE27" i="123"/>
  <c r="AD27" i="123"/>
  <c r="AC27" i="123"/>
  <c r="AB27" i="123"/>
  <c r="AA27" i="123"/>
  <c r="Z27" i="123"/>
  <c r="Y27" i="123"/>
  <c r="AN26" i="123"/>
  <c r="AM26" i="123"/>
  <c r="AL26" i="123"/>
  <c r="AK26" i="123"/>
  <c r="AJ26" i="123"/>
  <c r="AI26" i="123"/>
  <c r="AH26" i="123"/>
  <c r="AG26" i="123"/>
  <c r="AF26" i="123"/>
  <c r="AE26" i="123"/>
  <c r="AD26" i="123"/>
  <c r="AC26" i="123"/>
  <c r="AB26" i="123"/>
  <c r="AA26" i="123"/>
  <c r="Z26" i="123"/>
  <c r="Y26" i="123"/>
  <c r="AN25" i="123"/>
  <c r="AM25" i="123"/>
  <c r="AL25" i="123"/>
  <c r="AK25" i="123"/>
  <c r="AJ25" i="123"/>
  <c r="AI25" i="123"/>
  <c r="AH25" i="123"/>
  <c r="AG25" i="123"/>
  <c r="AF25" i="123"/>
  <c r="AE25" i="123"/>
  <c r="AD25" i="123"/>
  <c r="AC25" i="123"/>
  <c r="AB25" i="123"/>
  <c r="AA25" i="123"/>
  <c r="Z25" i="123"/>
  <c r="Y25" i="123"/>
  <c r="AN24" i="123"/>
  <c r="AM24" i="123"/>
  <c r="AL24" i="123"/>
  <c r="AK24" i="123"/>
  <c r="AJ24" i="123"/>
  <c r="AI24" i="123"/>
  <c r="AH24" i="123"/>
  <c r="AG24" i="123"/>
  <c r="AF24" i="123"/>
  <c r="AE24" i="123"/>
  <c r="AD24" i="123"/>
  <c r="AC24" i="123"/>
  <c r="AB24" i="123"/>
  <c r="AA24" i="123"/>
  <c r="Z24" i="123"/>
  <c r="Y24" i="123"/>
  <c r="AN23" i="123"/>
  <c r="AM23" i="123"/>
  <c r="AL23" i="123"/>
  <c r="AK23" i="123"/>
  <c r="AJ23" i="123"/>
  <c r="AI23" i="123"/>
  <c r="AH23" i="123"/>
  <c r="AG23" i="123"/>
  <c r="AF23" i="123"/>
  <c r="AE23" i="123"/>
  <c r="AD23" i="123"/>
  <c r="AC23" i="123"/>
  <c r="AB23" i="123"/>
  <c r="AA23" i="123"/>
  <c r="Z23" i="123"/>
  <c r="Y23" i="123"/>
  <c r="AN22" i="123"/>
  <c r="AM22" i="123"/>
  <c r="AL22" i="123"/>
  <c r="AK22" i="123"/>
  <c r="AJ22" i="123"/>
  <c r="AI22" i="123"/>
  <c r="AH22" i="123"/>
  <c r="AG22" i="123"/>
  <c r="AF22" i="123"/>
  <c r="AE22" i="123"/>
  <c r="AD22" i="123"/>
  <c r="AC22" i="123"/>
  <c r="AB22" i="123"/>
  <c r="AA22" i="123"/>
  <c r="Z22" i="123"/>
  <c r="Y22" i="123"/>
  <c r="AN21" i="123"/>
  <c r="AM21" i="123"/>
  <c r="AL21" i="123"/>
  <c r="AK21" i="123"/>
  <c r="AJ21" i="123"/>
  <c r="AI21" i="123"/>
  <c r="AH21" i="123"/>
  <c r="AG21" i="123"/>
  <c r="AF21" i="123"/>
  <c r="AE21" i="123"/>
  <c r="AD21" i="123"/>
  <c r="AC21" i="123"/>
  <c r="AB21" i="123"/>
  <c r="AA21" i="123"/>
  <c r="Z21" i="123"/>
  <c r="Y21" i="123"/>
  <c r="AN20" i="123"/>
  <c r="AM20" i="123"/>
  <c r="AL20" i="123"/>
  <c r="AK20" i="123"/>
  <c r="AJ20" i="123"/>
  <c r="AI20" i="123"/>
  <c r="AH20" i="123"/>
  <c r="AG20" i="123"/>
  <c r="AF20" i="123"/>
  <c r="AE20" i="123"/>
  <c r="AD20" i="123"/>
  <c r="AC20" i="123"/>
  <c r="AB20" i="123"/>
  <c r="AA20" i="123"/>
  <c r="Z20" i="123"/>
  <c r="Y20" i="123"/>
  <c r="AN19" i="123"/>
  <c r="AM19" i="123"/>
  <c r="AL19" i="123"/>
  <c r="AK19" i="123"/>
  <c r="AJ19" i="123"/>
  <c r="AI19" i="123"/>
  <c r="AH19" i="123"/>
  <c r="AG19" i="123"/>
  <c r="AF19" i="123"/>
  <c r="AE19" i="123"/>
  <c r="AD19" i="123"/>
  <c r="AC19" i="123"/>
  <c r="AB19" i="123"/>
  <c r="AA19" i="123"/>
  <c r="Z19" i="123"/>
  <c r="Y19" i="123"/>
  <c r="AN18" i="123"/>
  <c r="AM18" i="123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Z18" i="123"/>
  <c r="Y18" i="123"/>
  <c r="AN17" i="123"/>
  <c r="AM17" i="123"/>
  <c r="AL17" i="123"/>
  <c r="AK17" i="123"/>
  <c r="AJ17" i="123"/>
  <c r="AI17" i="123"/>
  <c r="AH17" i="123"/>
  <c r="AG17" i="123"/>
  <c r="AF17" i="123"/>
  <c r="AE17" i="123"/>
  <c r="AD17" i="123"/>
  <c r="AC17" i="123"/>
  <c r="AB17" i="123"/>
  <c r="AA17" i="123"/>
  <c r="Z17" i="123"/>
  <c r="Y17" i="123"/>
  <c r="AN16" i="123"/>
  <c r="AM16" i="123"/>
  <c r="AL16" i="123"/>
  <c r="AK16" i="123"/>
  <c r="AJ16" i="123"/>
  <c r="AI16" i="123"/>
  <c r="AH16" i="123"/>
  <c r="AG16" i="123"/>
  <c r="AF16" i="123"/>
  <c r="AE16" i="123"/>
  <c r="AD16" i="123"/>
  <c r="AC16" i="123"/>
  <c r="AB16" i="123"/>
  <c r="AA16" i="123"/>
  <c r="Z16" i="123"/>
  <c r="Y16" i="123"/>
  <c r="W31" i="123" s="1"/>
  <c r="AN15" i="123"/>
  <c r="AM15" i="123"/>
  <c r="AL15" i="123"/>
  <c r="AK15" i="123"/>
  <c r="AJ15" i="123"/>
  <c r="AI15" i="123"/>
  <c r="AH15" i="123"/>
  <c r="AG15" i="123"/>
  <c r="AF15" i="123"/>
  <c r="AE15" i="123"/>
  <c r="AD15" i="123"/>
  <c r="AC15" i="123"/>
  <c r="AB15" i="123"/>
  <c r="AA15" i="123"/>
  <c r="Z15" i="123"/>
  <c r="Y15" i="123"/>
  <c r="AN14" i="123"/>
  <c r="AM14" i="123"/>
  <c r="AL14" i="123"/>
  <c r="AK14" i="123"/>
  <c r="AJ14" i="123"/>
  <c r="AI14" i="123"/>
  <c r="AH14" i="123"/>
  <c r="AG14" i="123"/>
  <c r="AF14" i="123"/>
  <c r="AE14" i="123"/>
  <c r="AD14" i="123"/>
  <c r="AC14" i="123"/>
  <c r="AB14" i="123"/>
  <c r="AA14" i="123"/>
  <c r="Z14" i="123"/>
  <c r="Y14" i="123"/>
  <c r="AN13" i="123"/>
  <c r="AM13" i="123"/>
  <c r="AL13" i="123"/>
  <c r="AK13" i="123"/>
  <c r="AJ13" i="123"/>
  <c r="AI13" i="123"/>
  <c r="AH13" i="123"/>
  <c r="AG13" i="123"/>
  <c r="AF13" i="123"/>
  <c r="AE13" i="123"/>
  <c r="AD13" i="123"/>
  <c r="AC13" i="123"/>
  <c r="AB13" i="123"/>
  <c r="AA13" i="123"/>
  <c r="Z13" i="123"/>
  <c r="Y13" i="123"/>
  <c r="AN12" i="123"/>
  <c r="AM12" i="123"/>
  <c r="AL12" i="123"/>
  <c r="AK12" i="123"/>
  <c r="AJ12" i="123"/>
  <c r="AI12" i="123"/>
  <c r="AH12" i="123"/>
  <c r="AG12" i="123"/>
  <c r="AF12" i="123"/>
  <c r="AE12" i="123"/>
  <c r="AD12" i="123"/>
  <c r="AC12" i="123"/>
  <c r="AB12" i="123"/>
  <c r="AA12" i="123"/>
  <c r="Z12" i="123"/>
  <c r="Y12" i="123"/>
  <c r="AN11" i="123"/>
  <c r="AM11" i="123"/>
  <c r="AL11" i="123"/>
  <c r="AK11" i="123"/>
  <c r="AJ11" i="123"/>
  <c r="AI11" i="123"/>
  <c r="AH11" i="123"/>
  <c r="AG11" i="123"/>
  <c r="AF11" i="123"/>
  <c r="AE11" i="123"/>
  <c r="AD11" i="123"/>
  <c r="AC11" i="123"/>
  <c r="AB11" i="123"/>
  <c r="AA11" i="123"/>
  <c r="Z11" i="123"/>
  <c r="Y11" i="123"/>
  <c r="AN10" i="123"/>
  <c r="AM10" i="123"/>
  <c r="AL10" i="123"/>
  <c r="AK10" i="123"/>
  <c r="AJ10" i="123"/>
  <c r="AI10" i="123"/>
  <c r="AH10" i="123"/>
  <c r="AG10" i="123"/>
  <c r="AF10" i="123"/>
  <c r="AE10" i="123"/>
  <c r="AD10" i="123"/>
  <c r="AC10" i="123"/>
  <c r="AB10" i="123"/>
  <c r="AA10" i="123"/>
  <c r="Z10" i="123"/>
  <c r="Y10" i="123"/>
  <c r="AN9" i="123"/>
  <c r="AM9" i="123"/>
  <c r="AL9" i="123"/>
  <c r="AK9" i="123"/>
  <c r="AJ9" i="123"/>
  <c r="AI9" i="123"/>
  <c r="AH9" i="123"/>
  <c r="AG9" i="123"/>
  <c r="AF9" i="123"/>
  <c r="AE9" i="123"/>
  <c r="AD9" i="123"/>
  <c r="AC9" i="123"/>
  <c r="AB9" i="123"/>
  <c r="AA9" i="123"/>
  <c r="Z9" i="123"/>
  <c r="Y9" i="123"/>
  <c r="AN8" i="123"/>
  <c r="AM8" i="123"/>
  <c r="AL8" i="123"/>
  <c r="AK8" i="123"/>
  <c r="AJ8" i="123"/>
  <c r="AI8" i="123"/>
  <c r="AH8" i="123"/>
  <c r="AG8" i="123"/>
  <c r="AF8" i="123"/>
  <c r="AE8" i="123"/>
  <c r="AD8" i="123"/>
  <c r="AC8" i="123"/>
  <c r="AB8" i="123"/>
  <c r="AA8" i="123"/>
  <c r="Z8" i="123"/>
  <c r="Y8" i="123"/>
  <c r="AN7" i="123"/>
  <c r="AM7" i="123"/>
  <c r="AL7" i="123"/>
  <c r="AK7" i="123"/>
  <c r="AJ7" i="123"/>
  <c r="AI7" i="123"/>
  <c r="AH7" i="123"/>
  <c r="AG7" i="123"/>
  <c r="AF7" i="123"/>
  <c r="AE7" i="123"/>
  <c r="AD7" i="123"/>
  <c r="AC7" i="123"/>
  <c r="AB7" i="123"/>
  <c r="AA7" i="123"/>
  <c r="Z7" i="123"/>
  <c r="Y7" i="123"/>
  <c r="AN6" i="123"/>
  <c r="AM6" i="123"/>
  <c r="AL6" i="123"/>
  <c r="AK6" i="123"/>
  <c r="AJ6" i="123"/>
  <c r="AI6" i="123"/>
  <c r="AH6" i="123"/>
  <c r="AG6" i="123"/>
  <c r="AF6" i="123"/>
  <c r="AE6" i="123"/>
  <c r="AD6" i="123"/>
  <c r="AC6" i="123"/>
  <c r="AB6" i="123"/>
  <c r="AA6" i="123"/>
  <c r="Z6" i="123"/>
  <c r="Y6" i="123"/>
  <c r="AN5" i="123"/>
  <c r="AM5" i="123"/>
  <c r="AL5" i="123"/>
  <c r="AK5" i="123"/>
  <c r="AJ5" i="123"/>
  <c r="AI5" i="123"/>
  <c r="AH5" i="123"/>
  <c r="AG5" i="123"/>
  <c r="AF5" i="123"/>
  <c r="AE5" i="123"/>
  <c r="AD5" i="123"/>
  <c r="AC5" i="123"/>
  <c r="AB5" i="123"/>
  <c r="AA5" i="123"/>
  <c r="Z5" i="123"/>
  <c r="Y5" i="123"/>
  <c r="AN4" i="123"/>
  <c r="AM4" i="123"/>
  <c r="AL4" i="123"/>
  <c r="AK4" i="123"/>
  <c r="AJ4" i="123"/>
  <c r="AI4" i="123"/>
  <c r="AH4" i="123"/>
  <c r="AG4" i="123"/>
  <c r="AF4" i="123"/>
  <c r="AE4" i="123"/>
  <c r="AD4" i="123"/>
  <c r="AC4" i="123"/>
  <c r="AB4" i="123"/>
  <c r="AA4" i="123"/>
  <c r="Z4" i="123"/>
  <c r="Y4" i="123"/>
  <c r="V2" i="123"/>
  <c r="Y30" i="124" l="1"/>
  <c r="W30" i="123"/>
  <c r="Y31" i="124"/>
  <c r="Y29" i="124"/>
  <c r="W29" i="123"/>
  <c r="V2" i="121"/>
  <c r="X2" i="122"/>
  <c r="AR27" i="122"/>
  <c r="AQ27" i="122"/>
  <c r="AP27" i="122"/>
  <c r="AO27" i="122"/>
  <c r="AN27" i="122"/>
  <c r="AM27" i="122"/>
  <c r="AL27" i="122"/>
  <c r="AK27" i="122"/>
  <c r="AJ27" i="122"/>
  <c r="AI27" i="122"/>
  <c r="AH27" i="122"/>
  <c r="AG27" i="122"/>
  <c r="AF27" i="122"/>
  <c r="AE27" i="122"/>
  <c r="AD27" i="122"/>
  <c r="AC27" i="122"/>
  <c r="AB27" i="122"/>
  <c r="AA27" i="122"/>
  <c r="AR26" i="122"/>
  <c r="AQ26" i="122"/>
  <c r="AP26" i="122"/>
  <c r="AO26" i="122"/>
  <c r="AN26" i="122"/>
  <c r="AM26" i="122"/>
  <c r="AL26" i="122"/>
  <c r="AK26" i="122"/>
  <c r="AJ26" i="122"/>
  <c r="AI26" i="122"/>
  <c r="AH26" i="122"/>
  <c r="AG26" i="122"/>
  <c r="AF26" i="122"/>
  <c r="AE26" i="122"/>
  <c r="AD26" i="122"/>
  <c r="AC26" i="122"/>
  <c r="AB26" i="122"/>
  <c r="AA26" i="122"/>
  <c r="AR25" i="122"/>
  <c r="AQ25" i="122"/>
  <c r="AP25" i="122"/>
  <c r="AO25" i="122"/>
  <c r="AN25" i="122"/>
  <c r="AM25" i="122"/>
  <c r="AL25" i="122"/>
  <c r="AK25" i="122"/>
  <c r="AJ25" i="122"/>
  <c r="AI25" i="122"/>
  <c r="AH25" i="122"/>
  <c r="AG25" i="122"/>
  <c r="AF25" i="122"/>
  <c r="AE25" i="122"/>
  <c r="AD25" i="122"/>
  <c r="AC25" i="122"/>
  <c r="AB25" i="122"/>
  <c r="AA25" i="122"/>
  <c r="AR24" i="122"/>
  <c r="AQ24" i="122"/>
  <c r="AP24" i="122"/>
  <c r="AO24" i="122"/>
  <c r="AN24" i="122"/>
  <c r="AM24" i="122"/>
  <c r="AL24" i="122"/>
  <c r="AK24" i="122"/>
  <c r="AJ24" i="122"/>
  <c r="AI24" i="122"/>
  <c r="AH24" i="122"/>
  <c r="AG24" i="122"/>
  <c r="AF24" i="122"/>
  <c r="AE24" i="122"/>
  <c r="AD24" i="122"/>
  <c r="AC24" i="122"/>
  <c r="AB24" i="122"/>
  <c r="AA24" i="122"/>
  <c r="AR23" i="122"/>
  <c r="AQ23" i="122"/>
  <c r="AP23" i="122"/>
  <c r="AO23" i="122"/>
  <c r="AN23" i="122"/>
  <c r="AM23" i="122"/>
  <c r="AL23" i="122"/>
  <c r="AK23" i="122"/>
  <c r="AJ23" i="122"/>
  <c r="AI23" i="122"/>
  <c r="AH23" i="122"/>
  <c r="AG23" i="122"/>
  <c r="AF23" i="122"/>
  <c r="AE23" i="122"/>
  <c r="AD23" i="122"/>
  <c r="AC23" i="122"/>
  <c r="AB23" i="122"/>
  <c r="AA23" i="122"/>
  <c r="AR22" i="122"/>
  <c r="AQ22" i="122"/>
  <c r="AP22" i="122"/>
  <c r="AO22" i="122"/>
  <c r="AN22" i="122"/>
  <c r="AM22" i="122"/>
  <c r="AL22" i="122"/>
  <c r="AK22" i="122"/>
  <c r="AJ22" i="122"/>
  <c r="AI22" i="122"/>
  <c r="AH22" i="122"/>
  <c r="AG22" i="122"/>
  <c r="AF22" i="122"/>
  <c r="AE22" i="122"/>
  <c r="AD22" i="122"/>
  <c r="AC22" i="122"/>
  <c r="AB22" i="122"/>
  <c r="AA22" i="122"/>
  <c r="AR21" i="122"/>
  <c r="AQ21" i="122"/>
  <c r="AP21" i="122"/>
  <c r="AO21" i="122"/>
  <c r="AN21" i="122"/>
  <c r="AM21" i="122"/>
  <c r="AL21" i="122"/>
  <c r="AK21" i="122"/>
  <c r="AJ21" i="122"/>
  <c r="AI21" i="122"/>
  <c r="AH21" i="122"/>
  <c r="AG21" i="122"/>
  <c r="AF21" i="122"/>
  <c r="AE21" i="122"/>
  <c r="AD21" i="122"/>
  <c r="AC21" i="122"/>
  <c r="AB21" i="122"/>
  <c r="AA21" i="122"/>
  <c r="AR20" i="122"/>
  <c r="AQ20" i="122"/>
  <c r="AP20" i="122"/>
  <c r="AO20" i="122"/>
  <c r="AN20" i="122"/>
  <c r="AM20" i="122"/>
  <c r="AL20" i="122"/>
  <c r="AK20" i="122"/>
  <c r="AJ20" i="122"/>
  <c r="AI20" i="122"/>
  <c r="AH20" i="122"/>
  <c r="AG20" i="122"/>
  <c r="AF20" i="122"/>
  <c r="AE20" i="122"/>
  <c r="AD20" i="122"/>
  <c r="AC20" i="122"/>
  <c r="AB20" i="122"/>
  <c r="AA20" i="122"/>
  <c r="AR19" i="122"/>
  <c r="AQ19" i="122"/>
  <c r="AP19" i="122"/>
  <c r="AO19" i="122"/>
  <c r="AN19" i="122"/>
  <c r="AM19" i="122"/>
  <c r="AL19" i="122"/>
  <c r="AK19" i="122"/>
  <c r="AJ19" i="122"/>
  <c r="AI19" i="122"/>
  <c r="AH19" i="122"/>
  <c r="AG19" i="122"/>
  <c r="AF19" i="122"/>
  <c r="AE19" i="122"/>
  <c r="AD19" i="122"/>
  <c r="AC19" i="122"/>
  <c r="AB19" i="122"/>
  <c r="AA19" i="122"/>
  <c r="AR18" i="122"/>
  <c r="AQ18" i="122"/>
  <c r="AP18" i="122"/>
  <c r="AO18" i="122"/>
  <c r="AN18" i="122"/>
  <c r="AM18" i="122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AR17" i="122"/>
  <c r="AQ17" i="122"/>
  <c r="AP17" i="122"/>
  <c r="AO17" i="122"/>
  <c r="AN17" i="122"/>
  <c r="AM17" i="122"/>
  <c r="AL17" i="122"/>
  <c r="AK17" i="122"/>
  <c r="AJ17" i="122"/>
  <c r="AI17" i="122"/>
  <c r="AH17" i="122"/>
  <c r="AG17" i="122"/>
  <c r="AF17" i="122"/>
  <c r="AE17" i="122"/>
  <c r="AD17" i="122"/>
  <c r="AC17" i="122"/>
  <c r="AB17" i="122"/>
  <c r="AA17" i="122"/>
  <c r="AR16" i="122"/>
  <c r="AQ16" i="122"/>
  <c r="AP16" i="122"/>
  <c r="AO16" i="122"/>
  <c r="AN16" i="122"/>
  <c r="AM16" i="122"/>
  <c r="AL16" i="122"/>
  <c r="AK16" i="122"/>
  <c r="AJ16" i="122"/>
  <c r="AI16" i="122"/>
  <c r="AH16" i="122"/>
  <c r="AG16" i="122"/>
  <c r="AF16" i="122"/>
  <c r="AE16" i="122"/>
  <c r="AD16" i="122"/>
  <c r="AC16" i="122"/>
  <c r="AB16" i="122"/>
  <c r="AA16" i="122"/>
  <c r="AR15" i="122"/>
  <c r="AQ15" i="122"/>
  <c r="AP15" i="122"/>
  <c r="AO15" i="122"/>
  <c r="AN15" i="122"/>
  <c r="AM15" i="122"/>
  <c r="AL15" i="122"/>
  <c r="AK15" i="122"/>
  <c r="AJ15" i="122"/>
  <c r="AI15" i="122"/>
  <c r="AH15" i="122"/>
  <c r="AG15" i="122"/>
  <c r="AF15" i="122"/>
  <c r="AE15" i="122"/>
  <c r="AD15" i="122"/>
  <c r="AC15" i="122"/>
  <c r="AB15" i="122"/>
  <c r="AA15" i="122"/>
  <c r="AR14" i="122"/>
  <c r="AQ14" i="122"/>
  <c r="AP14" i="122"/>
  <c r="AO14" i="122"/>
  <c r="AN14" i="122"/>
  <c r="AM14" i="122"/>
  <c r="AL14" i="122"/>
  <c r="AK14" i="122"/>
  <c r="AJ14" i="122"/>
  <c r="AI14" i="122"/>
  <c r="AH14" i="122"/>
  <c r="AG14" i="122"/>
  <c r="AF14" i="122"/>
  <c r="AE14" i="122"/>
  <c r="AD14" i="122"/>
  <c r="AC14" i="122"/>
  <c r="AB14" i="122"/>
  <c r="AA14" i="122"/>
  <c r="AR13" i="122"/>
  <c r="AQ13" i="122"/>
  <c r="AP13" i="122"/>
  <c r="AO13" i="122"/>
  <c r="AN13" i="122"/>
  <c r="AM13" i="122"/>
  <c r="AL13" i="122"/>
  <c r="AK13" i="122"/>
  <c r="AJ13" i="122"/>
  <c r="AI13" i="122"/>
  <c r="AH13" i="122"/>
  <c r="AG13" i="122"/>
  <c r="AF13" i="122"/>
  <c r="AE13" i="122"/>
  <c r="AD13" i="122"/>
  <c r="AC13" i="122"/>
  <c r="AB13" i="122"/>
  <c r="AA13" i="122"/>
  <c r="AR12" i="122"/>
  <c r="AQ12" i="122"/>
  <c r="AP12" i="122"/>
  <c r="AO12" i="122"/>
  <c r="AN12" i="122"/>
  <c r="AM12" i="122"/>
  <c r="AL12" i="122"/>
  <c r="AK12" i="122"/>
  <c r="AJ12" i="122"/>
  <c r="AI12" i="122"/>
  <c r="AH12" i="122"/>
  <c r="AG12" i="122"/>
  <c r="AF12" i="122"/>
  <c r="AE12" i="122"/>
  <c r="AD12" i="122"/>
  <c r="AC12" i="122"/>
  <c r="AB12" i="122"/>
  <c r="AA12" i="122"/>
  <c r="AR11" i="122"/>
  <c r="AQ11" i="122"/>
  <c r="AP11" i="122"/>
  <c r="AO11" i="122"/>
  <c r="AN11" i="122"/>
  <c r="AM11" i="122"/>
  <c r="AL11" i="122"/>
  <c r="AK11" i="122"/>
  <c r="AJ11" i="122"/>
  <c r="AI11" i="122"/>
  <c r="AH11" i="122"/>
  <c r="AG11" i="122"/>
  <c r="AF11" i="122"/>
  <c r="AE11" i="122"/>
  <c r="AD11" i="122"/>
  <c r="AC11" i="122"/>
  <c r="AB11" i="122"/>
  <c r="AA11" i="122"/>
  <c r="AR10" i="122"/>
  <c r="AQ10" i="122"/>
  <c r="AP10" i="122"/>
  <c r="AO10" i="122"/>
  <c r="AN10" i="122"/>
  <c r="AM10" i="122"/>
  <c r="AL10" i="122"/>
  <c r="AK10" i="122"/>
  <c r="AJ10" i="122"/>
  <c r="AI10" i="122"/>
  <c r="AH10" i="122"/>
  <c r="AG10" i="122"/>
  <c r="AF10" i="122"/>
  <c r="AE10" i="122"/>
  <c r="AD10" i="122"/>
  <c r="AC10" i="122"/>
  <c r="AB10" i="122"/>
  <c r="AA10" i="122"/>
  <c r="AR9" i="122"/>
  <c r="AQ9" i="122"/>
  <c r="AP9" i="122"/>
  <c r="AO9" i="122"/>
  <c r="AN9" i="122"/>
  <c r="AM9" i="122"/>
  <c r="AL9" i="122"/>
  <c r="AK9" i="122"/>
  <c r="AJ9" i="122"/>
  <c r="AI9" i="122"/>
  <c r="AH9" i="122"/>
  <c r="AG9" i="122"/>
  <c r="AF9" i="122"/>
  <c r="AE9" i="122"/>
  <c r="AD9" i="122"/>
  <c r="AC9" i="122"/>
  <c r="AB9" i="122"/>
  <c r="AA9" i="122"/>
  <c r="AR8" i="122"/>
  <c r="AQ8" i="122"/>
  <c r="AP8" i="122"/>
  <c r="AO8" i="122"/>
  <c r="AN8" i="122"/>
  <c r="AM8" i="122"/>
  <c r="AL8" i="122"/>
  <c r="AK8" i="122"/>
  <c r="AJ8" i="122"/>
  <c r="AI8" i="122"/>
  <c r="AH8" i="122"/>
  <c r="AG8" i="122"/>
  <c r="AF8" i="122"/>
  <c r="AE8" i="122"/>
  <c r="AD8" i="122"/>
  <c r="AC8" i="122"/>
  <c r="AB8" i="122"/>
  <c r="AA8" i="122"/>
  <c r="AR7" i="122"/>
  <c r="AQ7" i="122"/>
  <c r="AP7" i="122"/>
  <c r="AO7" i="122"/>
  <c r="AN7" i="122"/>
  <c r="AM7" i="122"/>
  <c r="AL7" i="122"/>
  <c r="AK7" i="122"/>
  <c r="AJ7" i="122"/>
  <c r="AI7" i="122"/>
  <c r="AH7" i="122"/>
  <c r="AG7" i="122"/>
  <c r="AF7" i="122"/>
  <c r="AE7" i="122"/>
  <c r="AD7" i="122"/>
  <c r="AC7" i="122"/>
  <c r="AB7" i="122"/>
  <c r="AA7" i="122"/>
  <c r="AR6" i="122"/>
  <c r="AQ6" i="122"/>
  <c r="AP6" i="122"/>
  <c r="AO6" i="122"/>
  <c r="AN6" i="122"/>
  <c r="AM6" i="122"/>
  <c r="AL6" i="122"/>
  <c r="AK6" i="122"/>
  <c r="AJ6" i="122"/>
  <c r="AI6" i="122"/>
  <c r="AH6" i="122"/>
  <c r="AG6" i="122"/>
  <c r="AF6" i="122"/>
  <c r="AE6" i="122"/>
  <c r="AD6" i="122"/>
  <c r="AC6" i="122"/>
  <c r="AB6" i="122"/>
  <c r="AA6" i="122"/>
  <c r="AR5" i="122"/>
  <c r="AQ5" i="122"/>
  <c r="AP5" i="122"/>
  <c r="AO5" i="122"/>
  <c r="AN5" i="122"/>
  <c r="AM5" i="122"/>
  <c r="AL5" i="122"/>
  <c r="AK5" i="122"/>
  <c r="AJ5" i="122"/>
  <c r="AI5" i="122"/>
  <c r="AH5" i="122"/>
  <c r="AG5" i="122"/>
  <c r="AF5" i="122"/>
  <c r="AE5" i="122"/>
  <c r="AD5" i="122"/>
  <c r="AC5" i="122"/>
  <c r="AB5" i="122"/>
  <c r="AA5" i="122"/>
  <c r="AR4" i="122"/>
  <c r="AQ4" i="122"/>
  <c r="AP4" i="122"/>
  <c r="AO4" i="122"/>
  <c r="AN4" i="122"/>
  <c r="AM4" i="122"/>
  <c r="AL4" i="122"/>
  <c r="AK4" i="122"/>
  <c r="AJ4" i="122"/>
  <c r="AI4" i="122"/>
  <c r="AH4" i="122"/>
  <c r="AG4" i="122"/>
  <c r="AF4" i="122"/>
  <c r="AE4" i="122"/>
  <c r="AD4" i="122"/>
  <c r="AC4" i="122"/>
  <c r="AB4" i="122"/>
  <c r="AA4" i="122"/>
  <c r="AN27" i="121"/>
  <c r="AM27" i="121"/>
  <c r="AL27" i="121"/>
  <c r="AK27" i="121"/>
  <c r="AJ27" i="121"/>
  <c r="AI27" i="121"/>
  <c r="AH27" i="121"/>
  <c r="AG27" i="121"/>
  <c r="AF27" i="121"/>
  <c r="AE27" i="121"/>
  <c r="AD27" i="121"/>
  <c r="AC27" i="121"/>
  <c r="AB27" i="121"/>
  <c r="AA27" i="121"/>
  <c r="Z27" i="121"/>
  <c r="Y27" i="121"/>
  <c r="AN26" i="121"/>
  <c r="AM26" i="121"/>
  <c r="AL26" i="121"/>
  <c r="AK26" i="121"/>
  <c r="AJ26" i="121"/>
  <c r="AI26" i="121"/>
  <c r="AH26" i="121"/>
  <c r="AG26" i="121"/>
  <c r="AF26" i="121"/>
  <c r="AE26" i="121"/>
  <c r="AD26" i="121"/>
  <c r="AC26" i="121"/>
  <c r="AB26" i="121"/>
  <c r="AA26" i="121"/>
  <c r="Z26" i="121"/>
  <c r="Y26" i="121"/>
  <c r="AN25" i="121"/>
  <c r="AM25" i="121"/>
  <c r="AL25" i="121"/>
  <c r="AK25" i="121"/>
  <c r="AJ25" i="121"/>
  <c r="AI25" i="121"/>
  <c r="AH25" i="121"/>
  <c r="AG25" i="121"/>
  <c r="AF25" i="121"/>
  <c r="AE25" i="121"/>
  <c r="AD25" i="121"/>
  <c r="AC25" i="121"/>
  <c r="AB25" i="121"/>
  <c r="AA25" i="121"/>
  <c r="Z25" i="121"/>
  <c r="Y25" i="121"/>
  <c r="AN24" i="121"/>
  <c r="AM24" i="121"/>
  <c r="AL24" i="121"/>
  <c r="AK24" i="121"/>
  <c r="AJ24" i="121"/>
  <c r="AI24" i="121"/>
  <c r="AH24" i="121"/>
  <c r="AG24" i="121"/>
  <c r="AF24" i="121"/>
  <c r="AE24" i="121"/>
  <c r="AD24" i="121"/>
  <c r="AC24" i="121"/>
  <c r="AB24" i="121"/>
  <c r="AA24" i="121"/>
  <c r="Z24" i="121"/>
  <c r="Y24" i="121"/>
  <c r="AN23" i="121"/>
  <c r="AM23" i="121"/>
  <c r="AL23" i="121"/>
  <c r="AK23" i="121"/>
  <c r="AJ23" i="121"/>
  <c r="AI23" i="121"/>
  <c r="AH23" i="121"/>
  <c r="AG23" i="121"/>
  <c r="AF23" i="121"/>
  <c r="AE23" i="121"/>
  <c r="AD23" i="121"/>
  <c r="AC23" i="121"/>
  <c r="AB23" i="121"/>
  <c r="AA23" i="121"/>
  <c r="Z23" i="121"/>
  <c r="Y23" i="121"/>
  <c r="AN22" i="121"/>
  <c r="AM22" i="121"/>
  <c r="AL22" i="121"/>
  <c r="AK22" i="121"/>
  <c r="AJ22" i="121"/>
  <c r="AI22" i="121"/>
  <c r="AH22" i="121"/>
  <c r="AG22" i="121"/>
  <c r="AF22" i="121"/>
  <c r="AE22" i="121"/>
  <c r="AD22" i="121"/>
  <c r="AC22" i="121"/>
  <c r="AB22" i="121"/>
  <c r="AA22" i="121"/>
  <c r="Z22" i="121"/>
  <c r="Y22" i="121"/>
  <c r="AN21" i="121"/>
  <c r="AM21" i="121"/>
  <c r="AL21" i="121"/>
  <c r="AK21" i="121"/>
  <c r="AJ21" i="121"/>
  <c r="AI21" i="121"/>
  <c r="AH21" i="121"/>
  <c r="AG21" i="121"/>
  <c r="AF21" i="121"/>
  <c r="AE21" i="121"/>
  <c r="AD21" i="121"/>
  <c r="AC21" i="121"/>
  <c r="AB21" i="121"/>
  <c r="AA21" i="121"/>
  <c r="Z21" i="121"/>
  <c r="Y21" i="121"/>
  <c r="AN20" i="121"/>
  <c r="AM20" i="121"/>
  <c r="AL20" i="121"/>
  <c r="AK20" i="121"/>
  <c r="AJ20" i="121"/>
  <c r="AI20" i="121"/>
  <c r="AH20" i="121"/>
  <c r="AG20" i="121"/>
  <c r="AF20" i="121"/>
  <c r="AE20" i="121"/>
  <c r="AD20" i="121"/>
  <c r="AC20" i="121"/>
  <c r="AB20" i="121"/>
  <c r="AA20" i="121"/>
  <c r="Z20" i="121"/>
  <c r="Y20" i="121"/>
  <c r="AN19" i="121"/>
  <c r="AM19" i="121"/>
  <c r="AL19" i="121"/>
  <c r="AK19" i="121"/>
  <c r="AJ19" i="121"/>
  <c r="AI19" i="121"/>
  <c r="AH19" i="121"/>
  <c r="AG19" i="121"/>
  <c r="AF19" i="121"/>
  <c r="AE19" i="121"/>
  <c r="AD19" i="121"/>
  <c r="AC19" i="121"/>
  <c r="AB19" i="121"/>
  <c r="AA19" i="121"/>
  <c r="Z19" i="121"/>
  <c r="Y19" i="121"/>
  <c r="AN18" i="121"/>
  <c r="AM18" i="121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Z18" i="121"/>
  <c r="Y18" i="121"/>
  <c r="AN17" i="121"/>
  <c r="AM17" i="121"/>
  <c r="AL17" i="121"/>
  <c r="AK17" i="121"/>
  <c r="AJ17" i="121"/>
  <c r="AI17" i="121"/>
  <c r="AH17" i="121"/>
  <c r="AG17" i="121"/>
  <c r="AF17" i="121"/>
  <c r="AE17" i="121"/>
  <c r="AD17" i="121"/>
  <c r="AC17" i="121"/>
  <c r="AB17" i="121"/>
  <c r="AA17" i="121"/>
  <c r="Z17" i="121"/>
  <c r="Y17" i="121"/>
  <c r="AN16" i="121"/>
  <c r="AM16" i="121"/>
  <c r="AL16" i="121"/>
  <c r="AK16" i="121"/>
  <c r="AJ16" i="121"/>
  <c r="AI16" i="121"/>
  <c r="AH16" i="121"/>
  <c r="AG16" i="121"/>
  <c r="AF16" i="121"/>
  <c r="AE16" i="121"/>
  <c r="AD16" i="121"/>
  <c r="AC16" i="121"/>
  <c r="AB16" i="121"/>
  <c r="AA16" i="121"/>
  <c r="Z16" i="121"/>
  <c r="Y16" i="121"/>
  <c r="AN15" i="121"/>
  <c r="AM15" i="121"/>
  <c r="AL15" i="121"/>
  <c r="AK15" i="121"/>
  <c r="AJ15" i="121"/>
  <c r="AI15" i="121"/>
  <c r="AH15" i="121"/>
  <c r="AG15" i="121"/>
  <c r="AF15" i="121"/>
  <c r="AE15" i="121"/>
  <c r="AD15" i="121"/>
  <c r="AC15" i="121"/>
  <c r="AB15" i="121"/>
  <c r="AA15" i="121"/>
  <c r="Z15" i="121"/>
  <c r="Y15" i="121"/>
  <c r="AN14" i="121"/>
  <c r="AM14" i="121"/>
  <c r="AL14" i="121"/>
  <c r="AK14" i="121"/>
  <c r="AJ14" i="121"/>
  <c r="AI14" i="121"/>
  <c r="AH14" i="121"/>
  <c r="AG14" i="121"/>
  <c r="AF14" i="121"/>
  <c r="AE14" i="121"/>
  <c r="AD14" i="121"/>
  <c r="AC14" i="121"/>
  <c r="AB14" i="121"/>
  <c r="AA14" i="121"/>
  <c r="Z14" i="121"/>
  <c r="Y14" i="121"/>
  <c r="AN13" i="121"/>
  <c r="AM13" i="121"/>
  <c r="AL13" i="121"/>
  <c r="AK13" i="121"/>
  <c r="AJ13" i="121"/>
  <c r="AI13" i="121"/>
  <c r="AH13" i="121"/>
  <c r="AG13" i="121"/>
  <c r="AF13" i="121"/>
  <c r="AE13" i="121"/>
  <c r="AD13" i="121"/>
  <c r="AC13" i="121"/>
  <c r="AB13" i="121"/>
  <c r="AA13" i="121"/>
  <c r="Z13" i="121"/>
  <c r="Y13" i="121"/>
  <c r="AN12" i="121"/>
  <c r="AM12" i="121"/>
  <c r="AL12" i="121"/>
  <c r="AK12" i="121"/>
  <c r="AJ12" i="121"/>
  <c r="AI12" i="121"/>
  <c r="AH12" i="121"/>
  <c r="AG12" i="121"/>
  <c r="AF12" i="121"/>
  <c r="AE12" i="121"/>
  <c r="AD12" i="121"/>
  <c r="AC12" i="121"/>
  <c r="AB12" i="121"/>
  <c r="AA12" i="121"/>
  <c r="Z12" i="121"/>
  <c r="Y12" i="121"/>
  <c r="AN11" i="121"/>
  <c r="AM11" i="121"/>
  <c r="AL11" i="121"/>
  <c r="AK11" i="121"/>
  <c r="AJ11" i="121"/>
  <c r="AI11" i="121"/>
  <c r="AH11" i="121"/>
  <c r="AG11" i="121"/>
  <c r="AF11" i="121"/>
  <c r="AE11" i="121"/>
  <c r="AD11" i="121"/>
  <c r="AC11" i="121"/>
  <c r="AB11" i="121"/>
  <c r="AA11" i="121"/>
  <c r="Z11" i="121"/>
  <c r="Y11" i="121"/>
  <c r="AN10" i="121"/>
  <c r="AM10" i="121"/>
  <c r="AL10" i="121"/>
  <c r="AK10" i="121"/>
  <c r="AJ10" i="121"/>
  <c r="AI10" i="121"/>
  <c r="AH10" i="121"/>
  <c r="AG10" i="121"/>
  <c r="AF10" i="121"/>
  <c r="AE10" i="121"/>
  <c r="AD10" i="121"/>
  <c r="AC10" i="121"/>
  <c r="AB10" i="121"/>
  <c r="AA10" i="121"/>
  <c r="Z10" i="121"/>
  <c r="Y10" i="121"/>
  <c r="AN9" i="121"/>
  <c r="AM9" i="121"/>
  <c r="AL9" i="121"/>
  <c r="AK9" i="121"/>
  <c r="AJ9" i="121"/>
  <c r="AI9" i="121"/>
  <c r="AH9" i="121"/>
  <c r="AG9" i="121"/>
  <c r="AF9" i="121"/>
  <c r="AE9" i="121"/>
  <c r="AD9" i="121"/>
  <c r="AC9" i="121"/>
  <c r="AB9" i="121"/>
  <c r="AA9" i="121"/>
  <c r="Z9" i="121"/>
  <c r="Y9" i="121"/>
  <c r="AN8" i="121"/>
  <c r="AM8" i="121"/>
  <c r="AL8" i="121"/>
  <c r="AK8" i="121"/>
  <c r="AJ8" i="121"/>
  <c r="AI8" i="121"/>
  <c r="AH8" i="121"/>
  <c r="AG8" i="121"/>
  <c r="AF8" i="121"/>
  <c r="AE8" i="121"/>
  <c r="AD8" i="121"/>
  <c r="AC8" i="121"/>
  <c r="AB8" i="121"/>
  <c r="AA8" i="121"/>
  <c r="Z8" i="121"/>
  <c r="Y8" i="121"/>
  <c r="AN7" i="121"/>
  <c r="AM7" i="121"/>
  <c r="AL7" i="121"/>
  <c r="AK7" i="121"/>
  <c r="AJ7" i="121"/>
  <c r="AI7" i="121"/>
  <c r="AH7" i="121"/>
  <c r="AG7" i="121"/>
  <c r="AF7" i="121"/>
  <c r="AE7" i="121"/>
  <c r="AD7" i="121"/>
  <c r="AC7" i="121"/>
  <c r="AB7" i="121"/>
  <c r="AA7" i="121"/>
  <c r="Z7" i="121"/>
  <c r="Y7" i="121"/>
  <c r="AN6" i="121"/>
  <c r="AM6" i="121"/>
  <c r="AL6" i="121"/>
  <c r="AK6" i="121"/>
  <c r="AJ6" i="121"/>
  <c r="AI6" i="121"/>
  <c r="AH6" i="121"/>
  <c r="AG6" i="121"/>
  <c r="AF6" i="121"/>
  <c r="AE6" i="121"/>
  <c r="AD6" i="121"/>
  <c r="AC6" i="121"/>
  <c r="AB6" i="121"/>
  <c r="AA6" i="121"/>
  <c r="Z6" i="121"/>
  <c r="Y6" i="121"/>
  <c r="AN5" i="121"/>
  <c r="AM5" i="121"/>
  <c r="AL5" i="121"/>
  <c r="AK5" i="121"/>
  <c r="AJ5" i="121"/>
  <c r="AI5" i="121"/>
  <c r="AH5" i="121"/>
  <c r="AG5" i="121"/>
  <c r="AF5" i="121"/>
  <c r="AE5" i="121"/>
  <c r="AD5" i="121"/>
  <c r="AC5" i="121"/>
  <c r="AB5" i="121"/>
  <c r="AA5" i="121"/>
  <c r="Z5" i="121"/>
  <c r="Y5" i="121"/>
  <c r="AN4" i="121"/>
  <c r="AM4" i="121"/>
  <c r="AL4" i="121"/>
  <c r="AK4" i="121"/>
  <c r="AJ4" i="121"/>
  <c r="AI4" i="121"/>
  <c r="AH4" i="121"/>
  <c r="AG4" i="121"/>
  <c r="AF4" i="121"/>
  <c r="AE4" i="121"/>
  <c r="AD4" i="121"/>
  <c r="AC4" i="121"/>
  <c r="AB4" i="121"/>
  <c r="AA4" i="121"/>
  <c r="Z4" i="121"/>
  <c r="Y4" i="121"/>
  <c r="Y30" i="122" l="1"/>
  <c r="Y31" i="122"/>
  <c r="W31" i="121"/>
  <c r="W29" i="121"/>
  <c r="W30" i="121"/>
  <c r="Y29" i="122"/>
  <c r="AR27" i="120" l="1"/>
  <c r="AQ27" i="120"/>
  <c r="AP27" i="120"/>
  <c r="AO27" i="120"/>
  <c r="AN27" i="120"/>
  <c r="AM27" i="120"/>
  <c r="AL27" i="120"/>
  <c r="AK27" i="120"/>
  <c r="AJ27" i="120"/>
  <c r="AI27" i="120"/>
  <c r="AH27" i="120"/>
  <c r="AG27" i="120"/>
  <c r="AF27" i="120"/>
  <c r="AE27" i="120"/>
  <c r="AD27" i="120"/>
  <c r="AC27" i="120"/>
  <c r="AB27" i="120"/>
  <c r="AA27" i="120"/>
  <c r="AR26" i="120"/>
  <c r="AQ26" i="120"/>
  <c r="AP26" i="120"/>
  <c r="AO26" i="120"/>
  <c r="AN26" i="120"/>
  <c r="AM26" i="120"/>
  <c r="AL26" i="120"/>
  <c r="AK26" i="120"/>
  <c r="AJ26" i="120"/>
  <c r="AI26" i="120"/>
  <c r="AH26" i="120"/>
  <c r="AG26" i="120"/>
  <c r="AF26" i="120"/>
  <c r="AE26" i="120"/>
  <c r="AD26" i="120"/>
  <c r="AC26" i="120"/>
  <c r="AB26" i="120"/>
  <c r="AA26" i="120"/>
  <c r="AR25" i="120"/>
  <c r="AQ25" i="120"/>
  <c r="AP25" i="120"/>
  <c r="AO25" i="120"/>
  <c r="AN25" i="120"/>
  <c r="AM25" i="120"/>
  <c r="AL25" i="120"/>
  <c r="AK25" i="120"/>
  <c r="AJ25" i="120"/>
  <c r="AI25" i="120"/>
  <c r="AH25" i="120"/>
  <c r="AG25" i="120"/>
  <c r="AF25" i="120"/>
  <c r="AE25" i="120"/>
  <c r="AD25" i="120"/>
  <c r="AC25" i="120"/>
  <c r="AB25" i="120"/>
  <c r="AA25" i="120"/>
  <c r="AR24" i="120"/>
  <c r="AQ24" i="120"/>
  <c r="AP24" i="120"/>
  <c r="AO24" i="120"/>
  <c r="AN24" i="120"/>
  <c r="AM24" i="120"/>
  <c r="AL24" i="120"/>
  <c r="AK24" i="120"/>
  <c r="AJ24" i="120"/>
  <c r="AI24" i="120"/>
  <c r="AH24" i="120"/>
  <c r="AG24" i="120"/>
  <c r="AF24" i="120"/>
  <c r="AE24" i="120"/>
  <c r="AD24" i="120"/>
  <c r="AC24" i="120"/>
  <c r="AB24" i="120"/>
  <c r="AA24" i="120"/>
  <c r="AR23" i="120"/>
  <c r="AQ23" i="120"/>
  <c r="AP23" i="120"/>
  <c r="AO23" i="120"/>
  <c r="AN23" i="120"/>
  <c r="AM23" i="120"/>
  <c r="AL23" i="120"/>
  <c r="AK23" i="120"/>
  <c r="AJ23" i="120"/>
  <c r="AI23" i="120"/>
  <c r="AH23" i="120"/>
  <c r="AG23" i="120"/>
  <c r="AF23" i="120"/>
  <c r="AE23" i="120"/>
  <c r="AD23" i="120"/>
  <c r="AC23" i="120"/>
  <c r="AB23" i="120"/>
  <c r="AA23" i="120"/>
  <c r="AR22" i="120"/>
  <c r="AQ22" i="120"/>
  <c r="AP22" i="120"/>
  <c r="AO22" i="120"/>
  <c r="AN22" i="120"/>
  <c r="AM22" i="120"/>
  <c r="AL22" i="120"/>
  <c r="AK22" i="120"/>
  <c r="AJ22" i="120"/>
  <c r="AI22" i="120"/>
  <c r="AH22" i="120"/>
  <c r="AG22" i="120"/>
  <c r="AF22" i="120"/>
  <c r="AE22" i="120"/>
  <c r="AD22" i="120"/>
  <c r="AC22" i="120"/>
  <c r="AB22" i="120"/>
  <c r="AA22" i="120"/>
  <c r="AR21" i="120"/>
  <c r="AQ21" i="120"/>
  <c r="AP21" i="120"/>
  <c r="AO21" i="120"/>
  <c r="AN21" i="120"/>
  <c r="AM21" i="120"/>
  <c r="AL21" i="120"/>
  <c r="AK21" i="120"/>
  <c r="AJ21" i="120"/>
  <c r="AI21" i="120"/>
  <c r="AH21" i="120"/>
  <c r="AG21" i="120"/>
  <c r="AF21" i="120"/>
  <c r="AE21" i="120"/>
  <c r="AD21" i="120"/>
  <c r="AC21" i="120"/>
  <c r="AB21" i="120"/>
  <c r="AA21" i="120"/>
  <c r="AR20" i="120"/>
  <c r="AQ20" i="120"/>
  <c r="AP20" i="120"/>
  <c r="AO20" i="120"/>
  <c r="AN20" i="120"/>
  <c r="AM20" i="120"/>
  <c r="AL20" i="120"/>
  <c r="AK20" i="120"/>
  <c r="AJ20" i="120"/>
  <c r="AI20" i="120"/>
  <c r="AH20" i="120"/>
  <c r="AG20" i="120"/>
  <c r="AF20" i="120"/>
  <c r="AE20" i="120"/>
  <c r="AD20" i="120"/>
  <c r="AC20" i="120"/>
  <c r="AB20" i="120"/>
  <c r="AA20" i="120"/>
  <c r="AR19" i="120"/>
  <c r="AQ19" i="120"/>
  <c r="AP19" i="120"/>
  <c r="AO19" i="120"/>
  <c r="AN19" i="120"/>
  <c r="AM19" i="120"/>
  <c r="AL19" i="120"/>
  <c r="AK19" i="120"/>
  <c r="AJ19" i="120"/>
  <c r="AI19" i="120"/>
  <c r="AH19" i="120"/>
  <c r="AG19" i="120"/>
  <c r="AF19" i="120"/>
  <c r="AE19" i="120"/>
  <c r="AD19" i="120"/>
  <c r="AC19" i="120"/>
  <c r="AB19" i="120"/>
  <c r="AA19" i="120"/>
  <c r="AR18" i="120"/>
  <c r="AQ18" i="120"/>
  <c r="AP18" i="120"/>
  <c r="AO18" i="120"/>
  <c r="AN18" i="120"/>
  <c r="AM18" i="120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AR17" i="120"/>
  <c r="AQ17" i="120"/>
  <c r="AP17" i="120"/>
  <c r="AO17" i="120"/>
  <c r="AN17" i="120"/>
  <c r="AM17" i="120"/>
  <c r="AL17" i="120"/>
  <c r="AK17" i="120"/>
  <c r="AJ17" i="120"/>
  <c r="AI17" i="120"/>
  <c r="AH17" i="120"/>
  <c r="AG17" i="120"/>
  <c r="AF17" i="120"/>
  <c r="AE17" i="120"/>
  <c r="AD17" i="120"/>
  <c r="AC17" i="120"/>
  <c r="AB17" i="120"/>
  <c r="AA17" i="120"/>
  <c r="AR16" i="120"/>
  <c r="AQ16" i="120"/>
  <c r="AP16" i="120"/>
  <c r="AO16" i="120"/>
  <c r="AN16" i="120"/>
  <c r="AM16" i="120"/>
  <c r="AL16" i="120"/>
  <c r="AK16" i="120"/>
  <c r="AJ16" i="120"/>
  <c r="AI16" i="120"/>
  <c r="AH16" i="120"/>
  <c r="AG16" i="120"/>
  <c r="AF16" i="120"/>
  <c r="AE16" i="120"/>
  <c r="AD16" i="120"/>
  <c r="AC16" i="120"/>
  <c r="AB16" i="120"/>
  <c r="AA16" i="120"/>
  <c r="AR15" i="120"/>
  <c r="AQ15" i="120"/>
  <c r="AP15" i="120"/>
  <c r="AO15" i="120"/>
  <c r="AN15" i="120"/>
  <c r="AM15" i="120"/>
  <c r="AL15" i="120"/>
  <c r="AK15" i="120"/>
  <c r="AJ15" i="120"/>
  <c r="AI15" i="120"/>
  <c r="AH15" i="120"/>
  <c r="AG15" i="120"/>
  <c r="AF15" i="120"/>
  <c r="AE15" i="120"/>
  <c r="AD15" i="120"/>
  <c r="AC15" i="120"/>
  <c r="AB15" i="120"/>
  <c r="AA15" i="120"/>
  <c r="AR14" i="120"/>
  <c r="AQ14" i="120"/>
  <c r="AP14" i="120"/>
  <c r="AO14" i="120"/>
  <c r="AN14" i="120"/>
  <c r="AM14" i="120"/>
  <c r="AL14" i="120"/>
  <c r="AK14" i="120"/>
  <c r="AJ14" i="120"/>
  <c r="AI14" i="120"/>
  <c r="AH14" i="120"/>
  <c r="AG14" i="120"/>
  <c r="AF14" i="120"/>
  <c r="AE14" i="120"/>
  <c r="AD14" i="120"/>
  <c r="AC14" i="120"/>
  <c r="AB14" i="120"/>
  <c r="AA14" i="120"/>
  <c r="AR13" i="120"/>
  <c r="AQ13" i="120"/>
  <c r="AP13" i="120"/>
  <c r="AO13" i="120"/>
  <c r="AN13" i="120"/>
  <c r="AM13" i="120"/>
  <c r="AL13" i="120"/>
  <c r="AK13" i="120"/>
  <c r="AJ13" i="120"/>
  <c r="AI13" i="120"/>
  <c r="AH13" i="120"/>
  <c r="AG13" i="120"/>
  <c r="AF13" i="120"/>
  <c r="AE13" i="120"/>
  <c r="AD13" i="120"/>
  <c r="AC13" i="120"/>
  <c r="AB13" i="120"/>
  <c r="AA13" i="120"/>
  <c r="AR12" i="120"/>
  <c r="AQ12" i="120"/>
  <c r="AP12" i="120"/>
  <c r="AO12" i="120"/>
  <c r="AN12" i="120"/>
  <c r="AM12" i="120"/>
  <c r="AL12" i="120"/>
  <c r="AK12" i="120"/>
  <c r="AJ12" i="120"/>
  <c r="AI12" i="120"/>
  <c r="AH12" i="120"/>
  <c r="AG12" i="120"/>
  <c r="AF12" i="120"/>
  <c r="AE12" i="120"/>
  <c r="AD12" i="120"/>
  <c r="AC12" i="120"/>
  <c r="AB12" i="120"/>
  <c r="AA12" i="120"/>
  <c r="AR11" i="120"/>
  <c r="AQ11" i="120"/>
  <c r="AP11" i="120"/>
  <c r="AO11" i="120"/>
  <c r="AN11" i="120"/>
  <c r="AM11" i="120"/>
  <c r="AL11" i="120"/>
  <c r="AK11" i="120"/>
  <c r="AJ11" i="120"/>
  <c r="AI11" i="120"/>
  <c r="AH11" i="120"/>
  <c r="AG11" i="120"/>
  <c r="AF11" i="120"/>
  <c r="AE11" i="120"/>
  <c r="AD11" i="120"/>
  <c r="AC11" i="120"/>
  <c r="AB11" i="120"/>
  <c r="AA11" i="120"/>
  <c r="AR10" i="120"/>
  <c r="AQ10" i="120"/>
  <c r="AP10" i="120"/>
  <c r="AO10" i="120"/>
  <c r="AN10" i="120"/>
  <c r="AM10" i="120"/>
  <c r="AL10" i="120"/>
  <c r="AK10" i="120"/>
  <c r="AJ10" i="120"/>
  <c r="AI10" i="120"/>
  <c r="AH10" i="120"/>
  <c r="AG10" i="120"/>
  <c r="AF10" i="120"/>
  <c r="AE10" i="120"/>
  <c r="AD10" i="120"/>
  <c r="AC10" i="120"/>
  <c r="AB10" i="120"/>
  <c r="AA10" i="120"/>
  <c r="AR9" i="120"/>
  <c r="AQ9" i="120"/>
  <c r="AP9" i="120"/>
  <c r="AO9" i="120"/>
  <c r="AN9" i="120"/>
  <c r="AM9" i="120"/>
  <c r="AL9" i="120"/>
  <c r="AK9" i="120"/>
  <c r="AJ9" i="120"/>
  <c r="AI9" i="120"/>
  <c r="AH9" i="120"/>
  <c r="AG9" i="120"/>
  <c r="AF9" i="120"/>
  <c r="AE9" i="120"/>
  <c r="AD9" i="120"/>
  <c r="AC9" i="120"/>
  <c r="AB9" i="120"/>
  <c r="AA9" i="120"/>
  <c r="AR8" i="120"/>
  <c r="AQ8" i="120"/>
  <c r="AP8" i="120"/>
  <c r="AO8" i="120"/>
  <c r="AN8" i="120"/>
  <c r="AM8" i="120"/>
  <c r="AL8" i="120"/>
  <c r="AK8" i="120"/>
  <c r="AJ8" i="120"/>
  <c r="AI8" i="120"/>
  <c r="AH8" i="120"/>
  <c r="AG8" i="120"/>
  <c r="AF8" i="120"/>
  <c r="AE8" i="120"/>
  <c r="AD8" i="120"/>
  <c r="AC8" i="120"/>
  <c r="AB8" i="120"/>
  <c r="AA8" i="120"/>
  <c r="AR7" i="120"/>
  <c r="AQ7" i="120"/>
  <c r="AP7" i="120"/>
  <c r="AO7" i="120"/>
  <c r="AN7" i="120"/>
  <c r="AM7" i="120"/>
  <c r="AL7" i="120"/>
  <c r="AK7" i="120"/>
  <c r="AJ7" i="120"/>
  <c r="AI7" i="120"/>
  <c r="AH7" i="120"/>
  <c r="AG7" i="120"/>
  <c r="AF7" i="120"/>
  <c r="AE7" i="120"/>
  <c r="AD7" i="120"/>
  <c r="AC7" i="120"/>
  <c r="AB7" i="120"/>
  <c r="AA7" i="120"/>
  <c r="AR6" i="120"/>
  <c r="AQ6" i="120"/>
  <c r="AP6" i="120"/>
  <c r="AO6" i="120"/>
  <c r="AN6" i="120"/>
  <c r="AM6" i="120"/>
  <c r="AL6" i="120"/>
  <c r="AK6" i="120"/>
  <c r="AJ6" i="120"/>
  <c r="AI6" i="120"/>
  <c r="AH6" i="120"/>
  <c r="AG6" i="120"/>
  <c r="AF6" i="120"/>
  <c r="AE6" i="120"/>
  <c r="AD6" i="120"/>
  <c r="AC6" i="120"/>
  <c r="AB6" i="120"/>
  <c r="AA6" i="120"/>
  <c r="AR5" i="120"/>
  <c r="AQ5" i="120"/>
  <c r="AP5" i="120"/>
  <c r="AO5" i="120"/>
  <c r="AN5" i="120"/>
  <c r="AM5" i="120"/>
  <c r="AL5" i="120"/>
  <c r="AK5" i="120"/>
  <c r="AJ5" i="120"/>
  <c r="AI5" i="120"/>
  <c r="AH5" i="120"/>
  <c r="AG5" i="120"/>
  <c r="AF5" i="120"/>
  <c r="AE5" i="120"/>
  <c r="AD5" i="120"/>
  <c r="AC5" i="120"/>
  <c r="AB5" i="120"/>
  <c r="AA5" i="120"/>
  <c r="AR4" i="120"/>
  <c r="AQ4" i="120"/>
  <c r="AP4" i="120"/>
  <c r="AO4" i="120"/>
  <c r="AN4" i="120"/>
  <c r="AM4" i="120"/>
  <c r="AL4" i="120"/>
  <c r="AK4" i="120"/>
  <c r="AJ4" i="120"/>
  <c r="AI4" i="120"/>
  <c r="AH4" i="120"/>
  <c r="AG4" i="120"/>
  <c r="AF4" i="120"/>
  <c r="AE4" i="120"/>
  <c r="AD4" i="120"/>
  <c r="AC4" i="120"/>
  <c r="AB4" i="120"/>
  <c r="AA4" i="120"/>
  <c r="AN27" i="119"/>
  <c r="AM27" i="119"/>
  <c r="AL27" i="119"/>
  <c r="AK27" i="119"/>
  <c r="AJ27" i="119"/>
  <c r="AI27" i="119"/>
  <c r="AH27" i="119"/>
  <c r="AG27" i="119"/>
  <c r="AF27" i="119"/>
  <c r="AE27" i="119"/>
  <c r="AD27" i="119"/>
  <c r="AC27" i="119"/>
  <c r="AB27" i="119"/>
  <c r="AA27" i="119"/>
  <c r="Z27" i="119"/>
  <c r="Y27" i="119"/>
  <c r="AN26" i="119"/>
  <c r="AM26" i="119"/>
  <c r="AL26" i="119"/>
  <c r="AK26" i="119"/>
  <c r="AJ26" i="119"/>
  <c r="AI26" i="119"/>
  <c r="AH26" i="119"/>
  <c r="AG26" i="119"/>
  <c r="AF26" i="119"/>
  <c r="AE26" i="119"/>
  <c r="AD26" i="119"/>
  <c r="AC26" i="119"/>
  <c r="AB26" i="119"/>
  <c r="AA26" i="119"/>
  <c r="Z26" i="119"/>
  <c r="Y26" i="119"/>
  <c r="AN25" i="119"/>
  <c r="AM25" i="119"/>
  <c r="AL25" i="119"/>
  <c r="AK25" i="119"/>
  <c r="AJ25" i="119"/>
  <c r="AI25" i="119"/>
  <c r="AH25" i="119"/>
  <c r="AG25" i="119"/>
  <c r="AF25" i="119"/>
  <c r="AE25" i="119"/>
  <c r="AD25" i="119"/>
  <c r="AC25" i="119"/>
  <c r="AB25" i="119"/>
  <c r="AA25" i="119"/>
  <c r="Z25" i="119"/>
  <c r="Y25" i="119"/>
  <c r="AN24" i="119"/>
  <c r="AM24" i="119"/>
  <c r="AL24" i="119"/>
  <c r="AK24" i="119"/>
  <c r="AJ24" i="119"/>
  <c r="AI24" i="119"/>
  <c r="AH24" i="119"/>
  <c r="AG24" i="119"/>
  <c r="AF24" i="119"/>
  <c r="AE24" i="119"/>
  <c r="AD24" i="119"/>
  <c r="AC24" i="119"/>
  <c r="AB24" i="119"/>
  <c r="AA24" i="119"/>
  <c r="Z24" i="119"/>
  <c r="Y24" i="119"/>
  <c r="AN23" i="119"/>
  <c r="AM23" i="119"/>
  <c r="AL23" i="119"/>
  <c r="AK23" i="119"/>
  <c r="AJ23" i="119"/>
  <c r="AI23" i="119"/>
  <c r="AH23" i="119"/>
  <c r="AG23" i="119"/>
  <c r="AF23" i="119"/>
  <c r="AE23" i="119"/>
  <c r="AD23" i="119"/>
  <c r="AC23" i="119"/>
  <c r="AB23" i="119"/>
  <c r="AA23" i="119"/>
  <c r="Z23" i="119"/>
  <c r="Y23" i="119"/>
  <c r="AN22" i="119"/>
  <c r="AM22" i="119"/>
  <c r="AL22" i="119"/>
  <c r="AK22" i="119"/>
  <c r="AJ22" i="119"/>
  <c r="AI22" i="119"/>
  <c r="AH22" i="119"/>
  <c r="AG22" i="119"/>
  <c r="AF22" i="119"/>
  <c r="AE22" i="119"/>
  <c r="AD22" i="119"/>
  <c r="AC22" i="119"/>
  <c r="AB22" i="119"/>
  <c r="AA22" i="119"/>
  <c r="Z22" i="119"/>
  <c r="Y22" i="119"/>
  <c r="AN21" i="119"/>
  <c r="AM21" i="119"/>
  <c r="AL21" i="119"/>
  <c r="AK21" i="119"/>
  <c r="AJ21" i="119"/>
  <c r="AI21" i="119"/>
  <c r="AH21" i="119"/>
  <c r="AG21" i="119"/>
  <c r="AF21" i="119"/>
  <c r="AE21" i="119"/>
  <c r="AD21" i="119"/>
  <c r="AC21" i="119"/>
  <c r="AB21" i="119"/>
  <c r="AA21" i="119"/>
  <c r="Z21" i="119"/>
  <c r="Y21" i="119"/>
  <c r="AN20" i="119"/>
  <c r="AM20" i="119"/>
  <c r="AL20" i="119"/>
  <c r="AK20" i="119"/>
  <c r="AJ20" i="119"/>
  <c r="AI20" i="119"/>
  <c r="AH20" i="119"/>
  <c r="AG20" i="119"/>
  <c r="AF20" i="119"/>
  <c r="AE20" i="119"/>
  <c r="AD20" i="119"/>
  <c r="AC20" i="119"/>
  <c r="AB20" i="119"/>
  <c r="AA20" i="119"/>
  <c r="Z20" i="119"/>
  <c r="Y20" i="119"/>
  <c r="AN19" i="119"/>
  <c r="AM19" i="119"/>
  <c r="AL19" i="119"/>
  <c r="AK19" i="119"/>
  <c r="AJ19" i="119"/>
  <c r="AI19" i="119"/>
  <c r="AH19" i="119"/>
  <c r="AG19" i="119"/>
  <c r="AF19" i="119"/>
  <c r="AE19" i="119"/>
  <c r="AD19" i="119"/>
  <c r="AC19" i="119"/>
  <c r="AB19" i="119"/>
  <c r="AA19" i="119"/>
  <c r="Z19" i="119"/>
  <c r="Y19" i="119"/>
  <c r="AN18" i="119"/>
  <c r="AM18" i="119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Z18" i="119"/>
  <c r="Y18" i="119"/>
  <c r="AN17" i="119"/>
  <c r="AM17" i="119"/>
  <c r="AL17" i="119"/>
  <c r="AK17" i="119"/>
  <c r="AJ17" i="119"/>
  <c r="AI17" i="119"/>
  <c r="AH17" i="119"/>
  <c r="AG17" i="119"/>
  <c r="AF17" i="119"/>
  <c r="AE17" i="119"/>
  <c r="AD17" i="119"/>
  <c r="AC17" i="119"/>
  <c r="AB17" i="119"/>
  <c r="AA17" i="119"/>
  <c r="Z17" i="119"/>
  <c r="Y17" i="119"/>
  <c r="AN16" i="119"/>
  <c r="AM16" i="119"/>
  <c r="AL16" i="119"/>
  <c r="AK16" i="119"/>
  <c r="AJ16" i="119"/>
  <c r="AI16" i="119"/>
  <c r="AH16" i="119"/>
  <c r="AG16" i="119"/>
  <c r="AF16" i="119"/>
  <c r="AE16" i="119"/>
  <c r="AD16" i="119"/>
  <c r="AC16" i="119"/>
  <c r="AB16" i="119"/>
  <c r="AA16" i="119"/>
  <c r="Z16" i="119"/>
  <c r="Y16" i="119"/>
  <c r="AN15" i="119"/>
  <c r="AM15" i="119"/>
  <c r="AL15" i="119"/>
  <c r="AK15" i="119"/>
  <c r="AJ15" i="119"/>
  <c r="AI15" i="119"/>
  <c r="AH15" i="119"/>
  <c r="AG15" i="119"/>
  <c r="AF15" i="119"/>
  <c r="AE15" i="119"/>
  <c r="AD15" i="119"/>
  <c r="AC15" i="119"/>
  <c r="AB15" i="119"/>
  <c r="AA15" i="119"/>
  <c r="Z15" i="119"/>
  <c r="Y15" i="119"/>
  <c r="AN14" i="119"/>
  <c r="AM14" i="119"/>
  <c r="AL14" i="119"/>
  <c r="AK14" i="119"/>
  <c r="AJ14" i="119"/>
  <c r="AI14" i="119"/>
  <c r="AH14" i="119"/>
  <c r="AG14" i="119"/>
  <c r="AF14" i="119"/>
  <c r="AE14" i="119"/>
  <c r="AD14" i="119"/>
  <c r="AC14" i="119"/>
  <c r="AB14" i="119"/>
  <c r="AA14" i="119"/>
  <c r="Z14" i="119"/>
  <c r="Y14" i="119"/>
  <c r="AN13" i="119"/>
  <c r="AM13" i="119"/>
  <c r="AL13" i="119"/>
  <c r="AK13" i="119"/>
  <c r="AJ13" i="119"/>
  <c r="AI13" i="119"/>
  <c r="AH13" i="119"/>
  <c r="AG13" i="119"/>
  <c r="AF13" i="119"/>
  <c r="AE13" i="119"/>
  <c r="AD13" i="119"/>
  <c r="AC13" i="119"/>
  <c r="AB13" i="119"/>
  <c r="AA13" i="119"/>
  <c r="Z13" i="119"/>
  <c r="Y13" i="119"/>
  <c r="AN12" i="119"/>
  <c r="AM12" i="119"/>
  <c r="AL12" i="119"/>
  <c r="AK12" i="119"/>
  <c r="AJ12" i="119"/>
  <c r="AI12" i="119"/>
  <c r="AH12" i="119"/>
  <c r="AG12" i="119"/>
  <c r="AF12" i="119"/>
  <c r="AE12" i="119"/>
  <c r="AD12" i="119"/>
  <c r="AC12" i="119"/>
  <c r="AB12" i="119"/>
  <c r="AA12" i="119"/>
  <c r="Z12" i="119"/>
  <c r="Y12" i="119"/>
  <c r="AN11" i="119"/>
  <c r="AM11" i="119"/>
  <c r="AL11" i="119"/>
  <c r="AK11" i="119"/>
  <c r="AJ11" i="119"/>
  <c r="AI11" i="119"/>
  <c r="AH11" i="119"/>
  <c r="AG11" i="119"/>
  <c r="AF11" i="119"/>
  <c r="AE11" i="119"/>
  <c r="AD11" i="119"/>
  <c r="AC11" i="119"/>
  <c r="AB11" i="119"/>
  <c r="AA11" i="119"/>
  <c r="Z11" i="119"/>
  <c r="Y11" i="119"/>
  <c r="AN10" i="119"/>
  <c r="AM10" i="119"/>
  <c r="AL10" i="119"/>
  <c r="AK10" i="119"/>
  <c r="AJ10" i="119"/>
  <c r="AI10" i="119"/>
  <c r="AH10" i="119"/>
  <c r="AG10" i="119"/>
  <c r="AF10" i="119"/>
  <c r="AE10" i="119"/>
  <c r="AD10" i="119"/>
  <c r="AC10" i="119"/>
  <c r="AB10" i="119"/>
  <c r="AA10" i="119"/>
  <c r="Z10" i="119"/>
  <c r="Y10" i="119"/>
  <c r="AN9" i="119"/>
  <c r="AM9" i="119"/>
  <c r="AL9" i="119"/>
  <c r="AK9" i="119"/>
  <c r="AJ9" i="119"/>
  <c r="AI9" i="119"/>
  <c r="AH9" i="119"/>
  <c r="AG9" i="119"/>
  <c r="AF9" i="119"/>
  <c r="AE9" i="119"/>
  <c r="AD9" i="119"/>
  <c r="AC9" i="119"/>
  <c r="AB9" i="119"/>
  <c r="AA9" i="119"/>
  <c r="Z9" i="119"/>
  <c r="Y9" i="119"/>
  <c r="AN8" i="119"/>
  <c r="AM8" i="119"/>
  <c r="AL8" i="119"/>
  <c r="AK8" i="119"/>
  <c r="AJ8" i="119"/>
  <c r="AI8" i="119"/>
  <c r="AH8" i="119"/>
  <c r="AG8" i="119"/>
  <c r="AF8" i="119"/>
  <c r="AE8" i="119"/>
  <c r="AD8" i="119"/>
  <c r="AC8" i="119"/>
  <c r="AB8" i="119"/>
  <c r="AA8" i="119"/>
  <c r="Z8" i="119"/>
  <c r="Y8" i="119"/>
  <c r="AN7" i="119"/>
  <c r="AM7" i="119"/>
  <c r="AL7" i="119"/>
  <c r="AK7" i="119"/>
  <c r="AJ7" i="119"/>
  <c r="AI7" i="119"/>
  <c r="AH7" i="119"/>
  <c r="AG7" i="119"/>
  <c r="AF7" i="119"/>
  <c r="AE7" i="119"/>
  <c r="AD7" i="119"/>
  <c r="AC7" i="119"/>
  <c r="AB7" i="119"/>
  <c r="AA7" i="119"/>
  <c r="Z7" i="119"/>
  <c r="Y7" i="119"/>
  <c r="AN6" i="119"/>
  <c r="AM6" i="119"/>
  <c r="AL6" i="119"/>
  <c r="AK6" i="119"/>
  <c r="AJ6" i="119"/>
  <c r="AI6" i="119"/>
  <c r="AH6" i="119"/>
  <c r="AG6" i="119"/>
  <c r="AF6" i="119"/>
  <c r="AE6" i="119"/>
  <c r="AD6" i="119"/>
  <c r="AC6" i="119"/>
  <c r="AB6" i="119"/>
  <c r="AA6" i="119"/>
  <c r="Z6" i="119"/>
  <c r="Y6" i="119"/>
  <c r="AN5" i="119"/>
  <c r="AM5" i="119"/>
  <c r="AL5" i="119"/>
  <c r="AK5" i="119"/>
  <c r="AJ5" i="119"/>
  <c r="AI5" i="119"/>
  <c r="AH5" i="119"/>
  <c r="AG5" i="119"/>
  <c r="AF5" i="119"/>
  <c r="AE5" i="119"/>
  <c r="AD5" i="119"/>
  <c r="AC5" i="119"/>
  <c r="AB5" i="119"/>
  <c r="AA5" i="119"/>
  <c r="Z5" i="119"/>
  <c r="Y5" i="119"/>
  <c r="AN4" i="119"/>
  <c r="AM4" i="119"/>
  <c r="AL4" i="119"/>
  <c r="AK4" i="119"/>
  <c r="AJ4" i="119"/>
  <c r="AI4" i="119"/>
  <c r="AH4" i="119"/>
  <c r="AG4" i="119"/>
  <c r="AF4" i="119"/>
  <c r="AE4" i="119"/>
  <c r="AD4" i="119"/>
  <c r="AC4" i="119"/>
  <c r="AB4" i="119"/>
  <c r="AA4" i="119"/>
  <c r="Z4" i="119"/>
  <c r="Y4" i="119"/>
  <c r="V2" i="119"/>
  <c r="Y29" i="120" l="1"/>
  <c r="Y31" i="120"/>
  <c r="Y30" i="120"/>
  <c r="W30" i="119"/>
  <c r="W31" i="119"/>
  <c r="W29" i="119"/>
  <c r="V2" i="116"/>
  <c r="Y5" i="116" l="1"/>
  <c r="Z5" i="116"/>
  <c r="AA5" i="116"/>
  <c r="AB5" i="116"/>
  <c r="AC5" i="116"/>
  <c r="AD5" i="116"/>
  <c r="AE5" i="116"/>
  <c r="AF5" i="116"/>
  <c r="AG5" i="116"/>
  <c r="AH5" i="116"/>
  <c r="AI5" i="116"/>
  <c r="AJ5" i="116"/>
  <c r="AK5" i="116"/>
  <c r="AL5" i="116"/>
  <c r="AM5" i="116"/>
  <c r="AN5" i="116"/>
  <c r="Y6" i="116"/>
  <c r="Z6" i="116"/>
  <c r="AA6" i="116"/>
  <c r="AB6" i="116"/>
  <c r="AC6" i="116"/>
  <c r="AD6" i="116"/>
  <c r="AE6" i="116"/>
  <c r="AF6" i="116"/>
  <c r="AG6" i="116"/>
  <c r="AH6" i="116"/>
  <c r="AI6" i="116"/>
  <c r="AJ6" i="116"/>
  <c r="AK6" i="116"/>
  <c r="AL6" i="116"/>
  <c r="AM6" i="116"/>
  <c r="AN6" i="116"/>
  <c r="Y7" i="116"/>
  <c r="Z7" i="116"/>
  <c r="AA7" i="116"/>
  <c r="AB7" i="116"/>
  <c r="AC7" i="116"/>
  <c r="AD7" i="116"/>
  <c r="AE7" i="116"/>
  <c r="AF7" i="116"/>
  <c r="AG7" i="116"/>
  <c r="AH7" i="116"/>
  <c r="AI7" i="116"/>
  <c r="AJ7" i="116"/>
  <c r="AK7" i="116"/>
  <c r="AL7" i="116"/>
  <c r="AM7" i="116"/>
  <c r="AN7" i="116"/>
  <c r="Y8" i="116"/>
  <c r="Z8" i="116"/>
  <c r="AA8" i="116"/>
  <c r="AB8" i="116"/>
  <c r="AC8" i="116"/>
  <c r="AD8" i="116"/>
  <c r="AE8" i="116"/>
  <c r="AF8" i="116"/>
  <c r="AG8" i="116"/>
  <c r="AH8" i="116"/>
  <c r="AI8" i="116"/>
  <c r="AJ8" i="116"/>
  <c r="AK8" i="116"/>
  <c r="AL8" i="116"/>
  <c r="AM8" i="116"/>
  <c r="AN8" i="116"/>
  <c r="Y9" i="116"/>
  <c r="Z9" i="116"/>
  <c r="AA9" i="116"/>
  <c r="AB9" i="116"/>
  <c r="AC9" i="116"/>
  <c r="AD9" i="116"/>
  <c r="AE9" i="116"/>
  <c r="AF9" i="116"/>
  <c r="AG9" i="116"/>
  <c r="AH9" i="116"/>
  <c r="AI9" i="116"/>
  <c r="AJ9" i="116"/>
  <c r="AK9" i="116"/>
  <c r="AL9" i="116"/>
  <c r="AM9" i="116"/>
  <c r="AN9" i="116"/>
  <c r="Y10" i="116"/>
  <c r="Z10" i="116"/>
  <c r="AA10" i="116"/>
  <c r="AB10" i="116"/>
  <c r="AC10" i="116"/>
  <c r="AD10" i="116"/>
  <c r="AE10" i="116"/>
  <c r="AF10" i="116"/>
  <c r="AG10" i="116"/>
  <c r="AH10" i="116"/>
  <c r="AI10" i="116"/>
  <c r="AJ10" i="116"/>
  <c r="AK10" i="116"/>
  <c r="AL10" i="116"/>
  <c r="AM10" i="116"/>
  <c r="AN10" i="116"/>
  <c r="Y11" i="116"/>
  <c r="Z11" i="116"/>
  <c r="AA11" i="116"/>
  <c r="AB11" i="116"/>
  <c r="AC11" i="116"/>
  <c r="AD11" i="116"/>
  <c r="AE11" i="116"/>
  <c r="AF11" i="116"/>
  <c r="AG11" i="116"/>
  <c r="AH11" i="116"/>
  <c r="AI11" i="116"/>
  <c r="AJ11" i="116"/>
  <c r="AK11" i="116"/>
  <c r="AL11" i="116"/>
  <c r="AM11" i="116"/>
  <c r="AN11" i="116"/>
  <c r="Y12" i="116"/>
  <c r="Z12" i="116"/>
  <c r="AA12" i="116"/>
  <c r="AB12" i="116"/>
  <c r="AC12" i="116"/>
  <c r="AD12" i="116"/>
  <c r="AE12" i="116"/>
  <c r="AF12" i="116"/>
  <c r="AG12" i="116"/>
  <c r="AH12" i="116"/>
  <c r="AI12" i="116"/>
  <c r="AJ12" i="116"/>
  <c r="AK12" i="116"/>
  <c r="AL12" i="116"/>
  <c r="AM12" i="116"/>
  <c r="AN12" i="116"/>
  <c r="Y13" i="116"/>
  <c r="Z13" i="116"/>
  <c r="AA13" i="116"/>
  <c r="AB13" i="116"/>
  <c r="AC13" i="116"/>
  <c r="AD13" i="116"/>
  <c r="AE13" i="116"/>
  <c r="AF13" i="116"/>
  <c r="AG13" i="116"/>
  <c r="AH13" i="116"/>
  <c r="AI13" i="116"/>
  <c r="AJ13" i="116"/>
  <c r="AK13" i="116"/>
  <c r="AL13" i="116"/>
  <c r="AM13" i="116"/>
  <c r="AN13" i="116"/>
  <c r="Y14" i="116"/>
  <c r="Z14" i="116"/>
  <c r="AA14" i="116"/>
  <c r="AB14" i="116"/>
  <c r="AC14" i="116"/>
  <c r="AD14" i="116"/>
  <c r="AE14" i="116"/>
  <c r="AF14" i="116"/>
  <c r="AG14" i="116"/>
  <c r="AH14" i="116"/>
  <c r="AI14" i="116"/>
  <c r="AJ14" i="116"/>
  <c r="AK14" i="116"/>
  <c r="AL14" i="116"/>
  <c r="AM14" i="116"/>
  <c r="AN14" i="116"/>
  <c r="Y15" i="116"/>
  <c r="Z15" i="116"/>
  <c r="AA15" i="116"/>
  <c r="AB15" i="116"/>
  <c r="AC15" i="116"/>
  <c r="AD15" i="116"/>
  <c r="AE15" i="116"/>
  <c r="AF15" i="116"/>
  <c r="AG15" i="116"/>
  <c r="AH15" i="116"/>
  <c r="AI15" i="116"/>
  <c r="AJ15" i="116"/>
  <c r="AK15" i="116"/>
  <c r="AL15" i="116"/>
  <c r="AM15" i="116"/>
  <c r="AN15" i="116"/>
  <c r="Y16" i="116"/>
  <c r="Z16" i="116"/>
  <c r="AA16" i="116"/>
  <c r="AB16" i="116"/>
  <c r="AC16" i="116"/>
  <c r="AD16" i="116"/>
  <c r="AE16" i="116"/>
  <c r="AF16" i="116"/>
  <c r="AG16" i="116"/>
  <c r="AH16" i="116"/>
  <c r="AI16" i="116"/>
  <c r="AJ16" i="116"/>
  <c r="AK16" i="116"/>
  <c r="AL16" i="116"/>
  <c r="AM16" i="116"/>
  <c r="AN16" i="116"/>
  <c r="Y17" i="116"/>
  <c r="Z17" i="116"/>
  <c r="AA17" i="116"/>
  <c r="AB17" i="116"/>
  <c r="AC17" i="116"/>
  <c r="AD17" i="116"/>
  <c r="AE17" i="116"/>
  <c r="AF17" i="116"/>
  <c r="AG17" i="116"/>
  <c r="AH17" i="116"/>
  <c r="AI17" i="116"/>
  <c r="AJ17" i="116"/>
  <c r="AK17" i="116"/>
  <c r="AL17" i="116"/>
  <c r="AM17" i="116"/>
  <c r="AN17" i="116"/>
  <c r="Y18" i="116"/>
  <c r="Z18" i="116"/>
  <c r="AA18" i="116"/>
  <c r="AB18" i="116"/>
  <c r="AC18" i="116"/>
  <c r="AD18" i="116"/>
  <c r="AE18" i="116"/>
  <c r="AF18" i="116"/>
  <c r="AG18" i="116"/>
  <c r="AH18" i="116"/>
  <c r="AI18" i="116"/>
  <c r="AJ18" i="116"/>
  <c r="AK18" i="116"/>
  <c r="AL18" i="116"/>
  <c r="AM18" i="116"/>
  <c r="AN18" i="116"/>
  <c r="Y19" i="116"/>
  <c r="Z19" i="116"/>
  <c r="AA19" i="116"/>
  <c r="AB19" i="116"/>
  <c r="AC19" i="116"/>
  <c r="AD19" i="116"/>
  <c r="AE19" i="116"/>
  <c r="AF19" i="116"/>
  <c r="AG19" i="116"/>
  <c r="AH19" i="116"/>
  <c r="AI19" i="116"/>
  <c r="AJ19" i="116"/>
  <c r="AK19" i="116"/>
  <c r="AL19" i="116"/>
  <c r="AM19" i="116"/>
  <c r="AN19" i="116"/>
  <c r="Y20" i="116"/>
  <c r="Z20" i="116"/>
  <c r="AA20" i="116"/>
  <c r="AB20" i="116"/>
  <c r="AC20" i="116"/>
  <c r="AD20" i="116"/>
  <c r="AE20" i="116"/>
  <c r="AF20" i="116"/>
  <c r="AG20" i="116"/>
  <c r="AH20" i="116"/>
  <c r="AI20" i="116"/>
  <c r="AJ20" i="116"/>
  <c r="AK20" i="116"/>
  <c r="AL20" i="116"/>
  <c r="AM20" i="116"/>
  <c r="AN20" i="116"/>
  <c r="Y21" i="116"/>
  <c r="Z21" i="116"/>
  <c r="AA21" i="116"/>
  <c r="AB21" i="116"/>
  <c r="AC21" i="116"/>
  <c r="AD21" i="116"/>
  <c r="AE21" i="116"/>
  <c r="AF21" i="116"/>
  <c r="AG21" i="116"/>
  <c r="AH21" i="116"/>
  <c r="AI21" i="116"/>
  <c r="AJ21" i="116"/>
  <c r="AK21" i="116"/>
  <c r="AL21" i="116"/>
  <c r="AM21" i="116"/>
  <c r="AN21" i="116"/>
  <c r="Y22" i="116"/>
  <c r="Z22" i="116"/>
  <c r="AA22" i="116"/>
  <c r="AB22" i="116"/>
  <c r="AC22" i="116"/>
  <c r="AD22" i="116"/>
  <c r="AE22" i="116"/>
  <c r="AF22" i="116"/>
  <c r="AG22" i="116"/>
  <c r="AH22" i="116"/>
  <c r="AI22" i="116"/>
  <c r="AJ22" i="116"/>
  <c r="AK22" i="116"/>
  <c r="AL22" i="116"/>
  <c r="AM22" i="116"/>
  <c r="AN22" i="116"/>
  <c r="Y23" i="116"/>
  <c r="Z23" i="116"/>
  <c r="AA23" i="116"/>
  <c r="AB23" i="116"/>
  <c r="AC23" i="116"/>
  <c r="AD23" i="116"/>
  <c r="AE23" i="116"/>
  <c r="AF23" i="116"/>
  <c r="AG23" i="116"/>
  <c r="AH23" i="116"/>
  <c r="AI23" i="116"/>
  <c r="AJ23" i="116"/>
  <c r="AK23" i="116"/>
  <c r="AL23" i="116"/>
  <c r="AM23" i="116"/>
  <c r="AN23" i="116"/>
  <c r="Y24" i="116"/>
  <c r="Z24" i="116"/>
  <c r="AA24" i="116"/>
  <c r="AB24" i="116"/>
  <c r="AC24" i="116"/>
  <c r="AD24" i="116"/>
  <c r="AE24" i="116"/>
  <c r="AF24" i="116"/>
  <c r="AG24" i="116"/>
  <c r="AH24" i="116"/>
  <c r="AI24" i="116"/>
  <c r="AJ24" i="116"/>
  <c r="AK24" i="116"/>
  <c r="AL24" i="116"/>
  <c r="AM24" i="116"/>
  <c r="AN24" i="116"/>
  <c r="Y25" i="116"/>
  <c r="Z25" i="116"/>
  <c r="AA25" i="116"/>
  <c r="AB25" i="116"/>
  <c r="AC25" i="116"/>
  <c r="AD25" i="116"/>
  <c r="AE25" i="116"/>
  <c r="AF25" i="116"/>
  <c r="AG25" i="116"/>
  <c r="AH25" i="116"/>
  <c r="AI25" i="116"/>
  <c r="AJ25" i="116"/>
  <c r="AK25" i="116"/>
  <c r="AL25" i="116"/>
  <c r="AM25" i="116"/>
  <c r="AN25" i="116"/>
  <c r="Y26" i="116"/>
  <c r="Z26" i="116"/>
  <c r="AA26" i="116"/>
  <c r="AB26" i="116"/>
  <c r="AC26" i="116"/>
  <c r="AD26" i="116"/>
  <c r="AE26" i="116"/>
  <c r="AF26" i="116"/>
  <c r="AG26" i="116"/>
  <c r="AH26" i="116"/>
  <c r="AI26" i="116"/>
  <c r="AJ26" i="116"/>
  <c r="AK26" i="116"/>
  <c r="AL26" i="116"/>
  <c r="AM26" i="116"/>
  <c r="AN26" i="116"/>
  <c r="Y27" i="116"/>
  <c r="Z27" i="116"/>
  <c r="AA27" i="116"/>
  <c r="AB27" i="116"/>
  <c r="AC27" i="116"/>
  <c r="AD27" i="116"/>
  <c r="AE27" i="116"/>
  <c r="AF27" i="116"/>
  <c r="AG27" i="116"/>
  <c r="AH27" i="116"/>
  <c r="AI27" i="116"/>
  <c r="AJ27" i="116"/>
  <c r="AK27" i="116"/>
  <c r="AL27" i="116"/>
  <c r="AM27" i="116"/>
  <c r="AN27" i="116"/>
  <c r="Z4" i="116"/>
  <c r="AA4" i="116"/>
  <c r="AB4" i="116"/>
  <c r="AC4" i="116"/>
  <c r="AD4" i="116"/>
  <c r="AE4" i="116"/>
  <c r="AF4" i="116"/>
  <c r="AG4" i="116"/>
  <c r="AH4" i="116"/>
  <c r="AI4" i="116"/>
  <c r="AJ4" i="116"/>
  <c r="AK4" i="116"/>
  <c r="AL4" i="116"/>
  <c r="AM4" i="116"/>
  <c r="AN4" i="116"/>
  <c r="AA5" i="117"/>
  <c r="AB5" i="117"/>
  <c r="AC5" i="117"/>
  <c r="AD5" i="117"/>
  <c r="AE5" i="117"/>
  <c r="AF5" i="117"/>
  <c r="AG5" i="117"/>
  <c r="AH5" i="117"/>
  <c r="AI5" i="117"/>
  <c r="AJ5" i="117"/>
  <c r="AK5" i="117"/>
  <c r="AL5" i="117"/>
  <c r="AM5" i="117"/>
  <c r="AN5" i="117"/>
  <c r="AO5" i="117"/>
  <c r="AP5" i="117"/>
  <c r="AQ5" i="117"/>
  <c r="AR5" i="117"/>
  <c r="AA6" i="117"/>
  <c r="AB6" i="117"/>
  <c r="AC6" i="117"/>
  <c r="AD6" i="117"/>
  <c r="AE6" i="117"/>
  <c r="AF6" i="117"/>
  <c r="AG6" i="117"/>
  <c r="AH6" i="117"/>
  <c r="AI6" i="117"/>
  <c r="AJ6" i="117"/>
  <c r="AK6" i="117"/>
  <c r="AL6" i="117"/>
  <c r="AM6" i="117"/>
  <c r="AN6" i="117"/>
  <c r="AO6" i="117"/>
  <c r="AP6" i="117"/>
  <c r="AQ6" i="117"/>
  <c r="AR6" i="117"/>
  <c r="AA7" i="117"/>
  <c r="AB7" i="117"/>
  <c r="AC7" i="117"/>
  <c r="AD7" i="117"/>
  <c r="AE7" i="117"/>
  <c r="AF7" i="117"/>
  <c r="AG7" i="117"/>
  <c r="AH7" i="117"/>
  <c r="AI7" i="117"/>
  <c r="AJ7" i="117"/>
  <c r="AK7" i="117"/>
  <c r="AL7" i="117"/>
  <c r="AM7" i="117"/>
  <c r="AN7" i="117"/>
  <c r="AO7" i="117"/>
  <c r="AP7" i="117"/>
  <c r="AQ7" i="117"/>
  <c r="AR7" i="117"/>
  <c r="AA8" i="117"/>
  <c r="AB8" i="117"/>
  <c r="AC8" i="117"/>
  <c r="AD8" i="117"/>
  <c r="AE8" i="117"/>
  <c r="AF8" i="117"/>
  <c r="AG8" i="117"/>
  <c r="AH8" i="117"/>
  <c r="AI8" i="117"/>
  <c r="AJ8" i="117"/>
  <c r="AK8" i="117"/>
  <c r="AL8" i="117"/>
  <c r="AM8" i="117"/>
  <c r="AN8" i="117"/>
  <c r="AO8" i="117"/>
  <c r="AP8" i="117"/>
  <c r="AQ8" i="117"/>
  <c r="AR8" i="117"/>
  <c r="AA9" i="117"/>
  <c r="AB9" i="117"/>
  <c r="AC9" i="117"/>
  <c r="AD9" i="117"/>
  <c r="AE9" i="117"/>
  <c r="AF9" i="117"/>
  <c r="AG9" i="117"/>
  <c r="AH9" i="117"/>
  <c r="AI9" i="117"/>
  <c r="AJ9" i="117"/>
  <c r="AK9" i="117"/>
  <c r="AL9" i="117"/>
  <c r="AM9" i="117"/>
  <c r="AN9" i="117"/>
  <c r="AO9" i="117"/>
  <c r="AP9" i="117"/>
  <c r="AQ9" i="117"/>
  <c r="AR9" i="117"/>
  <c r="AA10" i="117"/>
  <c r="AB10" i="117"/>
  <c r="AC10" i="117"/>
  <c r="AD10" i="117"/>
  <c r="AE10" i="117"/>
  <c r="AF10" i="117"/>
  <c r="AG10" i="117"/>
  <c r="AH10" i="117"/>
  <c r="AI10" i="117"/>
  <c r="AJ10" i="117"/>
  <c r="AK10" i="117"/>
  <c r="AL10" i="117"/>
  <c r="AM10" i="117"/>
  <c r="AN10" i="117"/>
  <c r="AO10" i="117"/>
  <c r="AP10" i="117"/>
  <c r="AQ10" i="117"/>
  <c r="AR10" i="117"/>
  <c r="AA11" i="117"/>
  <c r="AB11" i="117"/>
  <c r="AC11" i="117"/>
  <c r="AD11" i="117"/>
  <c r="AE11" i="117"/>
  <c r="AF11" i="117"/>
  <c r="AG11" i="117"/>
  <c r="AH11" i="117"/>
  <c r="AI11" i="117"/>
  <c r="AJ11" i="117"/>
  <c r="AK11" i="117"/>
  <c r="AL11" i="117"/>
  <c r="AM11" i="117"/>
  <c r="AN11" i="117"/>
  <c r="AO11" i="117"/>
  <c r="AP11" i="117"/>
  <c r="AQ11" i="117"/>
  <c r="AR11" i="117"/>
  <c r="AA12" i="117"/>
  <c r="AB12" i="117"/>
  <c r="AC12" i="117"/>
  <c r="AD12" i="117"/>
  <c r="AE12" i="117"/>
  <c r="AF12" i="117"/>
  <c r="AG12" i="117"/>
  <c r="AH12" i="117"/>
  <c r="AI12" i="117"/>
  <c r="AJ12" i="117"/>
  <c r="AK12" i="117"/>
  <c r="AL12" i="117"/>
  <c r="AM12" i="117"/>
  <c r="AN12" i="117"/>
  <c r="AO12" i="117"/>
  <c r="AP12" i="117"/>
  <c r="AQ12" i="117"/>
  <c r="AR12" i="117"/>
  <c r="AA13" i="117"/>
  <c r="AB13" i="117"/>
  <c r="AC13" i="117"/>
  <c r="AD13" i="117"/>
  <c r="AE13" i="117"/>
  <c r="AF13" i="117"/>
  <c r="AG13" i="117"/>
  <c r="AH13" i="117"/>
  <c r="AI13" i="117"/>
  <c r="AJ13" i="117"/>
  <c r="AK13" i="117"/>
  <c r="AL13" i="117"/>
  <c r="AM13" i="117"/>
  <c r="AN13" i="117"/>
  <c r="AO13" i="117"/>
  <c r="AP13" i="117"/>
  <c r="AQ13" i="117"/>
  <c r="AR13" i="117"/>
  <c r="AA14" i="117"/>
  <c r="AB14" i="117"/>
  <c r="AC14" i="117"/>
  <c r="AD14" i="117"/>
  <c r="AE14" i="117"/>
  <c r="AF14" i="117"/>
  <c r="AG14" i="117"/>
  <c r="AH14" i="117"/>
  <c r="AI14" i="117"/>
  <c r="AJ14" i="117"/>
  <c r="AK14" i="117"/>
  <c r="AL14" i="117"/>
  <c r="AM14" i="117"/>
  <c r="AN14" i="117"/>
  <c r="AO14" i="117"/>
  <c r="AP14" i="117"/>
  <c r="AQ14" i="117"/>
  <c r="AR14" i="117"/>
  <c r="AA15" i="117"/>
  <c r="AB15" i="117"/>
  <c r="AC15" i="117"/>
  <c r="AD15" i="117"/>
  <c r="AE15" i="117"/>
  <c r="AF15" i="117"/>
  <c r="AG15" i="117"/>
  <c r="AH15" i="117"/>
  <c r="AI15" i="117"/>
  <c r="AJ15" i="117"/>
  <c r="AK15" i="117"/>
  <c r="AL15" i="117"/>
  <c r="AM15" i="117"/>
  <c r="AN15" i="117"/>
  <c r="AO15" i="117"/>
  <c r="AP15" i="117"/>
  <c r="AQ15" i="117"/>
  <c r="AR15" i="117"/>
  <c r="AA16" i="117"/>
  <c r="AB16" i="117"/>
  <c r="AC16" i="117"/>
  <c r="AD16" i="117"/>
  <c r="AE16" i="117"/>
  <c r="AF16" i="117"/>
  <c r="AG16" i="117"/>
  <c r="AH16" i="117"/>
  <c r="AI16" i="117"/>
  <c r="AJ16" i="117"/>
  <c r="AK16" i="117"/>
  <c r="AL16" i="117"/>
  <c r="AM16" i="117"/>
  <c r="AN16" i="117"/>
  <c r="AO16" i="117"/>
  <c r="AP16" i="117"/>
  <c r="AQ16" i="117"/>
  <c r="AR16" i="117"/>
  <c r="AA17" i="117"/>
  <c r="AB17" i="117"/>
  <c r="AC17" i="117"/>
  <c r="AD17" i="117"/>
  <c r="AE17" i="117"/>
  <c r="AF17" i="117"/>
  <c r="AG17" i="117"/>
  <c r="AH17" i="117"/>
  <c r="AI17" i="117"/>
  <c r="AJ17" i="117"/>
  <c r="AK17" i="117"/>
  <c r="AL17" i="117"/>
  <c r="AM17" i="117"/>
  <c r="AN17" i="117"/>
  <c r="AO17" i="117"/>
  <c r="AP17" i="117"/>
  <c r="AQ17" i="117"/>
  <c r="AR17" i="117"/>
  <c r="AA18" i="117"/>
  <c r="AB18" i="117"/>
  <c r="AC18" i="117"/>
  <c r="AD18" i="117"/>
  <c r="AE18" i="117"/>
  <c r="AF18" i="117"/>
  <c r="AG18" i="117"/>
  <c r="AH18" i="117"/>
  <c r="AI18" i="117"/>
  <c r="AJ18" i="117"/>
  <c r="AK18" i="117"/>
  <c r="AL18" i="117"/>
  <c r="AM18" i="117"/>
  <c r="AN18" i="117"/>
  <c r="AO18" i="117"/>
  <c r="AP18" i="117"/>
  <c r="AQ18" i="117"/>
  <c r="AR18" i="117"/>
  <c r="AA19" i="117"/>
  <c r="AB19" i="117"/>
  <c r="AC19" i="117"/>
  <c r="AD19" i="117"/>
  <c r="AE19" i="117"/>
  <c r="AF19" i="117"/>
  <c r="AG19" i="117"/>
  <c r="AH19" i="117"/>
  <c r="AI19" i="117"/>
  <c r="AJ19" i="117"/>
  <c r="AK19" i="117"/>
  <c r="AL19" i="117"/>
  <c r="AM19" i="117"/>
  <c r="AN19" i="117"/>
  <c r="AO19" i="117"/>
  <c r="AP19" i="117"/>
  <c r="AQ19" i="117"/>
  <c r="AR19" i="117"/>
  <c r="AA20" i="117"/>
  <c r="AB20" i="117"/>
  <c r="AC20" i="117"/>
  <c r="AD20" i="117"/>
  <c r="AE20" i="117"/>
  <c r="AF20" i="117"/>
  <c r="AG20" i="117"/>
  <c r="AH20" i="117"/>
  <c r="AI20" i="117"/>
  <c r="AJ20" i="117"/>
  <c r="AK20" i="117"/>
  <c r="AL20" i="117"/>
  <c r="AM20" i="117"/>
  <c r="AN20" i="117"/>
  <c r="AO20" i="117"/>
  <c r="AP20" i="117"/>
  <c r="AQ20" i="117"/>
  <c r="AR20" i="117"/>
  <c r="AA21" i="117"/>
  <c r="AB21" i="117"/>
  <c r="AC21" i="117"/>
  <c r="AD21" i="117"/>
  <c r="AE21" i="117"/>
  <c r="AF21" i="117"/>
  <c r="AG21" i="117"/>
  <c r="AH21" i="117"/>
  <c r="AI21" i="117"/>
  <c r="AJ21" i="117"/>
  <c r="AK21" i="117"/>
  <c r="AL21" i="117"/>
  <c r="AM21" i="117"/>
  <c r="AN21" i="117"/>
  <c r="AO21" i="117"/>
  <c r="AP21" i="117"/>
  <c r="AQ21" i="117"/>
  <c r="AR21" i="117"/>
  <c r="AA22" i="117"/>
  <c r="AB22" i="117"/>
  <c r="AC22" i="117"/>
  <c r="AD22" i="117"/>
  <c r="AE22" i="117"/>
  <c r="AF22" i="117"/>
  <c r="AG22" i="117"/>
  <c r="AH22" i="117"/>
  <c r="AI22" i="117"/>
  <c r="AJ22" i="117"/>
  <c r="AK22" i="117"/>
  <c r="AL22" i="117"/>
  <c r="AM22" i="117"/>
  <c r="AN22" i="117"/>
  <c r="AO22" i="117"/>
  <c r="AP22" i="117"/>
  <c r="AQ22" i="117"/>
  <c r="AR22" i="117"/>
  <c r="AA23" i="117"/>
  <c r="AB23" i="117"/>
  <c r="AC23" i="117"/>
  <c r="AD23" i="117"/>
  <c r="AE23" i="117"/>
  <c r="AF23" i="117"/>
  <c r="AG23" i="117"/>
  <c r="AH23" i="117"/>
  <c r="AI23" i="117"/>
  <c r="AJ23" i="117"/>
  <c r="AK23" i="117"/>
  <c r="AL23" i="117"/>
  <c r="AM23" i="117"/>
  <c r="AN23" i="117"/>
  <c r="AO23" i="117"/>
  <c r="AP23" i="117"/>
  <c r="AQ23" i="117"/>
  <c r="AR23" i="117"/>
  <c r="AA24" i="117"/>
  <c r="AB24" i="117"/>
  <c r="AC24" i="117"/>
  <c r="AD24" i="117"/>
  <c r="AE24" i="117"/>
  <c r="AF24" i="117"/>
  <c r="AG24" i="117"/>
  <c r="AH24" i="117"/>
  <c r="AI24" i="117"/>
  <c r="AJ24" i="117"/>
  <c r="AK24" i="117"/>
  <c r="AL24" i="117"/>
  <c r="AM24" i="117"/>
  <c r="AN24" i="117"/>
  <c r="AO24" i="117"/>
  <c r="AP24" i="117"/>
  <c r="AQ24" i="117"/>
  <c r="AR24" i="117"/>
  <c r="AA25" i="117"/>
  <c r="AB25" i="117"/>
  <c r="AC25" i="117"/>
  <c r="AD25" i="117"/>
  <c r="AE25" i="117"/>
  <c r="AF25" i="117"/>
  <c r="AG25" i="117"/>
  <c r="AH25" i="117"/>
  <c r="AI25" i="117"/>
  <c r="AJ25" i="117"/>
  <c r="AK25" i="117"/>
  <c r="AL25" i="117"/>
  <c r="AM25" i="117"/>
  <c r="AN25" i="117"/>
  <c r="AO25" i="117"/>
  <c r="AP25" i="117"/>
  <c r="AQ25" i="117"/>
  <c r="AR25" i="117"/>
  <c r="AA26" i="117"/>
  <c r="AB26" i="117"/>
  <c r="AC26" i="117"/>
  <c r="AD26" i="117"/>
  <c r="AE26" i="117"/>
  <c r="AF26" i="117"/>
  <c r="AG26" i="117"/>
  <c r="AH26" i="117"/>
  <c r="AI26" i="117"/>
  <c r="AJ26" i="117"/>
  <c r="AK26" i="117"/>
  <c r="AL26" i="117"/>
  <c r="AM26" i="117"/>
  <c r="AN26" i="117"/>
  <c r="AO26" i="117"/>
  <c r="AP26" i="117"/>
  <c r="AQ26" i="117"/>
  <c r="AR26" i="117"/>
  <c r="AA27" i="117"/>
  <c r="AB27" i="117"/>
  <c r="AC27" i="117"/>
  <c r="AD27" i="117"/>
  <c r="AE27" i="117"/>
  <c r="AF27" i="117"/>
  <c r="AG27" i="117"/>
  <c r="AH27" i="117"/>
  <c r="AI27" i="117"/>
  <c r="AJ27" i="117"/>
  <c r="AK27" i="117"/>
  <c r="AL27" i="117"/>
  <c r="AM27" i="117"/>
  <c r="AN27" i="117"/>
  <c r="AO27" i="117"/>
  <c r="AP27" i="117"/>
  <c r="AQ27" i="117"/>
  <c r="AR27" i="117"/>
  <c r="AB4" i="117"/>
  <c r="AC4" i="117"/>
  <c r="AD4" i="117"/>
  <c r="AE4" i="117"/>
  <c r="AF4" i="117"/>
  <c r="AG4" i="117"/>
  <c r="AH4" i="117"/>
  <c r="AI4" i="117"/>
  <c r="AJ4" i="117"/>
  <c r="AK4" i="117"/>
  <c r="AL4" i="117"/>
  <c r="AM4" i="117"/>
  <c r="AN4" i="117"/>
  <c r="AO4" i="117"/>
  <c r="AP4" i="117"/>
  <c r="AQ4" i="117"/>
  <c r="AR4" i="117"/>
  <c r="AA4" i="117"/>
  <c r="Y4" i="116"/>
  <c r="Y31" i="117" l="1"/>
  <c r="Y30" i="117"/>
  <c r="W30" i="116"/>
  <c r="W31" i="116"/>
  <c r="W29" i="116"/>
  <c r="Y29" i="117"/>
  <c r="AA17" i="109"/>
  <c r="AR27" i="110" l="1"/>
  <c r="AQ27" i="110"/>
  <c r="AP27" i="110"/>
  <c r="AO27" i="110"/>
  <c r="AN27" i="110"/>
  <c r="AM27" i="110"/>
  <c r="AL27" i="110"/>
  <c r="AK27" i="110"/>
  <c r="AJ27" i="110"/>
  <c r="AI27" i="110"/>
  <c r="AH27" i="110"/>
  <c r="AG27" i="110"/>
  <c r="AF27" i="110"/>
  <c r="AE27" i="110"/>
  <c r="AD27" i="110"/>
  <c r="AC27" i="110"/>
  <c r="AB27" i="110"/>
  <c r="AA27" i="110"/>
  <c r="AR26" i="110"/>
  <c r="AQ26" i="110"/>
  <c r="AP26" i="110"/>
  <c r="AO26" i="110"/>
  <c r="AN26" i="110"/>
  <c r="AM26" i="110"/>
  <c r="AL26" i="110"/>
  <c r="AK26" i="110"/>
  <c r="AJ26" i="110"/>
  <c r="AI26" i="110"/>
  <c r="AH26" i="110"/>
  <c r="AG26" i="110"/>
  <c r="AF26" i="110"/>
  <c r="AE26" i="110"/>
  <c r="AD26" i="110"/>
  <c r="AC26" i="110"/>
  <c r="AB26" i="110"/>
  <c r="AA26" i="110"/>
  <c r="AR25" i="110"/>
  <c r="AQ25" i="110"/>
  <c r="AP25" i="110"/>
  <c r="AO25" i="110"/>
  <c r="AN25" i="110"/>
  <c r="AM25" i="110"/>
  <c r="AL25" i="110"/>
  <c r="AK25" i="110"/>
  <c r="AJ25" i="110"/>
  <c r="AI25" i="110"/>
  <c r="AH25" i="110"/>
  <c r="AG25" i="110"/>
  <c r="AF25" i="110"/>
  <c r="AE25" i="110"/>
  <c r="AD25" i="110"/>
  <c r="AC25" i="110"/>
  <c r="AB25" i="110"/>
  <c r="AA25" i="110"/>
  <c r="AR24" i="110"/>
  <c r="AQ24" i="110"/>
  <c r="AP24" i="110"/>
  <c r="AO24" i="110"/>
  <c r="AN24" i="110"/>
  <c r="AM24" i="110"/>
  <c r="AL24" i="110"/>
  <c r="AK24" i="110"/>
  <c r="AJ24" i="110"/>
  <c r="AI24" i="110"/>
  <c r="AH24" i="110"/>
  <c r="AG24" i="110"/>
  <c r="AF24" i="110"/>
  <c r="AE24" i="110"/>
  <c r="AD24" i="110"/>
  <c r="AC24" i="110"/>
  <c r="AB24" i="110"/>
  <c r="AA24" i="110"/>
  <c r="AR23" i="110"/>
  <c r="AQ23" i="110"/>
  <c r="AP23" i="110"/>
  <c r="AO23" i="110"/>
  <c r="AN23" i="110"/>
  <c r="AM23" i="110"/>
  <c r="AL23" i="110"/>
  <c r="AK23" i="110"/>
  <c r="AJ23" i="110"/>
  <c r="AI23" i="110"/>
  <c r="AH23" i="110"/>
  <c r="AG23" i="110"/>
  <c r="AF23" i="110"/>
  <c r="AE23" i="110"/>
  <c r="AD23" i="110"/>
  <c r="AC23" i="110"/>
  <c r="AB23" i="110"/>
  <c r="AA23" i="110"/>
  <c r="AR22" i="110"/>
  <c r="AQ22" i="110"/>
  <c r="AP22" i="110"/>
  <c r="AO22" i="110"/>
  <c r="AN22" i="110"/>
  <c r="AM22" i="110"/>
  <c r="AL22" i="110"/>
  <c r="AK22" i="110"/>
  <c r="AJ22" i="110"/>
  <c r="AI22" i="110"/>
  <c r="AH22" i="110"/>
  <c r="AG22" i="110"/>
  <c r="AF22" i="110"/>
  <c r="AE22" i="110"/>
  <c r="AD22" i="110"/>
  <c r="AC22" i="110"/>
  <c r="AB22" i="110"/>
  <c r="AA22" i="110"/>
  <c r="AR21" i="110"/>
  <c r="AQ21" i="110"/>
  <c r="AP21" i="110"/>
  <c r="AO21" i="110"/>
  <c r="AN21" i="110"/>
  <c r="AM21" i="110"/>
  <c r="AL21" i="110"/>
  <c r="AK21" i="110"/>
  <c r="AJ21" i="110"/>
  <c r="AI21" i="110"/>
  <c r="AH21" i="110"/>
  <c r="AG21" i="110"/>
  <c r="AF21" i="110"/>
  <c r="AE21" i="110"/>
  <c r="AD21" i="110"/>
  <c r="AC21" i="110"/>
  <c r="AB21" i="110"/>
  <c r="AA21" i="110"/>
  <c r="AR20" i="110"/>
  <c r="AQ20" i="110"/>
  <c r="AP20" i="110"/>
  <c r="AO20" i="110"/>
  <c r="AN20" i="110"/>
  <c r="AM20" i="110"/>
  <c r="AL20" i="110"/>
  <c r="AK20" i="110"/>
  <c r="AJ20" i="110"/>
  <c r="AI20" i="110"/>
  <c r="AH20" i="110"/>
  <c r="AG20" i="110"/>
  <c r="AF20" i="110"/>
  <c r="AE20" i="110"/>
  <c r="AD20" i="110"/>
  <c r="AC20" i="110"/>
  <c r="AB20" i="110"/>
  <c r="AA20" i="110"/>
  <c r="AR19" i="110"/>
  <c r="AQ19" i="110"/>
  <c r="AP19" i="110"/>
  <c r="AO19" i="110"/>
  <c r="AN19" i="110"/>
  <c r="AM19" i="110"/>
  <c r="AL19" i="110"/>
  <c r="AK19" i="110"/>
  <c r="AJ19" i="110"/>
  <c r="AI19" i="110"/>
  <c r="AH19" i="110"/>
  <c r="AG19" i="110"/>
  <c r="AF19" i="110"/>
  <c r="AE19" i="110"/>
  <c r="AD19" i="110"/>
  <c r="AC19" i="110"/>
  <c r="AB19" i="110"/>
  <c r="AA19" i="110"/>
  <c r="AR18" i="110"/>
  <c r="AQ18" i="110"/>
  <c r="AP18" i="110"/>
  <c r="AO18" i="110"/>
  <c r="AN18" i="110"/>
  <c r="AM18" i="110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AR17" i="110"/>
  <c r="AQ17" i="110"/>
  <c r="AP17" i="110"/>
  <c r="AO17" i="110"/>
  <c r="AN17" i="110"/>
  <c r="AM17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AR16" i="110"/>
  <c r="AQ16" i="110"/>
  <c r="AP16" i="110"/>
  <c r="AO16" i="110"/>
  <c r="AN16" i="110"/>
  <c r="AM16" i="110"/>
  <c r="AL16" i="110"/>
  <c r="AK16" i="110"/>
  <c r="AJ16" i="110"/>
  <c r="AI16" i="110"/>
  <c r="AH16" i="110"/>
  <c r="AG16" i="110"/>
  <c r="AF16" i="110"/>
  <c r="AE16" i="110"/>
  <c r="AD16" i="110"/>
  <c r="AC16" i="110"/>
  <c r="AB16" i="110"/>
  <c r="AA16" i="110"/>
  <c r="AR15" i="110"/>
  <c r="AQ15" i="110"/>
  <c r="AP15" i="110"/>
  <c r="AO15" i="110"/>
  <c r="AN15" i="110"/>
  <c r="AM15" i="110"/>
  <c r="AL15" i="110"/>
  <c r="AK15" i="110"/>
  <c r="AJ15" i="110"/>
  <c r="AI15" i="110"/>
  <c r="AH15" i="110"/>
  <c r="AG15" i="110"/>
  <c r="AF15" i="110"/>
  <c r="AE15" i="110"/>
  <c r="AD15" i="110"/>
  <c r="AC15" i="110"/>
  <c r="AB15" i="110"/>
  <c r="AA15" i="110"/>
  <c r="AR14" i="110"/>
  <c r="AQ14" i="110"/>
  <c r="AP14" i="110"/>
  <c r="AO14" i="110"/>
  <c r="AN14" i="110"/>
  <c r="AM14" i="110"/>
  <c r="AL14" i="110"/>
  <c r="AK14" i="110"/>
  <c r="AJ14" i="110"/>
  <c r="AI14" i="110"/>
  <c r="AH14" i="110"/>
  <c r="AG14" i="110"/>
  <c r="AF14" i="110"/>
  <c r="AE14" i="110"/>
  <c r="AD14" i="110"/>
  <c r="AC14" i="110"/>
  <c r="AB14" i="110"/>
  <c r="AA14" i="110"/>
  <c r="AR13" i="110"/>
  <c r="AQ13" i="110"/>
  <c r="AP13" i="110"/>
  <c r="AO13" i="110"/>
  <c r="AN13" i="110"/>
  <c r="AM13" i="110"/>
  <c r="AL13" i="110"/>
  <c r="AK13" i="110"/>
  <c r="AJ13" i="110"/>
  <c r="AI13" i="110"/>
  <c r="AH13" i="110"/>
  <c r="AG13" i="110"/>
  <c r="AF13" i="110"/>
  <c r="AE13" i="110"/>
  <c r="AD13" i="110"/>
  <c r="AC13" i="110"/>
  <c r="AB13" i="110"/>
  <c r="AA13" i="110"/>
  <c r="AR12" i="110"/>
  <c r="AQ12" i="110"/>
  <c r="AP12" i="110"/>
  <c r="AO12" i="110"/>
  <c r="AN12" i="110"/>
  <c r="AM12" i="110"/>
  <c r="AL12" i="110"/>
  <c r="AK12" i="110"/>
  <c r="AJ12" i="110"/>
  <c r="AI12" i="110"/>
  <c r="AH12" i="110"/>
  <c r="AG12" i="110"/>
  <c r="AF12" i="110"/>
  <c r="AE12" i="110"/>
  <c r="AD12" i="110"/>
  <c r="AC12" i="110"/>
  <c r="AB12" i="110"/>
  <c r="AA12" i="110"/>
  <c r="AR11" i="110"/>
  <c r="AQ11" i="110"/>
  <c r="AP11" i="110"/>
  <c r="AO11" i="110"/>
  <c r="AN11" i="110"/>
  <c r="AM11" i="110"/>
  <c r="AL11" i="110"/>
  <c r="AK11" i="110"/>
  <c r="AJ11" i="110"/>
  <c r="AI11" i="110"/>
  <c r="AH11" i="110"/>
  <c r="AG11" i="110"/>
  <c r="AF11" i="110"/>
  <c r="AE11" i="110"/>
  <c r="AD11" i="110"/>
  <c r="AC11" i="110"/>
  <c r="AB11" i="110"/>
  <c r="AA11" i="110"/>
  <c r="AR10" i="110"/>
  <c r="AQ10" i="110"/>
  <c r="AP10" i="110"/>
  <c r="AO10" i="110"/>
  <c r="AN10" i="110"/>
  <c r="AM10" i="110"/>
  <c r="AL10" i="110"/>
  <c r="AK10" i="110"/>
  <c r="AJ10" i="110"/>
  <c r="AI10" i="110"/>
  <c r="AH10" i="110"/>
  <c r="AG10" i="110"/>
  <c r="AF10" i="110"/>
  <c r="AE10" i="110"/>
  <c r="AD10" i="110"/>
  <c r="AC10" i="110"/>
  <c r="AB10" i="110"/>
  <c r="AA10" i="110"/>
  <c r="AR9" i="110"/>
  <c r="AQ9" i="110"/>
  <c r="AP9" i="110"/>
  <c r="AO9" i="110"/>
  <c r="AN9" i="110"/>
  <c r="AM9" i="110"/>
  <c r="AL9" i="110"/>
  <c r="AK9" i="110"/>
  <c r="AJ9" i="110"/>
  <c r="AI9" i="110"/>
  <c r="AH9" i="110"/>
  <c r="AG9" i="110"/>
  <c r="AF9" i="110"/>
  <c r="AE9" i="110"/>
  <c r="AD9" i="110"/>
  <c r="AC9" i="110"/>
  <c r="AB9" i="110"/>
  <c r="AA9" i="110"/>
  <c r="AR8" i="110"/>
  <c r="AQ8" i="110"/>
  <c r="AP8" i="110"/>
  <c r="AO8" i="110"/>
  <c r="AN8" i="110"/>
  <c r="AM8" i="110"/>
  <c r="AL8" i="110"/>
  <c r="AK8" i="110"/>
  <c r="AJ8" i="110"/>
  <c r="AI8" i="110"/>
  <c r="AH8" i="110"/>
  <c r="AG8" i="110"/>
  <c r="AF8" i="110"/>
  <c r="AE8" i="110"/>
  <c r="AD8" i="110"/>
  <c r="AC8" i="110"/>
  <c r="AB8" i="110"/>
  <c r="AA8" i="110"/>
  <c r="AR7" i="110"/>
  <c r="AQ7" i="110"/>
  <c r="AP7" i="110"/>
  <c r="AO7" i="110"/>
  <c r="AN7" i="110"/>
  <c r="AM7" i="110"/>
  <c r="AL7" i="110"/>
  <c r="AK7" i="110"/>
  <c r="AJ7" i="110"/>
  <c r="AI7" i="110"/>
  <c r="AH7" i="110"/>
  <c r="AG7" i="110"/>
  <c r="AF7" i="110"/>
  <c r="AE7" i="110"/>
  <c r="AD7" i="110"/>
  <c r="AC7" i="110"/>
  <c r="AB7" i="110"/>
  <c r="AA7" i="110"/>
  <c r="AR6" i="110"/>
  <c r="AQ6" i="110"/>
  <c r="AP6" i="110"/>
  <c r="AO6" i="110"/>
  <c r="AN6" i="110"/>
  <c r="AM6" i="110"/>
  <c r="AL6" i="110"/>
  <c r="AK6" i="110"/>
  <c r="AJ6" i="110"/>
  <c r="AI6" i="110"/>
  <c r="AH6" i="110"/>
  <c r="AG6" i="110"/>
  <c r="AF6" i="110"/>
  <c r="AE6" i="110"/>
  <c r="AD6" i="110"/>
  <c r="AC6" i="110"/>
  <c r="AB6" i="110"/>
  <c r="AA6" i="110"/>
  <c r="AR5" i="110"/>
  <c r="AQ5" i="110"/>
  <c r="AP5" i="110"/>
  <c r="AO5" i="110"/>
  <c r="AN5" i="110"/>
  <c r="AM5" i="110"/>
  <c r="AL5" i="110"/>
  <c r="AK5" i="110"/>
  <c r="AJ5" i="110"/>
  <c r="AI5" i="110"/>
  <c r="AH5" i="110"/>
  <c r="AG5" i="110"/>
  <c r="AF5" i="110"/>
  <c r="AE5" i="110"/>
  <c r="AD5" i="110"/>
  <c r="AC5" i="110"/>
  <c r="AB5" i="110"/>
  <c r="AA5" i="110"/>
  <c r="AR4" i="110"/>
  <c r="AQ4" i="110"/>
  <c r="AP4" i="110"/>
  <c r="AO4" i="110"/>
  <c r="AN4" i="110"/>
  <c r="AM4" i="110"/>
  <c r="AL4" i="110"/>
  <c r="AK4" i="110"/>
  <c r="AJ4" i="110"/>
  <c r="AI4" i="110"/>
  <c r="AH4" i="110"/>
  <c r="AG4" i="110"/>
  <c r="AF4" i="110"/>
  <c r="AE4" i="110"/>
  <c r="AD4" i="110"/>
  <c r="AC4" i="110"/>
  <c r="AB4" i="110"/>
  <c r="AA4" i="110"/>
  <c r="AN27" i="109"/>
  <c r="AM27" i="109"/>
  <c r="AL27" i="109"/>
  <c r="AK27" i="109"/>
  <c r="AJ27" i="109"/>
  <c r="AI27" i="109"/>
  <c r="AH27" i="109"/>
  <c r="AG27" i="109"/>
  <c r="AF27" i="109"/>
  <c r="AE27" i="109"/>
  <c r="AD27" i="109"/>
  <c r="AC27" i="109"/>
  <c r="AB27" i="109"/>
  <c r="AA27" i="109"/>
  <c r="Z27" i="109"/>
  <c r="Y27" i="109"/>
  <c r="AN26" i="109"/>
  <c r="AM26" i="109"/>
  <c r="AL26" i="109"/>
  <c r="AK26" i="109"/>
  <c r="AJ26" i="109"/>
  <c r="AI26" i="109"/>
  <c r="AH26" i="109"/>
  <c r="AG26" i="109"/>
  <c r="AF26" i="109"/>
  <c r="AE26" i="109"/>
  <c r="AD26" i="109"/>
  <c r="AC26" i="109"/>
  <c r="AB26" i="109"/>
  <c r="AA26" i="109"/>
  <c r="Z26" i="109"/>
  <c r="Y26" i="109"/>
  <c r="AN25" i="109"/>
  <c r="AM25" i="109"/>
  <c r="AL25" i="109"/>
  <c r="AK25" i="109"/>
  <c r="AJ25" i="109"/>
  <c r="AI25" i="109"/>
  <c r="AH25" i="109"/>
  <c r="AG25" i="109"/>
  <c r="AF25" i="109"/>
  <c r="AE25" i="109"/>
  <c r="AD25" i="109"/>
  <c r="AC25" i="109"/>
  <c r="AB25" i="109"/>
  <c r="AA25" i="109"/>
  <c r="Z25" i="109"/>
  <c r="Y25" i="109"/>
  <c r="AN24" i="109"/>
  <c r="AM24" i="109"/>
  <c r="AL24" i="109"/>
  <c r="AK24" i="109"/>
  <c r="AJ24" i="109"/>
  <c r="AI24" i="109"/>
  <c r="AH24" i="109"/>
  <c r="AG24" i="109"/>
  <c r="AF24" i="109"/>
  <c r="AE24" i="109"/>
  <c r="AD24" i="109"/>
  <c r="AC24" i="109"/>
  <c r="AB24" i="109"/>
  <c r="AA24" i="109"/>
  <c r="Z24" i="109"/>
  <c r="Y24" i="109"/>
  <c r="AN23" i="109"/>
  <c r="AM23" i="109"/>
  <c r="AL23" i="109"/>
  <c r="AK23" i="109"/>
  <c r="AJ23" i="109"/>
  <c r="AI23" i="109"/>
  <c r="AH23" i="109"/>
  <c r="AG23" i="109"/>
  <c r="AF23" i="109"/>
  <c r="AE23" i="109"/>
  <c r="AD23" i="109"/>
  <c r="AC23" i="109"/>
  <c r="AB23" i="109"/>
  <c r="AA23" i="109"/>
  <c r="Z23" i="109"/>
  <c r="Y23" i="109"/>
  <c r="AN22" i="109"/>
  <c r="AM22" i="109"/>
  <c r="AL22" i="109"/>
  <c r="AK22" i="109"/>
  <c r="AJ22" i="109"/>
  <c r="AI22" i="109"/>
  <c r="AH22" i="109"/>
  <c r="AG22" i="109"/>
  <c r="AF22" i="109"/>
  <c r="AE22" i="109"/>
  <c r="AD22" i="109"/>
  <c r="AC22" i="109"/>
  <c r="AB22" i="109"/>
  <c r="AA22" i="109"/>
  <c r="Z22" i="109"/>
  <c r="Y22" i="109"/>
  <c r="AN21" i="109"/>
  <c r="AM21" i="109"/>
  <c r="AL21" i="109"/>
  <c r="AK21" i="109"/>
  <c r="AJ21" i="109"/>
  <c r="AI21" i="109"/>
  <c r="AH21" i="109"/>
  <c r="AG21" i="109"/>
  <c r="AF21" i="109"/>
  <c r="AE21" i="109"/>
  <c r="AD21" i="109"/>
  <c r="AC21" i="109"/>
  <c r="AB21" i="109"/>
  <c r="AA21" i="109"/>
  <c r="Z21" i="109"/>
  <c r="Y21" i="109"/>
  <c r="AN20" i="109"/>
  <c r="AM20" i="109"/>
  <c r="AL20" i="109"/>
  <c r="AK20" i="109"/>
  <c r="AJ20" i="109"/>
  <c r="AI20" i="109"/>
  <c r="AH20" i="109"/>
  <c r="AG20" i="109"/>
  <c r="AF20" i="109"/>
  <c r="AE20" i="109"/>
  <c r="AD20" i="109"/>
  <c r="AC20" i="109"/>
  <c r="AB20" i="109"/>
  <c r="AA20" i="109"/>
  <c r="Z20" i="109"/>
  <c r="Y20" i="109"/>
  <c r="AN19" i="109"/>
  <c r="AM19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Z19" i="109"/>
  <c r="Y19" i="109"/>
  <c r="AN18" i="109"/>
  <c r="AM18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Z18" i="109"/>
  <c r="Y18" i="109"/>
  <c r="AN17" i="109"/>
  <c r="AM17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Z17" i="109"/>
  <c r="Y17" i="109"/>
  <c r="AN16" i="109"/>
  <c r="AM16" i="109"/>
  <c r="AL16" i="109"/>
  <c r="AK16" i="109"/>
  <c r="AJ16" i="109"/>
  <c r="AI16" i="109"/>
  <c r="AH16" i="109"/>
  <c r="AG16" i="109"/>
  <c r="AF16" i="109"/>
  <c r="AE16" i="109"/>
  <c r="AD16" i="109"/>
  <c r="AC16" i="109"/>
  <c r="AB16" i="109"/>
  <c r="AA16" i="109"/>
  <c r="Z16" i="109"/>
  <c r="Y16" i="109"/>
  <c r="AN15" i="109"/>
  <c r="AM15" i="109"/>
  <c r="AL15" i="109"/>
  <c r="AK15" i="109"/>
  <c r="AJ15" i="109"/>
  <c r="AI15" i="109"/>
  <c r="AH15" i="109"/>
  <c r="AG15" i="109"/>
  <c r="AF15" i="109"/>
  <c r="AE15" i="109"/>
  <c r="AD15" i="109"/>
  <c r="AC15" i="109"/>
  <c r="AB15" i="109"/>
  <c r="AA15" i="109"/>
  <c r="Z15" i="109"/>
  <c r="Y15" i="109"/>
  <c r="AN14" i="109"/>
  <c r="AM14" i="109"/>
  <c r="AL14" i="109"/>
  <c r="AK14" i="109"/>
  <c r="AJ14" i="109"/>
  <c r="AI14" i="109"/>
  <c r="AH14" i="109"/>
  <c r="AG14" i="109"/>
  <c r="AF14" i="109"/>
  <c r="AE14" i="109"/>
  <c r="AD14" i="109"/>
  <c r="AC14" i="109"/>
  <c r="AB14" i="109"/>
  <c r="AA14" i="109"/>
  <c r="Z14" i="109"/>
  <c r="Y14" i="109"/>
  <c r="AN13" i="109"/>
  <c r="AM13" i="109"/>
  <c r="AL13" i="109"/>
  <c r="AK13" i="109"/>
  <c r="AJ13" i="109"/>
  <c r="AI13" i="109"/>
  <c r="AH13" i="109"/>
  <c r="AG13" i="109"/>
  <c r="AF13" i="109"/>
  <c r="AE13" i="109"/>
  <c r="AD13" i="109"/>
  <c r="AC13" i="109"/>
  <c r="AB13" i="109"/>
  <c r="AA13" i="109"/>
  <c r="Z13" i="109"/>
  <c r="Y13" i="109"/>
  <c r="AN12" i="109"/>
  <c r="AM12" i="109"/>
  <c r="AL12" i="109"/>
  <c r="AK12" i="109"/>
  <c r="AJ12" i="109"/>
  <c r="AI12" i="109"/>
  <c r="AH12" i="109"/>
  <c r="AG12" i="109"/>
  <c r="AF12" i="109"/>
  <c r="AE12" i="109"/>
  <c r="AD12" i="109"/>
  <c r="AC12" i="109"/>
  <c r="AB12" i="109"/>
  <c r="AA12" i="109"/>
  <c r="Z12" i="109"/>
  <c r="Y12" i="109"/>
  <c r="AN11" i="109"/>
  <c r="AM11" i="109"/>
  <c r="AL11" i="109"/>
  <c r="AK11" i="109"/>
  <c r="AJ11" i="109"/>
  <c r="AI11" i="109"/>
  <c r="AH11" i="109"/>
  <c r="AG11" i="109"/>
  <c r="AF11" i="109"/>
  <c r="AE11" i="109"/>
  <c r="AD11" i="109"/>
  <c r="AC11" i="109"/>
  <c r="AB11" i="109"/>
  <c r="AA11" i="109"/>
  <c r="Z11" i="109"/>
  <c r="Y11" i="109"/>
  <c r="AN10" i="109"/>
  <c r="AM10" i="109"/>
  <c r="AL10" i="109"/>
  <c r="AK10" i="109"/>
  <c r="AJ10" i="109"/>
  <c r="AI10" i="109"/>
  <c r="AH10" i="109"/>
  <c r="AG10" i="109"/>
  <c r="AF10" i="109"/>
  <c r="AE10" i="109"/>
  <c r="AD10" i="109"/>
  <c r="AC10" i="109"/>
  <c r="AB10" i="109"/>
  <c r="AA10" i="109"/>
  <c r="Z10" i="109"/>
  <c r="Y10" i="109"/>
  <c r="AN9" i="109"/>
  <c r="AM9" i="109"/>
  <c r="AL9" i="109"/>
  <c r="AK9" i="109"/>
  <c r="AJ9" i="109"/>
  <c r="AI9" i="109"/>
  <c r="AH9" i="109"/>
  <c r="AG9" i="109"/>
  <c r="AF9" i="109"/>
  <c r="AE9" i="109"/>
  <c r="AD9" i="109"/>
  <c r="AC9" i="109"/>
  <c r="AB9" i="109"/>
  <c r="AA9" i="109"/>
  <c r="Z9" i="109"/>
  <c r="Y9" i="109"/>
  <c r="AN8" i="109"/>
  <c r="AM8" i="109"/>
  <c r="AL8" i="109"/>
  <c r="AK8" i="109"/>
  <c r="AJ8" i="109"/>
  <c r="AI8" i="109"/>
  <c r="AH8" i="109"/>
  <c r="AG8" i="109"/>
  <c r="AF8" i="109"/>
  <c r="AE8" i="109"/>
  <c r="AD8" i="109"/>
  <c r="AC8" i="109"/>
  <c r="AB8" i="109"/>
  <c r="AA8" i="109"/>
  <c r="Z8" i="109"/>
  <c r="Y8" i="109"/>
  <c r="AN7" i="109"/>
  <c r="AM7" i="109"/>
  <c r="AL7" i="109"/>
  <c r="AK7" i="109"/>
  <c r="AJ7" i="109"/>
  <c r="AI7" i="109"/>
  <c r="AH7" i="109"/>
  <c r="AG7" i="109"/>
  <c r="AF7" i="109"/>
  <c r="AE7" i="109"/>
  <c r="AD7" i="109"/>
  <c r="AC7" i="109"/>
  <c r="AB7" i="109"/>
  <c r="AA7" i="109"/>
  <c r="Z7" i="109"/>
  <c r="Y7" i="109"/>
  <c r="AN6" i="109"/>
  <c r="AM6" i="109"/>
  <c r="AL6" i="109"/>
  <c r="AK6" i="109"/>
  <c r="AJ6" i="109"/>
  <c r="AI6" i="109"/>
  <c r="AH6" i="109"/>
  <c r="AG6" i="109"/>
  <c r="AF6" i="109"/>
  <c r="AE6" i="109"/>
  <c r="AD6" i="109"/>
  <c r="AC6" i="109"/>
  <c r="AB6" i="109"/>
  <c r="AA6" i="109"/>
  <c r="Z6" i="109"/>
  <c r="Y6" i="109"/>
  <c r="AN5" i="109"/>
  <c r="AM5" i="109"/>
  <c r="AL5" i="109"/>
  <c r="AK5" i="109"/>
  <c r="AJ5" i="109"/>
  <c r="AI5" i="109"/>
  <c r="AH5" i="109"/>
  <c r="AG5" i="109"/>
  <c r="AF5" i="109"/>
  <c r="AE5" i="109"/>
  <c r="AD5" i="109"/>
  <c r="AC5" i="109"/>
  <c r="AB5" i="109"/>
  <c r="AA5" i="109"/>
  <c r="Z5" i="109"/>
  <c r="Y5" i="109"/>
  <c r="AN4" i="109"/>
  <c r="AM4" i="109"/>
  <c r="AL4" i="109"/>
  <c r="AK4" i="109"/>
  <c r="AJ4" i="109"/>
  <c r="AI4" i="109"/>
  <c r="AH4" i="109"/>
  <c r="AG4" i="109"/>
  <c r="AF4" i="109"/>
  <c r="AE4" i="109"/>
  <c r="AD4" i="109"/>
  <c r="AC4" i="109"/>
  <c r="AB4" i="109"/>
  <c r="AA4" i="109"/>
  <c r="Z4" i="109"/>
  <c r="Y4" i="109"/>
  <c r="Y30" i="110" l="1"/>
  <c r="Y31" i="110"/>
  <c r="W30" i="109"/>
  <c r="W31" i="109"/>
  <c r="W29" i="109"/>
  <c r="Y29" i="110"/>
  <c r="AR27" i="108" l="1"/>
  <c r="AQ27" i="108"/>
  <c r="AP27" i="108"/>
  <c r="AO27" i="108"/>
  <c r="AN27" i="108"/>
  <c r="AM27" i="108"/>
  <c r="AL27" i="108"/>
  <c r="AK27" i="108"/>
  <c r="AJ27" i="108"/>
  <c r="AI27" i="108"/>
  <c r="AH27" i="108"/>
  <c r="AG27" i="108"/>
  <c r="AF27" i="108"/>
  <c r="AE27" i="108"/>
  <c r="AD27" i="108"/>
  <c r="AC27" i="108"/>
  <c r="AB27" i="108"/>
  <c r="AA27" i="108"/>
  <c r="AR26" i="108"/>
  <c r="AQ26" i="108"/>
  <c r="AP26" i="108"/>
  <c r="AO26" i="108"/>
  <c r="AN26" i="108"/>
  <c r="AM26" i="108"/>
  <c r="AL26" i="108"/>
  <c r="AK26" i="108"/>
  <c r="AJ26" i="108"/>
  <c r="AI26" i="108"/>
  <c r="AH26" i="108"/>
  <c r="AG26" i="108"/>
  <c r="AF26" i="108"/>
  <c r="AE26" i="108"/>
  <c r="AD26" i="108"/>
  <c r="AC26" i="108"/>
  <c r="AB26" i="108"/>
  <c r="AA26" i="108"/>
  <c r="AR25" i="108"/>
  <c r="AQ25" i="108"/>
  <c r="AP25" i="108"/>
  <c r="AO25" i="108"/>
  <c r="AN25" i="108"/>
  <c r="AM25" i="108"/>
  <c r="AL25" i="108"/>
  <c r="AK25" i="108"/>
  <c r="AJ25" i="108"/>
  <c r="AI25" i="108"/>
  <c r="AH25" i="108"/>
  <c r="AG25" i="108"/>
  <c r="AF25" i="108"/>
  <c r="AE25" i="108"/>
  <c r="AD25" i="108"/>
  <c r="AC25" i="108"/>
  <c r="AB25" i="108"/>
  <c r="AA25" i="108"/>
  <c r="AR24" i="108"/>
  <c r="AQ24" i="108"/>
  <c r="AP24" i="108"/>
  <c r="AO24" i="108"/>
  <c r="AN24" i="108"/>
  <c r="AM24" i="108"/>
  <c r="AL24" i="108"/>
  <c r="AK24" i="108"/>
  <c r="AJ24" i="108"/>
  <c r="AI24" i="108"/>
  <c r="AH24" i="108"/>
  <c r="AG24" i="108"/>
  <c r="AF24" i="108"/>
  <c r="AE24" i="108"/>
  <c r="AD24" i="108"/>
  <c r="AC24" i="108"/>
  <c r="AB24" i="108"/>
  <c r="AA24" i="108"/>
  <c r="AR23" i="108"/>
  <c r="AQ23" i="108"/>
  <c r="AP23" i="108"/>
  <c r="AO23" i="108"/>
  <c r="AN23" i="108"/>
  <c r="AM23" i="108"/>
  <c r="AL23" i="108"/>
  <c r="AK23" i="108"/>
  <c r="AJ23" i="108"/>
  <c r="AI23" i="108"/>
  <c r="AH23" i="108"/>
  <c r="AG23" i="108"/>
  <c r="AF23" i="108"/>
  <c r="AE23" i="108"/>
  <c r="AD23" i="108"/>
  <c r="AC23" i="108"/>
  <c r="AB23" i="108"/>
  <c r="AA23" i="108"/>
  <c r="AR22" i="108"/>
  <c r="AQ22" i="108"/>
  <c r="AP22" i="108"/>
  <c r="AO22" i="108"/>
  <c r="AN22" i="108"/>
  <c r="AM22" i="108"/>
  <c r="AL22" i="108"/>
  <c r="AK22" i="108"/>
  <c r="AJ22" i="108"/>
  <c r="AI22" i="108"/>
  <c r="AH22" i="108"/>
  <c r="AG22" i="108"/>
  <c r="AF22" i="108"/>
  <c r="AE22" i="108"/>
  <c r="AD22" i="108"/>
  <c r="AC22" i="108"/>
  <c r="AB22" i="108"/>
  <c r="AA22" i="108"/>
  <c r="AR21" i="108"/>
  <c r="AQ21" i="108"/>
  <c r="AP21" i="108"/>
  <c r="AO21" i="108"/>
  <c r="AN21" i="108"/>
  <c r="AM21" i="108"/>
  <c r="AL21" i="108"/>
  <c r="AK21" i="108"/>
  <c r="AJ21" i="108"/>
  <c r="AI21" i="108"/>
  <c r="AH21" i="108"/>
  <c r="AG21" i="108"/>
  <c r="AF21" i="108"/>
  <c r="AE21" i="108"/>
  <c r="AD21" i="108"/>
  <c r="AC21" i="108"/>
  <c r="AB21" i="108"/>
  <c r="AA21" i="108"/>
  <c r="AR20" i="108"/>
  <c r="AQ20" i="108"/>
  <c r="AP20" i="108"/>
  <c r="AO20" i="108"/>
  <c r="AN20" i="108"/>
  <c r="AM20" i="108"/>
  <c r="AL20" i="108"/>
  <c r="AK20" i="108"/>
  <c r="AJ20" i="108"/>
  <c r="AI20" i="108"/>
  <c r="AH20" i="108"/>
  <c r="AG20" i="108"/>
  <c r="AF20" i="108"/>
  <c r="AE20" i="108"/>
  <c r="AD20" i="108"/>
  <c r="AC20" i="108"/>
  <c r="AB20" i="108"/>
  <c r="AA20" i="108"/>
  <c r="AR19" i="108"/>
  <c r="AQ19" i="108"/>
  <c r="AP19" i="108"/>
  <c r="AO19" i="108"/>
  <c r="AN19" i="108"/>
  <c r="AM19" i="108"/>
  <c r="AL19" i="108"/>
  <c r="AK19" i="108"/>
  <c r="AJ19" i="108"/>
  <c r="AI19" i="108"/>
  <c r="AH19" i="108"/>
  <c r="AG19" i="108"/>
  <c r="AF19" i="108"/>
  <c r="AE19" i="108"/>
  <c r="AD19" i="108"/>
  <c r="AC19" i="108"/>
  <c r="AB19" i="108"/>
  <c r="AA19" i="108"/>
  <c r="AR18" i="108"/>
  <c r="AQ18" i="108"/>
  <c r="AP18" i="108"/>
  <c r="AO18" i="108"/>
  <c r="AN18" i="108"/>
  <c r="AM18" i="108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AR17" i="108"/>
  <c r="AQ17" i="108"/>
  <c r="AP17" i="108"/>
  <c r="AO17" i="108"/>
  <c r="AN17" i="108"/>
  <c r="AM17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AR16" i="108"/>
  <c r="AQ16" i="108"/>
  <c r="AP16" i="108"/>
  <c r="AO16" i="108"/>
  <c r="AN16" i="108"/>
  <c r="AM16" i="108"/>
  <c r="AL16" i="108"/>
  <c r="AK16" i="108"/>
  <c r="AJ16" i="108"/>
  <c r="AI16" i="108"/>
  <c r="AH16" i="108"/>
  <c r="AG16" i="108"/>
  <c r="AF16" i="108"/>
  <c r="AE16" i="108"/>
  <c r="AD16" i="108"/>
  <c r="AC16" i="108"/>
  <c r="AB16" i="108"/>
  <c r="AA16" i="108"/>
  <c r="AR15" i="108"/>
  <c r="AQ15" i="108"/>
  <c r="AP15" i="108"/>
  <c r="AO15" i="108"/>
  <c r="AN15" i="108"/>
  <c r="AM15" i="108"/>
  <c r="AL15" i="108"/>
  <c r="AK15" i="108"/>
  <c r="AJ15" i="108"/>
  <c r="AI15" i="108"/>
  <c r="AH15" i="108"/>
  <c r="AG15" i="108"/>
  <c r="AF15" i="108"/>
  <c r="AE15" i="108"/>
  <c r="AD15" i="108"/>
  <c r="AC15" i="108"/>
  <c r="AB15" i="108"/>
  <c r="AA15" i="108"/>
  <c r="AR14" i="108"/>
  <c r="AQ14" i="108"/>
  <c r="AP14" i="108"/>
  <c r="AO14" i="108"/>
  <c r="AN14" i="108"/>
  <c r="AM14" i="108"/>
  <c r="AL14" i="108"/>
  <c r="AK14" i="108"/>
  <c r="AJ14" i="108"/>
  <c r="AI14" i="108"/>
  <c r="AH14" i="108"/>
  <c r="AG14" i="108"/>
  <c r="AF14" i="108"/>
  <c r="AE14" i="108"/>
  <c r="AD14" i="108"/>
  <c r="AC14" i="108"/>
  <c r="AB14" i="108"/>
  <c r="AA14" i="108"/>
  <c r="AR13" i="108"/>
  <c r="AQ13" i="108"/>
  <c r="AP13" i="108"/>
  <c r="AO13" i="108"/>
  <c r="AN13" i="108"/>
  <c r="AM13" i="108"/>
  <c r="AL13" i="108"/>
  <c r="AK13" i="108"/>
  <c r="AJ13" i="108"/>
  <c r="AI13" i="108"/>
  <c r="AH13" i="108"/>
  <c r="AG13" i="108"/>
  <c r="AF13" i="108"/>
  <c r="AE13" i="108"/>
  <c r="AD13" i="108"/>
  <c r="AC13" i="108"/>
  <c r="AB13" i="108"/>
  <c r="AA13" i="108"/>
  <c r="AR12" i="108"/>
  <c r="AQ12" i="108"/>
  <c r="AP12" i="108"/>
  <c r="AO12" i="108"/>
  <c r="AN12" i="108"/>
  <c r="AM12" i="108"/>
  <c r="AL12" i="108"/>
  <c r="AK12" i="108"/>
  <c r="AJ12" i="108"/>
  <c r="AI12" i="108"/>
  <c r="AH12" i="108"/>
  <c r="AG12" i="108"/>
  <c r="AF12" i="108"/>
  <c r="AE12" i="108"/>
  <c r="AD12" i="108"/>
  <c r="AC12" i="108"/>
  <c r="AB12" i="108"/>
  <c r="AA12" i="108"/>
  <c r="AR11" i="108"/>
  <c r="AQ11" i="108"/>
  <c r="AP11" i="108"/>
  <c r="AO11" i="108"/>
  <c r="AN11" i="108"/>
  <c r="AM11" i="108"/>
  <c r="AL11" i="108"/>
  <c r="AK11" i="108"/>
  <c r="AJ11" i="108"/>
  <c r="AI11" i="108"/>
  <c r="AH11" i="108"/>
  <c r="AG11" i="108"/>
  <c r="AF11" i="108"/>
  <c r="AE11" i="108"/>
  <c r="AD11" i="108"/>
  <c r="AC11" i="108"/>
  <c r="AB11" i="108"/>
  <c r="AA11" i="108"/>
  <c r="AR10" i="108"/>
  <c r="AQ10" i="108"/>
  <c r="AP10" i="108"/>
  <c r="AO10" i="108"/>
  <c r="AN10" i="108"/>
  <c r="AM10" i="108"/>
  <c r="AL10" i="108"/>
  <c r="AK10" i="108"/>
  <c r="AJ10" i="108"/>
  <c r="AI10" i="108"/>
  <c r="AH10" i="108"/>
  <c r="AG10" i="108"/>
  <c r="AF10" i="108"/>
  <c r="AE10" i="108"/>
  <c r="AD10" i="108"/>
  <c r="AC10" i="108"/>
  <c r="AB10" i="108"/>
  <c r="AA10" i="108"/>
  <c r="AR9" i="108"/>
  <c r="AQ9" i="108"/>
  <c r="AP9" i="108"/>
  <c r="AO9" i="108"/>
  <c r="AN9" i="108"/>
  <c r="AM9" i="108"/>
  <c r="AL9" i="108"/>
  <c r="AK9" i="108"/>
  <c r="AJ9" i="108"/>
  <c r="AI9" i="108"/>
  <c r="AH9" i="108"/>
  <c r="AG9" i="108"/>
  <c r="AF9" i="108"/>
  <c r="AE9" i="108"/>
  <c r="AD9" i="108"/>
  <c r="AC9" i="108"/>
  <c r="AB9" i="108"/>
  <c r="AA9" i="108"/>
  <c r="AR8" i="108"/>
  <c r="AQ8" i="108"/>
  <c r="AP8" i="108"/>
  <c r="AO8" i="108"/>
  <c r="AN8" i="108"/>
  <c r="AM8" i="108"/>
  <c r="AL8" i="108"/>
  <c r="AK8" i="108"/>
  <c r="AJ8" i="108"/>
  <c r="AI8" i="108"/>
  <c r="AH8" i="108"/>
  <c r="AG8" i="108"/>
  <c r="AF8" i="108"/>
  <c r="AE8" i="108"/>
  <c r="AD8" i="108"/>
  <c r="AC8" i="108"/>
  <c r="AB8" i="108"/>
  <c r="AA8" i="108"/>
  <c r="AR7" i="108"/>
  <c r="AQ7" i="108"/>
  <c r="AP7" i="108"/>
  <c r="AO7" i="108"/>
  <c r="AN7" i="108"/>
  <c r="AM7" i="108"/>
  <c r="AL7" i="108"/>
  <c r="AK7" i="108"/>
  <c r="AJ7" i="108"/>
  <c r="AI7" i="108"/>
  <c r="AH7" i="108"/>
  <c r="AG7" i="108"/>
  <c r="AF7" i="108"/>
  <c r="AE7" i="108"/>
  <c r="AD7" i="108"/>
  <c r="AC7" i="108"/>
  <c r="AB7" i="108"/>
  <c r="AA7" i="108"/>
  <c r="AR6" i="108"/>
  <c r="AQ6" i="108"/>
  <c r="AP6" i="108"/>
  <c r="AO6" i="108"/>
  <c r="AN6" i="108"/>
  <c r="AM6" i="108"/>
  <c r="AL6" i="108"/>
  <c r="AK6" i="108"/>
  <c r="AJ6" i="108"/>
  <c r="AI6" i="108"/>
  <c r="AH6" i="108"/>
  <c r="AG6" i="108"/>
  <c r="AF6" i="108"/>
  <c r="AE6" i="108"/>
  <c r="AD6" i="108"/>
  <c r="AC6" i="108"/>
  <c r="AB6" i="108"/>
  <c r="AA6" i="108"/>
  <c r="AR5" i="108"/>
  <c r="AQ5" i="108"/>
  <c r="AP5" i="108"/>
  <c r="AO5" i="108"/>
  <c r="AN5" i="108"/>
  <c r="AM5" i="108"/>
  <c r="AL5" i="108"/>
  <c r="AK5" i="108"/>
  <c r="AJ5" i="108"/>
  <c r="AI5" i="108"/>
  <c r="AH5" i="108"/>
  <c r="AG5" i="108"/>
  <c r="AF5" i="108"/>
  <c r="AE5" i="108"/>
  <c r="AD5" i="108"/>
  <c r="AC5" i="108"/>
  <c r="AB5" i="108"/>
  <c r="AA5" i="108"/>
  <c r="AR4" i="108"/>
  <c r="AQ4" i="108"/>
  <c r="AP4" i="108"/>
  <c r="AO4" i="108"/>
  <c r="AN4" i="108"/>
  <c r="AM4" i="108"/>
  <c r="AL4" i="108"/>
  <c r="AK4" i="108"/>
  <c r="AJ4" i="108"/>
  <c r="AI4" i="108"/>
  <c r="AH4" i="108"/>
  <c r="AG4" i="108"/>
  <c r="AF4" i="108"/>
  <c r="AE4" i="108"/>
  <c r="AD4" i="108"/>
  <c r="AC4" i="108"/>
  <c r="AB4" i="108"/>
  <c r="AA4" i="108"/>
  <c r="AN27" i="106"/>
  <c r="AM27" i="106"/>
  <c r="AL27" i="106"/>
  <c r="AK27" i="106"/>
  <c r="AJ27" i="106"/>
  <c r="AI27" i="106"/>
  <c r="AH27" i="106"/>
  <c r="AG27" i="106"/>
  <c r="AF27" i="106"/>
  <c r="AE27" i="106"/>
  <c r="AD27" i="106"/>
  <c r="AC27" i="106"/>
  <c r="AB27" i="106"/>
  <c r="AA27" i="106"/>
  <c r="Z27" i="106"/>
  <c r="Y27" i="106"/>
  <c r="AN26" i="106"/>
  <c r="AM26" i="106"/>
  <c r="AL26" i="106"/>
  <c r="AK26" i="106"/>
  <c r="AJ26" i="106"/>
  <c r="AI26" i="106"/>
  <c r="AH26" i="106"/>
  <c r="AG26" i="106"/>
  <c r="AF26" i="106"/>
  <c r="AE26" i="106"/>
  <c r="AD26" i="106"/>
  <c r="AC26" i="106"/>
  <c r="AB26" i="106"/>
  <c r="AA26" i="106"/>
  <c r="Z26" i="106"/>
  <c r="Y26" i="106"/>
  <c r="AN25" i="106"/>
  <c r="AM25" i="106"/>
  <c r="AL25" i="106"/>
  <c r="AK25" i="106"/>
  <c r="AJ25" i="106"/>
  <c r="AI25" i="106"/>
  <c r="AH25" i="106"/>
  <c r="AG25" i="106"/>
  <c r="AF25" i="106"/>
  <c r="AE25" i="106"/>
  <c r="AD25" i="106"/>
  <c r="AC25" i="106"/>
  <c r="AB25" i="106"/>
  <c r="AA25" i="106"/>
  <c r="Z25" i="106"/>
  <c r="Y25" i="106"/>
  <c r="AN24" i="106"/>
  <c r="AM24" i="106"/>
  <c r="AL24" i="106"/>
  <c r="AK24" i="106"/>
  <c r="AJ24" i="106"/>
  <c r="AI24" i="106"/>
  <c r="AH24" i="106"/>
  <c r="AG24" i="106"/>
  <c r="AF24" i="106"/>
  <c r="AE24" i="106"/>
  <c r="AD24" i="106"/>
  <c r="AC24" i="106"/>
  <c r="AB24" i="106"/>
  <c r="AA24" i="106"/>
  <c r="Z24" i="106"/>
  <c r="Y24" i="106"/>
  <c r="AN23" i="106"/>
  <c r="AM23" i="106"/>
  <c r="AL23" i="106"/>
  <c r="AK23" i="106"/>
  <c r="AJ23" i="106"/>
  <c r="AI23" i="106"/>
  <c r="AH23" i="106"/>
  <c r="AG23" i="106"/>
  <c r="AF23" i="106"/>
  <c r="AE23" i="106"/>
  <c r="AD23" i="106"/>
  <c r="AC23" i="106"/>
  <c r="AB23" i="106"/>
  <c r="AA23" i="106"/>
  <c r="Z23" i="106"/>
  <c r="Y23" i="106"/>
  <c r="AN22" i="106"/>
  <c r="AM22" i="106"/>
  <c r="AL22" i="106"/>
  <c r="AK22" i="106"/>
  <c r="AJ22" i="106"/>
  <c r="AI22" i="106"/>
  <c r="AH22" i="106"/>
  <c r="AG22" i="106"/>
  <c r="AF22" i="106"/>
  <c r="AE22" i="106"/>
  <c r="AD22" i="106"/>
  <c r="AC22" i="106"/>
  <c r="AB22" i="106"/>
  <c r="AA22" i="106"/>
  <c r="Z22" i="106"/>
  <c r="Y22" i="106"/>
  <c r="AN21" i="106"/>
  <c r="AM21" i="106"/>
  <c r="AL21" i="106"/>
  <c r="AK21" i="106"/>
  <c r="AJ21" i="106"/>
  <c r="AI21" i="106"/>
  <c r="AH21" i="106"/>
  <c r="AG21" i="106"/>
  <c r="AF21" i="106"/>
  <c r="AE21" i="106"/>
  <c r="AD21" i="106"/>
  <c r="AC21" i="106"/>
  <c r="AB21" i="106"/>
  <c r="AA21" i="106"/>
  <c r="Z21" i="106"/>
  <c r="Y21" i="106"/>
  <c r="AN20" i="106"/>
  <c r="AM20" i="106"/>
  <c r="AL20" i="106"/>
  <c r="AK20" i="106"/>
  <c r="AJ20" i="106"/>
  <c r="AI20" i="106"/>
  <c r="AH20" i="106"/>
  <c r="AG20" i="106"/>
  <c r="AF20" i="106"/>
  <c r="AE20" i="106"/>
  <c r="AD20" i="106"/>
  <c r="AC20" i="106"/>
  <c r="AB20" i="106"/>
  <c r="AA20" i="106"/>
  <c r="Z20" i="106"/>
  <c r="Y20" i="106"/>
  <c r="AN19" i="106"/>
  <c r="AM19" i="106"/>
  <c r="AL19" i="106"/>
  <c r="AK19" i="106"/>
  <c r="AJ19" i="106"/>
  <c r="AI19" i="106"/>
  <c r="AH19" i="106"/>
  <c r="AG19" i="106"/>
  <c r="AF19" i="106"/>
  <c r="AE19" i="106"/>
  <c r="AD19" i="106"/>
  <c r="AC19" i="106"/>
  <c r="AB19" i="106"/>
  <c r="AA19" i="106"/>
  <c r="Z19" i="106"/>
  <c r="Y19" i="106"/>
  <c r="AN18" i="106"/>
  <c r="AM18" i="10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Z18" i="106"/>
  <c r="Y18" i="106"/>
  <c r="AN17" i="106"/>
  <c r="AM17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Z17" i="106"/>
  <c r="Y17" i="106"/>
  <c r="AN16" i="106"/>
  <c r="AM16" i="106"/>
  <c r="AL16" i="106"/>
  <c r="AK16" i="106"/>
  <c r="AJ16" i="106"/>
  <c r="AI16" i="106"/>
  <c r="AH16" i="106"/>
  <c r="AG16" i="106"/>
  <c r="AF16" i="106"/>
  <c r="AE16" i="106"/>
  <c r="AD16" i="106"/>
  <c r="AC16" i="106"/>
  <c r="AB16" i="106"/>
  <c r="AA16" i="106"/>
  <c r="Z16" i="106"/>
  <c r="Y16" i="106"/>
  <c r="AN15" i="106"/>
  <c r="AM15" i="106"/>
  <c r="AL15" i="106"/>
  <c r="AK15" i="106"/>
  <c r="AJ15" i="106"/>
  <c r="AI15" i="106"/>
  <c r="AH15" i="106"/>
  <c r="AG15" i="106"/>
  <c r="AF15" i="106"/>
  <c r="AE15" i="106"/>
  <c r="AD15" i="106"/>
  <c r="AC15" i="106"/>
  <c r="AB15" i="106"/>
  <c r="AA15" i="106"/>
  <c r="Z15" i="106"/>
  <c r="Y15" i="106"/>
  <c r="AN14" i="106"/>
  <c r="AM14" i="106"/>
  <c r="AL14" i="106"/>
  <c r="AK14" i="106"/>
  <c r="AJ14" i="106"/>
  <c r="AI14" i="106"/>
  <c r="AH14" i="106"/>
  <c r="AG14" i="106"/>
  <c r="AF14" i="106"/>
  <c r="AE14" i="106"/>
  <c r="AD14" i="106"/>
  <c r="AC14" i="106"/>
  <c r="AB14" i="106"/>
  <c r="AA14" i="106"/>
  <c r="Z14" i="106"/>
  <c r="Y14" i="106"/>
  <c r="AN13" i="106"/>
  <c r="AM13" i="106"/>
  <c r="AL13" i="106"/>
  <c r="AK13" i="106"/>
  <c r="AJ13" i="106"/>
  <c r="AI13" i="106"/>
  <c r="AH13" i="106"/>
  <c r="AG13" i="106"/>
  <c r="AF13" i="106"/>
  <c r="AE13" i="106"/>
  <c r="AD13" i="106"/>
  <c r="AC13" i="106"/>
  <c r="AB13" i="106"/>
  <c r="AA13" i="106"/>
  <c r="Z13" i="106"/>
  <c r="Y13" i="106"/>
  <c r="AN12" i="106"/>
  <c r="AM12" i="106"/>
  <c r="AL12" i="106"/>
  <c r="AK12" i="106"/>
  <c r="AJ12" i="106"/>
  <c r="AI12" i="106"/>
  <c r="AH12" i="106"/>
  <c r="AG12" i="106"/>
  <c r="AF12" i="106"/>
  <c r="AE12" i="106"/>
  <c r="AD12" i="106"/>
  <c r="AC12" i="106"/>
  <c r="AB12" i="106"/>
  <c r="AA12" i="106"/>
  <c r="Z12" i="106"/>
  <c r="Y12" i="106"/>
  <c r="AN11" i="106"/>
  <c r="AM11" i="106"/>
  <c r="AL11" i="106"/>
  <c r="AK11" i="106"/>
  <c r="AJ11" i="106"/>
  <c r="AI11" i="106"/>
  <c r="AH11" i="106"/>
  <c r="AG11" i="106"/>
  <c r="AF11" i="106"/>
  <c r="AE11" i="106"/>
  <c r="AD11" i="106"/>
  <c r="AC11" i="106"/>
  <c r="AB11" i="106"/>
  <c r="AA11" i="106"/>
  <c r="Z11" i="106"/>
  <c r="Y11" i="106"/>
  <c r="AN10" i="106"/>
  <c r="AM10" i="106"/>
  <c r="AL10" i="106"/>
  <c r="AK10" i="106"/>
  <c r="AJ10" i="106"/>
  <c r="AI10" i="106"/>
  <c r="AH10" i="106"/>
  <c r="AG10" i="106"/>
  <c r="AF10" i="106"/>
  <c r="AE10" i="106"/>
  <c r="AD10" i="106"/>
  <c r="AC10" i="106"/>
  <c r="AB10" i="106"/>
  <c r="AA10" i="106"/>
  <c r="Z10" i="106"/>
  <c r="Y10" i="106"/>
  <c r="AN9" i="106"/>
  <c r="AM9" i="106"/>
  <c r="AL9" i="106"/>
  <c r="AK9" i="106"/>
  <c r="AJ9" i="106"/>
  <c r="AI9" i="106"/>
  <c r="AH9" i="106"/>
  <c r="AG9" i="106"/>
  <c r="AF9" i="106"/>
  <c r="AE9" i="106"/>
  <c r="AD9" i="106"/>
  <c r="AC9" i="106"/>
  <c r="AB9" i="106"/>
  <c r="AA9" i="106"/>
  <c r="Z9" i="106"/>
  <c r="Y9" i="106"/>
  <c r="AN8" i="106"/>
  <c r="AM8" i="106"/>
  <c r="AL8" i="106"/>
  <c r="AK8" i="106"/>
  <c r="AJ8" i="106"/>
  <c r="AI8" i="106"/>
  <c r="AH8" i="106"/>
  <c r="AG8" i="106"/>
  <c r="AF8" i="106"/>
  <c r="AE8" i="106"/>
  <c r="AD8" i="106"/>
  <c r="AC8" i="106"/>
  <c r="AB8" i="106"/>
  <c r="AA8" i="106"/>
  <c r="Z8" i="106"/>
  <c r="Y8" i="106"/>
  <c r="AN7" i="106"/>
  <c r="AM7" i="106"/>
  <c r="AL7" i="106"/>
  <c r="AK7" i="106"/>
  <c r="AJ7" i="106"/>
  <c r="AI7" i="106"/>
  <c r="AH7" i="106"/>
  <c r="AG7" i="106"/>
  <c r="AF7" i="106"/>
  <c r="AE7" i="106"/>
  <c r="AD7" i="106"/>
  <c r="AC7" i="106"/>
  <c r="AB7" i="106"/>
  <c r="AA7" i="106"/>
  <c r="Z7" i="106"/>
  <c r="Y7" i="106"/>
  <c r="AN6" i="106"/>
  <c r="AM6" i="106"/>
  <c r="AL6" i="106"/>
  <c r="AK6" i="106"/>
  <c r="AJ6" i="106"/>
  <c r="AI6" i="106"/>
  <c r="AH6" i="106"/>
  <c r="AG6" i="106"/>
  <c r="AF6" i="106"/>
  <c r="AE6" i="106"/>
  <c r="AD6" i="106"/>
  <c r="AC6" i="106"/>
  <c r="AB6" i="106"/>
  <c r="AA6" i="106"/>
  <c r="Z6" i="106"/>
  <c r="Y6" i="106"/>
  <c r="AN5" i="106"/>
  <c r="AM5" i="106"/>
  <c r="AL5" i="106"/>
  <c r="AK5" i="106"/>
  <c r="AJ5" i="106"/>
  <c r="AI5" i="106"/>
  <c r="AH5" i="106"/>
  <c r="AG5" i="106"/>
  <c r="AF5" i="106"/>
  <c r="AE5" i="106"/>
  <c r="AD5" i="106"/>
  <c r="AC5" i="106"/>
  <c r="AB5" i="106"/>
  <c r="AA5" i="106"/>
  <c r="Z5" i="106"/>
  <c r="Y5" i="106"/>
  <c r="AN4" i="106"/>
  <c r="AM4" i="106"/>
  <c r="AL4" i="106"/>
  <c r="AK4" i="106"/>
  <c r="AJ4" i="106"/>
  <c r="AI4" i="106"/>
  <c r="AH4" i="106"/>
  <c r="AG4" i="106"/>
  <c r="AF4" i="106"/>
  <c r="AE4" i="106"/>
  <c r="AD4" i="106"/>
  <c r="AC4" i="106"/>
  <c r="AB4" i="106"/>
  <c r="AA4" i="106"/>
  <c r="Z4" i="106"/>
  <c r="Y4" i="106"/>
  <c r="Y30" i="108" l="1"/>
  <c r="W31" i="106"/>
  <c r="W30" i="106"/>
  <c r="Y31" i="108"/>
  <c r="Y29" i="108"/>
  <c r="W29" i="106"/>
</calcChain>
</file>

<file path=xl/sharedStrings.xml><?xml version="1.0" encoding="utf-8"?>
<sst xmlns="http://schemas.openxmlformats.org/spreadsheetml/2006/main" count="1971" uniqueCount="104">
  <si>
    <t>QD1</t>
  </si>
  <si>
    <t>QD2</t>
  </si>
  <si>
    <t>QD4</t>
  </si>
  <si>
    <t>QD8</t>
  </si>
  <si>
    <t>QD16</t>
  </si>
  <si>
    <t>Read</t>
    <phoneticPr fontId="1" type="noConversion"/>
  </si>
  <si>
    <t>QoS(99.00%)
usec</t>
    <phoneticPr fontId="1" type="noConversion"/>
  </si>
  <si>
    <t>QoS(99.99%)
usec</t>
    <phoneticPr fontId="1" type="noConversion"/>
  </si>
  <si>
    <t>4KB Perf
IOPS</t>
    <phoneticPr fontId="1" type="noConversion"/>
  </si>
  <si>
    <t>Write</t>
    <phoneticPr fontId="1" type="noConversion"/>
  </si>
  <si>
    <t>128K Sequential Read (MB/s)</t>
  </si>
  <si>
    <t>128K Sequential Write (MB/s)</t>
  </si>
  <si>
    <t>4K Random Read (IOPS)</t>
  </si>
  <si>
    <t>4K Random Write (IOPS)</t>
  </si>
  <si>
    <t>960GB</t>
    <phoneticPr fontId="1" type="noConversion"/>
  </si>
  <si>
    <t>3840GB</t>
    <phoneticPr fontId="1" type="noConversion"/>
  </si>
  <si>
    <t>QD64</t>
    <phoneticPr fontId="1" type="noConversion"/>
  </si>
  <si>
    <t>QD256</t>
    <phoneticPr fontId="1" type="noConversion"/>
  </si>
  <si>
    <t>QD32</t>
    <phoneticPr fontId="1" type="noConversion"/>
  </si>
  <si>
    <t>DVR 조건 : 전세대 대비 80% 이상</t>
    <phoneticPr fontId="1" type="noConversion"/>
  </si>
  <si>
    <t>QoS 우세율</t>
    <phoneticPr fontId="1" type="noConversion"/>
  </si>
  <si>
    <t>Read 우세율</t>
    <phoneticPr fontId="1" type="noConversion"/>
  </si>
  <si>
    <t>Write 우세율</t>
    <phoneticPr fontId="1" type="noConversion"/>
  </si>
  <si>
    <t>QD128</t>
    <phoneticPr fontId="1" type="noConversion"/>
  </si>
  <si>
    <t>1920GB</t>
    <phoneticPr fontId="1" type="noConversion"/>
  </si>
  <si>
    <t>PM983a_EDW70M5Q_20200429</t>
    <phoneticPr fontId="1" type="noConversion"/>
  </si>
  <si>
    <t>PM983a_EDW70M5Q_20200429_TH4</t>
    <phoneticPr fontId="1" type="noConversion"/>
  </si>
  <si>
    <t>PM983a_EDW70M5Q_20200429_TH4
Gen4</t>
    <phoneticPr fontId="1" type="noConversion"/>
  </si>
  <si>
    <t>PM983a_EDW70M5Q_20200429
Gen4</t>
    <phoneticPr fontId="1" type="noConversion"/>
  </si>
  <si>
    <t>PM9A3_GEC70N21_20201103_TH4
Gen4</t>
    <phoneticPr fontId="1" type="noConversion"/>
  </si>
  <si>
    <t>PM983a_EDW70M5Q_20200429_Gen4
vs PM9A3_GEC70N21_20201103_Gen4</t>
    <phoneticPr fontId="1" type="noConversion"/>
  </si>
  <si>
    <t>PM983a_EDW70M5Q_20200429_TH4_Gen4
vs PM9A3_GEC70N21_20201103_TH4_Gen4</t>
    <phoneticPr fontId="1" type="noConversion"/>
  </si>
  <si>
    <t>960GB</t>
    <phoneticPr fontId="1" type="noConversion"/>
  </si>
  <si>
    <t>1920GB</t>
    <phoneticPr fontId="1" type="noConversion"/>
  </si>
  <si>
    <t>PM9A3_GEC70N21_20201103
Gen4</t>
    <phoneticPr fontId="1" type="noConversion"/>
  </si>
  <si>
    <t>Basic_PM9A3_M.2_960GB_GDC71N2Q_201106_#062_SYSTEM08 vs Basic_PM983a_M.2_960GB_EDW70M5Q_200504_X570</t>
  </si>
  <si>
    <t>성능 [MB/s, IOPS]</t>
  </si>
  <si>
    <t>QoS 99.00th[us]</t>
  </si>
  <si>
    <t>QoS 99.99th[us]</t>
  </si>
  <si>
    <t>Worker1</t>
  </si>
  <si>
    <t>Worker2</t>
  </si>
  <si>
    <t>Worker4</t>
  </si>
  <si>
    <t>Worker8</t>
  </si>
  <si>
    <t>Worker16</t>
  </si>
  <si>
    <t>Read</t>
  </si>
  <si>
    <t>Write</t>
  </si>
  <si>
    <t>4KB Random R/W 100/0</t>
  </si>
  <si>
    <t>QD32</t>
  </si>
  <si>
    <t>QD64</t>
  </si>
  <si>
    <t>QD128</t>
  </si>
  <si>
    <t>QD256</t>
  </si>
  <si>
    <t>4KB Random R/W 70/30</t>
  </si>
  <si>
    <t>4KB Random R/W 50/50</t>
  </si>
  <si>
    <t>4KB Random R/W 30/70</t>
  </si>
  <si>
    <t>Basic_PM9A3_M.2_1.92TB_GDC71N2Q_201106_#011_SYSTEM05 vs Basic_PM983a_M.2_1.92TB_EDW70M5Q_200504_X570</t>
  </si>
  <si>
    <t>#DIV/0</t>
  </si>
  <si>
    <t>Basic_PM9A3_M.2_3.84TB_GDC71N2Q_201106_NDS_C_#1_SYSTEM04 vs Basic_PM983a_M.2_3.84TB_EDW70M5Q_200504_X570</t>
  </si>
  <si>
    <t>PM9A3_GFA70F20_20201116</t>
    <phoneticPr fontId="1" type="noConversion"/>
  </si>
  <si>
    <t>PM9A3_GFA70F20_20201116_TH4</t>
    <phoneticPr fontId="1" type="noConversion"/>
  </si>
  <si>
    <t>PM983a_EDW70M5Q_20200429_TH4 
vs PM9A3_GFA70F20_20201116_TH4</t>
    <phoneticPr fontId="1" type="noConversion"/>
  </si>
  <si>
    <t>PM983a_EDW70M5Q_20200429
vs PM9A3_GFA70F20_20201116</t>
    <phoneticPr fontId="1" type="noConversion"/>
  </si>
  <si>
    <t>PM9A3_GEA70F20_20201203</t>
    <phoneticPr fontId="1" type="noConversion"/>
  </si>
  <si>
    <t>PM9A3_GEA70F20_20201203_TH4</t>
    <phoneticPr fontId="1" type="noConversion"/>
  </si>
  <si>
    <t>PM983a_EDW70M5Q_20200429_TH4 
vs PM9A3_GEA70F20_20201203_TH4</t>
    <phoneticPr fontId="1" type="noConversion"/>
  </si>
  <si>
    <t xml:space="preserve"> </t>
    <phoneticPr fontId="1" type="noConversion"/>
  </si>
  <si>
    <t>PM9A3_GEA70F21_20201211</t>
  </si>
  <si>
    <t>PM9A3_GEA70F21_20201211_TH4</t>
  </si>
  <si>
    <t>PM983a_EDW70M5Q_20200429_TH4 
vs PM9A3_GEA70F21_20201211_TH4</t>
  </si>
  <si>
    <t>PM9A3_GEA70F21_20201229</t>
    <phoneticPr fontId="1" type="noConversion"/>
  </si>
  <si>
    <t>PM9A3_GEA70F23_20201229_TH4</t>
    <phoneticPr fontId="1" type="noConversion"/>
  </si>
  <si>
    <t>PM983a_EDW73F2Q_20191110</t>
    <phoneticPr fontId="1" type="noConversion"/>
  </si>
  <si>
    <t>PM983a_EDW73F2Q_20191110_TH4</t>
    <phoneticPr fontId="1" type="noConversion"/>
  </si>
  <si>
    <t>PM9A3_GEA70F24 20210112</t>
    <phoneticPr fontId="1" type="noConversion"/>
  </si>
  <si>
    <t>PM9A3_GEA70F24 20210112_TH4</t>
    <phoneticPr fontId="1" type="noConversion"/>
  </si>
  <si>
    <t>PM9A3_GKA71F20_20210202</t>
    <phoneticPr fontId="1" type="noConversion"/>
  </si>
  <si>
    <t>PM9A3_GKA71F20_20210202_TH4</t>
    <phoneticPr fontId="1" type="noConversion"/>
  </si>
  <si>
    <t>PM9A3_GDA71F25_20210527</t>
    <phoneticPr fontId="1" type="noConversion"/>
  </si>
  <si>
    <t>PM9A3_GDA71F25_20210527_TH4</t>
    <phoneticPr fontId="1" type="noConversion"/>
  </si>
  <si>
    <t>PM9A3_GDA71F2Q_20210203</t>
    <phoneticPr fontId="1" type="noConversion"/>
  </si>
  <si>
    <t>PM9A3_GDA71F2Q_20210203_TH4</t>
    <phoneticPr fontId="1" type="noConversion"/>
  </si>
  <si>
    <t>PM9A3_GHA72F2L_20210702</t>
    <phoneticPr fontId="1" type="noConversion"/>
  </si>
  <si>
    <t>PM9A3_GHA72F2L_20210702_TH4</t>
    <phoneticPr fontId="1" type="noConversion"/>
  </si>
  <si>
    <t>46GB</t>
    <phoneticPr fontId="1" type="noConversion"/>
  </si>
  <si>
    <t>92GB</t>
    <phoneticPr fontId="1" type="noConversion"/>
  </si>
  <si>
    <t>46GB vs 960GB</t>
    <phoneticPr fontId="1" type="noConversion"/>
  </si>
  <si>
    <t>92GB vs 1920GB</t>
    <phoneticPr fontId="1" type="noConversion"/>
  </si>
  <si>
    <t>Target</t>
    <phoneticPr fontId="1" type="noConversion"/>
  </si>
  <si>
    <t>vs Target</t>
    <phoneticPr fontId="1" type="noConversion"/>
  </si>
  <si>
    <t>1880GB</t>
  </si>
  <si>
    <t>vs Previous FW</t>
    <phoneticPr fontId="1" type="noConversion"/>
  </si>
  <si>
    <t>25mmT</t>
    <phoneticPr fontId="37" type="noConversion"/>
  </si>
  <si>
    <t>900GB</t>
  </si>
  <si>
    <t>900GB</t>
    <phoneticPr fontId="1" type="noConversion"/>
  </si>
  <si>
    <t>1880GB</t>
    <phoneticPr fontId="1" type="noConversion"/>
  </si>
  <si>
    <t>3760GB</t>
    <phoneticPr fontId="1" type="noConversion"/>
  </si>
  <si>
    <t>7521GB</t>
    <phoneticPr fontId="1" type="noConversion"/>
  </si>
  <si>
    <t>15040GB</t>
    <phoneticPr fontId="1" type="noConversion"/>
  </si>
  <si>
    <t>7521GB</t>
  </si>
  <si>
    <t>15040GB</t>
  </si>
  <si>
    <t>LDD62F2Q</t>
    <phoneticPr fontId="1" type="noConversion"/>
  </si>
  <si>
    <t>LDD63F2Q</t>
    <phoneticPr fontId="1" type="noConversion"/>
  </si>
  <si>
    <r>
      <t xml:space="preserve">PM9D3a </t>
    </r>
    <r>
      <rPr>
        <b/>
        <sz val="11"/>
        <color rgb="FF0000FF"/>
        <rFont val="맑은 고딕"/>
        <family val="3"/>
        <charset val="129"/>
      </rPr>
      <t>Gen3</t>
    </r>
    <phoneticPr fontId="1" type="noConversion"/>
  </si>
  <si>
    <r>
      <t xml:space="preserve">PM9D3a </t>
    </r>
    <r>
      <rPr>
        <b/>
        <sz val="11"/>
        <color rgb="FF0000FF"/>
        <rFont val="맑은 고딕"/>
        <family val="3"/>
        <charset val="129"/>
      </rPr>
      <t>Gen5</t>
    </r>
    <phoneticPr fontId="1" type="noConversion"/>
  </si>
  <si>
    <t>9.5mmT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</si>
</sst>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%"/>
  </numFmts>
  <fonts count="3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1"/>
      <color rgb="FF333333"/>
      <name val="Arial"/>
      <family val="2"/>
    </font>
    <font>
      <sz val="14"/>
      <color rgb="FF333333"/>
      <name val="맑은 고딕"/>
      <family val="3"/>
      <charset val="129"/>
    </font>
    <font>
      <b/>
      <sz val="14"/>
      <color rgb="FF333333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79C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13" fillId="9" borderId="8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1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</cellStyleXfs>
  <cellXfs count="166">
    <xf numFmtId="0" fontId="0" fillId="0" borderId="0" xfId="0">
      <alignment vertical="center"/>
    </xf>
    <xf numFmtId="0" fontId="21" fillId="0" borderId="20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9" fontId="21" fillId="0" borderId="23" xfId="0" applyNumberFormat="1" applyFont="1" applyFill="1" applyBorder="1" applyAlignment="1">
      <alignment horizontal="center" vertical="center" wrapText="1"/>
    </xf>
    <xf numFmtId="9" fontId="21" fillId="0" borderId="4" xfId="0" applyNumberFormat="1" applyFont="1" applyFill="1" applyBorder="1" applyAlignment="1">
      <alignment horizontal="center" vertical="center" wrapText="1"/>
    </xf>
    <xf numFmtId="9" fontId="21" fillId="0" borderId="28" xfId="0" applyNumberFormat="1" applyFont="1" applyFill="1" applyBorder="1" applyAlignment="1">
      <alignment horizontal="center" vertical="center" wrapText="1"/>
    </xf>
    <xf numFmtId="9" fontId="21" fillId="0" borderId="34" xfId="0" applyNumberFormat="1" applyFont="1" applyFill="1" applyBorder="1" applyAlignment="1">
      <alignment horizontal="center" vertical="center" wrapText="1"/>
    </xf>
    <xf numFmtId="0" fontId="22" fillId="0" borderId="0" xfId="0" applyFont="1" applyFill="1">
      <alignment vertical="center"/>
    </xf>
    <xf numFmtId="0" fontId="25" fillId="37" borderId="1" xfId="0" applyFont="1" applyFill="1" applyBorder="1" applyAlignment="1">
      <alignment horizontal="center" vertical="center" wrapText="1" readingOrder="1"/>
    </xf>
    <xf numFmtId="10" fontId="25" fillId="0" borderId="1" xfId="0" applyNumberFormat="1" applyFont="1" applyBorder="1" applyAlignment="1">
      <alignment horizontal="center" vertical="center" wrapText="1" readingOrder="1"/>
    </xf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77" fontId="0" fillId="0" borderId="41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176" fontId="0" fillId="0" borderId="26" xfId="0" applyNumberForma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29" xfId="0" applyNumberFormat="1" applyBorder="1" applyAlignment="1">
      <alignment horizontal="center" vertical="center"/>
    </xf>
    <xf numFmtId="176" fontId="0" fillId="0" borderId="30" xfId="0" applyNumberFormat="1" applyBorder="1" applyAlignment="1">
      <alignment horizontal="center" vertical="center"/>
    </xf>
    <xf numFmtId="177" fontId="0" fillId="0" borderId="42" xfId="0" applyNumberFormat="1" applyBorder="1" applyAlignment="1">
      <alignment horizontal="center" vertical="center"/>
    </xf>
    <xf numFmtId="0" fontId="21" fillId="39" borderId="16" xfId="0" applyFont="1" applyFill="1" applyBorder="1" applyAlignment="1">
      <alignment horizontal="center" vertical="center" wrapText="1"/>
    </xf>
    <xf numFmtId="0" fontId="21" fillId="39" borderId="17" xfId="0" applyFont="1" applyFill="1" applyBorder="1" applyAlignment="1">
      <alignment horizontal="center" vertical="center" wrapText="1"/>
    </xf>
    <xf numFmtId="0" fontId="21" fillId="39" borderId="18" xfId="0" applyFont="1" applyFill="1" applyBorder="1" applyAlignment="1">
      <alignment horizontal="center" vertical="center" wrapText="1"/>
    </xf>
    <xf numFmtId="0" fontId="21" fillId="39" borderId="25" xfId="0" applyFont="1" applyFill="1" applyBorder="1" applyAlignment="1">
      <alignment horizontal="center" vertical="center" wrapText="1"/>
    </xf>
    <xf numFmtId="0" fontId="21" fillId="39" borderId="1" xfId="0" applyFont="1" applyFill="1" applyBorder="1" applyAlignment="1">
      <alignment horizontal="center" vertical="center" wrapText="1"/>
    </xf>
    <xf numFmtId="0" fontId="21" fillId="39" borderId="26" xfId="0" applyFont="1" applyFill="1" applyBorder="1" applyAlignment="1">
      <alignment horizontal="center" vertical="center" wrapText="1"/>
    </xf>
    <xf numFmtId="0" fontId="21" fillId="39" borderId="27" xfId="0" applyFont="1" applyFill="1" applyBorder="1" applyAlignment="1">
      <alignment horizontal="center" vertical="center" wrapText="1"/>
    </xf>
    <xf numFmtId="0" fontId="21" fillId="39" borderId="29" xfId="0" applyFont="1" applyFill="1" applyBorder="1" applyAlignment="1">
      <alignment horizontal="center" vertical="center" wrapText="1"/>
    </xf>
    <xf numFmtId="0" fontId="21" fillId="39" borderId="30" xfId="0" applyFont="1" applyFill="1" applyBorder="1" applyAlignment="1">
      <alignment horizontal="center" vertical="center" wrapText="1"/>
    </xf>
    <xf numFmtId="0" fontId="21" fillId="39" borderId="33" xfId="0" applyFont="1" applyFill="1" applyBorder="1" applyAlignment="1">
      <alignment horizontal="center" vertical="center" wrapText="1"/>
    </xf>
    <xf numFmtId="0" fontId="21" fillId="39" borderId="3" xfId="0" applyFont="1" applyFill="1" applyBorder="1" applyAlignment="1">
      <alignment horizontal="center" vertical="center" wrapText="1"/>
    </xf>
    <xf numFmtId="0" fontId="21" fillId="39" borderId="35" xfId="0" applyFont="1" applyFill="1" applyBorder="1" applyAlignment="1">
      <alignment horizontal="center" vertical="center" wrapText="1"/>
    </xf>
    <xf numFmtId="0" fontId="23" fillId="39" borderId="16" xfId="0" applyFont="1" applyFill="1" applyBorder="1" applyAlignment="1">
      <alignment horizontal="center" vertical="center" wrapText="1"/>
    </xf>
    <xf numFmtId="0" fontId="23" fillId="39" borderId="17" xfId="0" applyFont="1" applyFill="1" applyBorder="1" applyAlignment="1">
      <alignment horizontal="center" vertical="center" wrapText="1"/>
    </xf>
    <xf numFmtId="0" fontId="23" fillId="39" borderId="18" xfId="0" applyFont="1" applyFill="1" applyBorder="1" applyAlignment="1">
      <alignment horizontal="center" vertical="center" wrapText="1"/>
    </xf>
    <xf numFmtId="0" fontId="23" fillId="39" borderId="25" xfId="0" applyFont="1" applyFill="1" applyBorder="1" applyAlignment="1">
      <alignment horizontal="center" vertical="center" wrapText="1"/>
    </xf>
    <xf numFmtId="0" fontId="23" fillId="39" borderId="1" xfId="0" applyFont="1" applyFill="1" applyBorder="1" applyAlignment="1">
      <alignment horizontal="center" vertical="center" wrapText="1"/>
    </xf>
    <xf numFmtId="0" fontId="23" fillId="39" borderId="26" xfId="0" applyFont="1" applyFill="1" applyBorder="1" applyAlignment="1">
      <alignment horizontal="center" vertical="center" wrapText="1"/>
    </xf>
    <xf numFmtId="0" fontId="23" fillId="39" borderId="27" xfId="0" applyFont="1" applyFill="1" applyBorder="1" applyAlignment="1">
      <alignment horizontal="center" vertical="center" wrapText="1"/>
    </xf>
    <xf numFmtId="0" fontId="23" fillId="39" borderId="29" xfId="0" applyFont="1" applyFill="1" applyBorder="1" applyAlignment="1">
      <alignment horizontal="center" vertical="center" wrapText="1"/>
    </xf>
    <xf numFmtId="0" fontId="23" fillId="39" borderId="30" xfId="0" applyFont="1" applyFill="1" applyBorder="1" applyAlignment="1">
      <alignment horizontal="center" vertical="center" wrapText="1"/>
    </xf>
    <xf numFmtId="0" fontId="30" fillId="39" borderId="29" xfId="0" applyFont="1" applyFill="1" applyBorder="1" applyAlignment="1">
      <alignment horizontal="center" vertical="center" wrapText="1"/>
    </xf>
    <xf numFmtId="0" fontId="31" fillId="39" borderId="29" xfId="0" applyFont="1" applyFill="1" applyBorder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32" fillId="0" borderId="59" xfId="0" applyFont="1" applyBorder="1" applyAlignment="1">
      <alignment vertical="center" wrapText="1"/>
    </xf>
    <xf numFmtId="0" fontId="32" fillId="0" borderId="60" xfId="0" applyFont="1" applyBorder="1" applyAlignment="1">
      <alignment vertical="center" wrapText="1"/>
    </xf>
    <xf numFmtId="0" fontId="32" fillId="0" borderId="56" xfId="0" applyFont="1" applyBorder="1" applyAlignment="1">
      <alignment vertical="center" wrapText="1"/>
    </xf>
    <xf numFmtId="0" fontId="32" fillId="0" borderId="62" xfId="0" applyFont="1" applyBorder="1" applyAlignment="1">
      <alignment vertical="center" wrapText="1"/>
    </xf>
    <xf numFmtId="0" fontId="33" fillId="0" borderId="62" xfId="0" applyFont="1" applyBorder="1" applyAlignment="1">
      <alignment vertical="center" wrapText="1"/>
    </xf>
    <xf numFmtId="9" fontId="32" fillId="40" borderId="1" xfId="0" applyNumberFormat="1" applyFont="1" applyFill="1" applyBorder="1" applyAlignment="1">
      <alignment vertical="center" wrapText="1"/>
    </xf>
    <xf numFmtId="9" fontId="33" fillId="0" borderId="62" xfId="0" applyNumberFormat="1" applyFont="1" applyBorder="1" applyAlignment="1">
      <alignment vertical="center" wrapText="1"/>
    </xf>
    <xf numFmtId="9" fontId="32" fillId="41" borderId="1" xfId="0" applyNumberFormat="1" applyFont="1" applyFill="1" applyBorder="1" applyAlignment="1">
      <alignment vertical="center" wrapText="1"/>
    </xf>
    <xf numFmtId="0" fontId="32" fillId="0" borderId="19" xfId="0" applyFont="1" applyBorder="1" applyAlignment="1">
      <alignment vertical="center" wrapText="1"/>
    </xf>
    <xf numFmtId="0" fontId="32" fillId="0" borderId="36" xfId="0" applyFont="1" applyBorder="1" applyAlignment="1">
      <alignment vertical="center" wrapText="1"/>
    </xf>
    <xf numFmtId="9" fontId="32" fillId="3" borderId="1" xfId="0" applyNumberFormat="1" applyFont="1" applyFill="1" applyBorder="1" applyAlignment="1">
      <alignment vertical="center" wrapText="1"/>
    </xf>
    <xf numFmtId="176" fontId="8" fillId="5" borderId="1" xfId="6" applyNumberFormat="1" applyBorder="1" applyAlignment="1">
      <alignment horizontal="center" vertical="center"/>
    </xf>
    <xf numFmtId="176" fontId="8" fillId="5" borderId="17" xfId="6" applyNumberFormat="1" applyBorder="1" applyAlignment="1">
      <alignment horizontal="center" vertical="center"/>
    </xf>
    <xf numFmtId="176" fontId="8" fillId="5" borderId="25" xfId="6" applyNumberFormat="1" applyBorder="1" applyAlignment="1">
      <alignment horizontal="center" vertical="center"/>
    </xf>
    <xf numFmtId="0" fontId="35" fillId="39" borderId="29" xfId="0" applyFont="1" applyFill="1" applyBorder="1" applyAlignment="1">
      <alignment horizontal="center" vertical="center" wrapText="1"/>
    </xf>
    <xf numFmtId="0" fontId="36" fillId="39" borderId="29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vertical="center" wrapText="1"/>
    </xf>
    <xf numFmtId="0" fontId="33" fillId="0" borderId="57" xfId="0" applyFont="1" applyBorder="1" applyAlignment="1">
      <alignment vertical="center" wrapText="1"/>
    </xf>
    <xf numFmtId="0" fontId="33" fillId="0" borderId="56" xfId="0" applyFont="1" applyBorder="1" applyAlignment="1">
      <alignment vertical="center" wrapText="1"/>
    </xf>
    <xf numFmtId="0" fontId="33" fillId="0" borderId="64" xfId="0" applyFont="1" applyBorder="1" applyAlignment="1">
      <alignment vertical="center" wrapText="1"/>
    </xf>
    <xf numFmtId="0" fontId="33" fillId="0" borderId="65" xfId="0" applyFont="1" applyBorder="1" applyAlignment="1">
      <alignment vertical="center" wrapText="1"/>
    </xf>
    <xf numFmtId="0" fontId="33" fillId="0" borderId="61" xfId="0" applyFont="1" applyBorder="1" applyAlignment="1">
      <alignment vertical="center" wrapText="1"/>
    </xf>
    <xf numFmtId="0" fontId="34" fillId="0" borderId="53" xfId="0" applyFont="1" applyBorder="1" applyAlignment="1">
      <alignment vertical="center" wrapText="1"/>
    </xf>
    <xf numFmtId="0" fontId="34" fillId="0" borderId="54" xfId="0" applyFont="1" applyBorder="1" applyAlignment="1">
      <alignment vertical="center" wrapText="1"/>
    </xf>
    <xf numFmtId="0" fontId="34" fillId="0" borderId="55" xfId="0" applyFont="1" applyBorder="1" applyAlignment="1">
      <alignment vertical="center" wrapText="1"/>
    </xf>
    <xf numFmtId="0" fontId="32" fillId="0" borderId="63" xfId="0" applyFont="1" applyBorder="1" applyAlignment="1">
      <alignment vertical="center" wrapText="1"/>
    </xf>
    <xf numFmtId="0" fontId="32" fillId="0" borderId="56" xfId="0" applyFont="1" applyBorder="1" applyAlignment="1">
      <alignment vertical="center" wrapText="1"/>
    </xf>
    <xf numFmtId="0" fontId="32" fillId="0" borderId="64" xfId="0" applyFont="1" applyBorder="1" applyAlignment="1">
      <alignment vertical="center" wrapText="1"/>
    </xf>
    <xf numFmtId="0" fontId="32" fillId="0" borderId="58" xfId="0" applyFont="1" applyBorder="1" applyAlignment="1">
      <alignment vertical="center" wrapText="1"/>
    </xf>
    <xf numFmtId="0" fontId="34" fillId="0" borderId="66" xfId="0" applyFont="1" applyBorder="1" applyAlignment="1">
      <alignment vertical="center" wrapText="1"/>
    </xf>
    <xf numFmtId="0" fontId="34" fillId="0" borderId="67" xfId="0" applyFont="1" applyBorder="1" applyAlignment="1">
      <alignment vertical="center" wrapText="1"/>
    </xf>
    <xf numFmtId="0" fontId="34" fillId="0" borderId="68" xfId="0" applyFont="1" applyBorder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69" xfId="0" applyFont="1" applyBorder="1" applyAlignment="1">
      <alignment vertical="center" wrapText="1"/>
    </xf>
    <xf numFmtId="0" fontId="33" fillId="0" borderId="70" xfId="0" applyFont="1" applyBorder="1" applyAlignment="1">
      <alignment vertical="center" wrapText="1"/>
    </xf>
    <xf numFmtId="0" fontId="21" fillId="0" borderId="32" xfId="0" applyFont="1" applyFill="1" applyBorder="1" applyAlignment="1">
      <alignment horizontal="center" vertical="center" wrapText="1"/>
    </xf>
    <xf numFmtId="0" fontId="21" fillId="0" borderId="45" xfId="0" applyFont="1" applyFill="1" applyBorder="1" applyAlignment="1">
      <alignment horizontal="center" vertical="center" wrapText="1"/>
    </xf>
    <xf numFmtId="0" fontId="21" fillId="0" borderId="46" xfId="0" applyFont="1" applyFill="1" applyBorder="1" applyAlignment="1">
      <alignment horizontal="center" vertical="center" wrapText="1"/>
    </xf>
    <xf numFmtId="0" fontId="21" fillId="0" borderId="50" xfId="0" applyFont="1" applyFill="1" applyBorder="1" applyAlignment="1">
      <alignment horizontal="center" vertical="center" wrapText="1"/>
    </xf>
    <xf numFmtId="0" fontId="21" fillId="0" borderId="51" xfId="0" applyFont="1" applyFill="1" applyBorder="1" applyAlignment="1">
      <alignment horizontal="center" vertical="center" wrapText="1"/>
    </xf>
    <xf numFmtId="0" fontId="21" fillId="0" borderId="52" xfId="0" applyFont="1" applyFill="1" applyBorder="1" applyAlignment="1">
      <alignment horizontal="center" vertical="center" wrapText="1"/>
    </xf>
    <xf numFmtId="0" fontId="21" fillId="0" borderId="47" xfId="0" applyFont="1" applyFill="1" applyBorder="1" applyAlignment="1">
      <alignment horizontal="center" vertical="center" wrapText="1"/>
    </xf>
    <xf numFmtId="0" fontId="21" fillId="0" borderId="48" xfId="0" applyFont="1" applyFill="1" applyBorder="1" applyAlignment="1">
      <alignment horizontal="center" vertical="center" wrapText="1"/>
    </xf>
    <xf numFmtId="0" fontId="21" fillId="0" borderId="49" xfId="0" applyFont="1" applyFill="1" applyBorder="1" applyAlignment="1">
      <alignment horizontal="center" vertical="center" wrapText="1"/>
    </xf>
    <xf numFmtId="0" fontId="21" fillId="0" borderId="22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1" fillId="0" borderId="31" xfId="0" applyFont="1" applyFill="1" applyBorder="1" applyAlignment="1">
      <alignment horizontal="center" vertical="center" wrapText="1"/>
    </xf>
    <xf numFmtId="0" fontId="21" fillId="0" borderId="33" xfId="0" applyFont="1" applyFill="1" applyBorder="1" applyAlignment="1">
      <alignment horizontal="center" vertical="center" wrapText="1"/>
    </xf>
    <xf numFmtId="0" fontId="21" fillId="0" borderId="25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" fillId="36" borderId="14" xfId="0" applyFont="1" applyFill="1" applyBorder="1" applyAlignment="1">
      <alignment horizontal="center" vertical="center" wrapText="1"/>
    </xf>
    <xf numFmtId="0" fontId="3" fillId="36" borderId="15" xfId="0" applyFont="1" applyFill="1" applyBorder="1" applyAlignment="1">
      <alignment horizontal="center" vertical="center" wrapText="1"/>
    </xf>
    <xf numFmtId="0" fontId="3" fillId="36" borderId="19" xfId="0" applyFont="1" applyFill="1" applyBorder="1" applyAlignment="1">
      <alignment horizontal="center" vertical="center" wrapText="1"/>
    </xf>
    <xf numFmtId="0" fontId="3" fillId="36" borderId="0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39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0" fillId="2" borderId="36" xfId="0" applyFont="1" applyFill="1" applyBorder="1" applyAlignment="1">
      <alignment horizontal="center" vertical="center" wrapText="1"/>
    </xf>
    <xf numFmtId="0" fontId="20" fillId="2" borderId="40" xfId="0" applyFont="1" applyFill="1" applyBorder="1" applyAlignment="1">
      <alignment horizontal="center" vertical="center" wrapText="1"/>
    </xf>
    <xf numFmtId="0" fontId="24" fillId="37" borderId="2" xfId="0" applyFont="1" applyFill="1" applyBorder="1" applyAlignment="1">
      <alignment horizontal="center" vertical="center" wrapText="1" readingOrder="1"/>
    </xf>
    <xf numFmtId="0" fontId="24" fillId="37" borderId="72" xfId="0" applyFont="1" applyFill="1" applyBorder="1" applyAlignment="1">
      <alignment horizontal="center" vertical="center" wrapText="1" readingOrder="1"/>
    </xf>
    <xf numFmtId="0" fontId="24" fillId="37" borderId="3" xfId="0" applyFont="1" applyFill="1" applyBorder="1" applyAlignment="1">
      <alignment horizontal="center" vertical="center" wrapText="1" readingOrder="1"/>
    </xf>
    <xf numFmtId="0" fontId="24" fillId="4" borderId="71" xfId="0" applyFont="1" applyFill="1" applyBorder="1" applyAlignment="1">
      <alignment horizontal="center" vertical="center" wrapText="1" readingOrder="1"/>
    </xf>
    <xf numFmtId="0" fontId="24" fillId="4" borderId="37" xfId="0" applyFont="1" applyFill="1" applyBorder="1" applyAlignment="1">
      <alignment horizontal="center" vertical="center" wrapText="1" readingOrder="1"/>
    </xf>
    <xf numFmtId="0" fontId="24" fillId="4" borderId="73" xfId="0" applyFont="1" applyFill="1" applyBorder="1" applyAlignment="1">
      <alignment horizontal="center" vertical="center" wrapText="1" readingOrder="1"/>
    </xf>
    <xf numFmtId="0" fontId="24" fillId="4" borderId="38" xfId="0" applyFont="1" applyFill="1" applyBorder="1" applyAlignment="1">
      <alignment horizontal="center" vertical="center" wrapText="1" readingOrder="1"/>
    </xf>
    <xf numFmtId="0" fontId="24" fillId="3" borderId="71" xfId="0" applyFont="1" applyFill="1" applyBorder="1" applyAlignment="1">
      <alignment horizontal="center" vertical="center" wrapText="1" readingOrder="1"/>
    </xf>
    <xf numFmtId="0" fontId="24" fillId="3" borderId="37" xfId="0" applyFont="1" applyFill="1" applyBorder="1" applyAlignment="1">
      <alignment horizontal="center" vertical="center" wrapText="1" readingOrder="1"/>
    </xf>
    <xf numFmtId="0" fontId="24" fillId="3" borderId="73" xfId="0" applyFont="1" applyFill="1" applyBorder="1" applyAlignment="1">
      <alignment horizontal="center" vertical="center" wrapText="1" readingOrder="1"/>
    </xf>
    <xf numFmtId="0" fontId="24" fillId="3" borderId="38" xfId="0" applyFont="1" applyFill="1" applyBorder="1" applyAlignment="1">
      <alignment horizontal="center" vertical="center" wrapText="1" readingOrder="1"/>
    </xf>
    <xf numFmtId="0" fontId="24" fillId="4" borderId="74" xfId="0" applyFont="1" applyFill="1" applyBorder="1" applyAlignment="1">
      <alignment horizontal="center" vertical="center" wrapText="1" readingOrder="1"/>
    </xf>
    <xf numFmtId="0" fontId="24" fillId="43" borderId="74" xfId="0" applyFont="1" applyFill="1" applyBorder="1" applyAlignment="1">
      <alignment horizontal="center" vertical="center" wrapText="1" readingOrder="1"/>
    </xf>
    <xf numFmtId="0" fontId="24" fillId="43" borderId="71" xfId="0" applyFont="1" applyFill="1" applyBorder="1" applyAlignment="1">
      <alignment horizontal="center" vertical="center" wrapText="1" readingOrder="1"/>
    </xf>
    <xf numFmtId="0" fontId="24" fillId="42" borderId="74" xfId="0" applyFont="1" applyFill="1" applyBorder="1" applyAlignment="1">
      <alignment horizontal="center" vertical="center" wrapText="1" readingOrder="1"/>
    </xf>
    <xf numFmtId="0" fontId="24" fillId="42" borderId="71" xfId="0" applyFont="1" applyFill="1" applyBorder="1" applyAlignment="1">
      <alignment horizontal="center" vertical="center" wrapText="1" readingOrder="1"/>
    </xf>
    <xf numFmtId="0" fontId="24" fillId="3" borderId="74" xfId="0" applyFont="1" applyFill="1" applyBorder="1" applyAlignment="1">
      <alignment horizontal="center" vertical="center" wrapText="1" readingOrder="1"/>
    </xf>
    <xf numFmtId="0" fontId="24" fillId="3" borderId="1" xfId="0" applyFont="1" applyFill="1" applyBorder="1" applyAlignment="1">
      <alignment horizontal="center" vertical="center" wrapText="1" readingOrder="1"/>
    </xf>
    <xf numFmtId="0" fontId="24" fillId="4" borderId="34" xfId="0" applyFont="1" applyFill="1" applyBorder="1" applyAlignment="1">
      <alignment horizontal="center" vertical="center" wrapText="1" readingOrder="1"/>
    </xf>
    <xf numFmtId="0" fontId="24" fillId="43" borderId="34" xfId="0" applyFont="1" applyFill="1" applyBorder="1" applyAlignment="1">
      <alignment horizontal="center" vertical="center" wrapText="1" readingOrder="1"/>
    </xf>
    <xf numFmtId="0" fontId="24" fillId="43" borderId="73" xfId="0" applyFont="1" applyFill="1" applyBorder="1" applyAlignment="1">
      <alignment horizontal="center" vertical="center" wrapText="1" readingOrder="1"/>
    </xf>
    <xf numFmtId="0" fontId="24" fillId="42" borderId="34" xfId="0" applyFont="1" applyFill="1" applyBorder="1" applyAlignment="1">
      <alignment horizontal="center" vertical="center" wrapText="1" readingOrder="1"/>
    </xf>
    <xf numFmtId="0" fontId="24" fillId="42" borderId="73" xfId="0" applyFont="1" applyFill="1" applyBorder="1" applyAlignment="1">
      <alignment horizontal="center" vertical="center" wrapText="1" readingOrder="1"/>
    </xf>
    <xf numFmtId="0" fontId="24" fillId="3" borderId="34" xfId="0" applyFont="1" applyFill="1" applyBorder="1" applyAlignment="1">
      <alignment horizontal="center" vertical="center" wrapText="1" readingOrder="1"/>
    </xf>
    <xf numFmtId="0" fontId="25" fillId="4" borderId="1" xfId="0" applyFont="1" applyFill="1" applyBorder="1" applyAlignment="1">
      <alignment horizontal="center" vertical="center" wrapText="1"/>
    </xf>
    <xf numFmtId="0" fontId="25" fillId="43" borderId="1" xfId="0" applyFont="1" applyFill="1" applyBorder="1" applyAlignment="1">
      <alignment horizontal="center" vertical="center" wrapText="1"/>
    </xf>
    <xf numFmtId="0" fontId="25" fillId="36" borderId="1" xfId="0" applyFont="1" applyFill="1" applyBorder="1" applyAlignment="1">
      <alignment horizontal="center" vertical="center" wrapText="1"/>
    </xf>
    <xf numFmtId="0" fontId="25" fillId="38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 readingOrder="1"/>
    </xf>
    <xf numFmtId="0" fontId="3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 wrapText="1" readingOrder="1"/>
    </xf>
    <xf numFmtId="0" fontId="29" fillId="4" borderId="1" xfId="0" applyFont="1" applyFill="1" applyBorder="1" applyAlignment="1">
      <alignment horizontal="center" vertical="center" wrapText="1" readingOrder="1"/>
    </xf>
    <xf numFmtId="0" fontId="3" fillId="0" borderId="0" xfId="43" applyFont="1">
      <alignment vertical="center"/>
    </xf>
    <xf numFmtId="0" fontId="2" fillId="0" borderId="0" xfId="43">
      <alignment vertical="center"/>
    </xf>
    <xf numFmtId="0" fontId="24" fillId="37" borderId="1" xfId="0" applyFont="1" applyFill="1" applyBorder="1" applyAlignment="1">
      <alignment horizontal="center" vertical="center" wrapText="1" readingOrder="1"/>
    </xf>
    <xf numFmtId="0" fontId="24" fillId="4" borderId="1" xfId="0" applyFont="1" applyFill="1" applyBorder="1" applyAlignment="1">
      <alignment horizontal="center" vertical="center" wrapText="1" readingOrder="1"/>
    </xf>
    <xf numFmtId="0" fontId="24" fillId="43" borderId="1" xfId="0" applyFont="1" applyFill="1" applyBorder="1" applyAlignment="1">
      <alignment horizontal="center" vertical="center" wrapText="1" readingOrder="1"/>
    </xf>
    <xf numFmtId="0" fontId="24" fillId="42" borderId="1" xfId="0" applyFont="1" applyFill="1" applyBorder="1" applyAlignment="1">
      <alignment horizontal="center" vertical="center" wrapText="1" readingOrder="1"/>
    </xf>
    <xf numFmtId="0" fontId="24" fillId="4" borderId="4" xfId="0" applyFont="1" applyFill="1" applyBorder="1" applyAlignment="1">
      <alignment horizontal="center" vertical="center" wrapText="1" readingOrder="1"/>
    </xf>
    <xf numFmtId="0" fontId="27" fillId="39" borderId="1" xfId="0" applyFont="1" applyFill="1" applyBorder="1" applyAlignment="1">
      <alignment horizontal="left" vertical="center" wrapText="1"/>
    </xf>
    <xf numFmtId="0" fontId="0" fillId="0" borderId="75" xfId="0" applyBorder="1" applyAlignment="1">
      <alignment horizontal="center" vertical="center"/>
    </xf>
    <xf numFmtId="0" fontId="29" fillId="4" borderId="4" xfId="0" applyFont="1" applyFill="1" applyBorder="1" applyAlignment="1">
      <alignment horizontal="center" vertical="center" wrapText="1" readingOrder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제목 5" xfId="42" xr:uid="{00000000-0005-0000-0000-00002A000000}"/>
    <cellStyle name="표준 2" xfId="43" xr:uid="{A7B15CA6-713D-4365-BA5F-A8F9CB471B0D}"/>
  </cellStyles>
  <dxfs count="3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557890</xdr:colOff>
      <xdr:row>19</xdr:row>
      <xdr:rowOff>204105</xdr:rowOff>
    </xdr:from>
    <xdr:to>
      <xdr:col>43</xdr:col>
      <xdr:colOff>343603</xdr:colOff>
      <xdr:row>47</xdr:row>
      <xdr:rowOff>228357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66819" y="5333998"/>
          <a:ext cx="5228571" cy="1942857"/>
        </a:xfrm>
        <a:prstGeom prst="rect">
          <a:avLst/>
        </a:prstGeom>
      </xdr:spPr>
    </xdr:pic>
    <xdr:clientData/>
  </xdr:twoCellAnchor>
  <xdr:twoCellAnchor editAs="oneCell">
    <xdr:from>
      <xdr:col>38</xdr:col>
      <xdr:colOff>163284</xdr:colOff>
      <xdr:row>58</xdr:row>
      <xdr:rowOff>149679</xdr:rowOff>
    </xdr:from>
    <xdr:to>
      <xdr:col>45</xdr:col>
      <xdr:colOff>648403</xdr:colOff>
      <xdr:row>65</xdr:row>
      <xdr:rowOff>1119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70427" y="8232322"/>
          <a:ext cx="5247619" cy="1933333"/>
        </a:xfrm>
        <a:prstGeom prst="rect">
          <a:avLst/>
        </a:prstGeom>
      </xdr:spPr>
    </xdr:pic>
    <xdr:clientData/>
  </xdr:twoCellAnchor>
  <xdr:twoCellAnchor editAs="oneCell">
    <xdr:from>
      <xdr:col>37</xdr:col>
      <xdr:colOff>81643</xdr:colOff>
      <xdr:row>49</xdr:row>
      <xdr:rowOff>54427</xdr:rowOff>
    </xdr:from>
    <xdr:to>
      <xdr:col>44</xdr:col>
      <xdr:colOff>576286</xdr:colOff>
      <xdr:row>56</xdr:row>
      <xdr:rowOff>187534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08429" y="5919106"/>
          <a:ext cx="5257143" cy="19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5"/>
  <dimension ref="B1:AU80"/>
  <sheetViews>
    <sheetView topLeftCell="A13" zoomScale="70" zoomScaleNormal="70" workbookViewId="0">
      <selection activeCell="AZ9" sqref="AZ9"/>
    </sheetView>
  </sheetViews>
  <sheetFormatPr defaultRowHeight="17.399999999999999"/>
  <cols>
    <col min="2" max="9" width="0" hidden="1" customWidth="1"/>
    <col min="18" max="22" width="0" hidden="1" customWidth="1"/>
    <col min="31" max="35" width="0" hidden="1" customWidth="1"/>
  </cols>
  <sheetData>
    <row r="1" spans="2:47" ht="21.6" thickBot="1">
      <c r="K1" s="80" t="s">
        <v>35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</row>
    <row r="2" spans="2:47" ht="21.6" hidden="1" thickBot="1">
      <c r="B2" s="80" t="s">
        <v>35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</row>
    <row r="3" spans="2:47" ht="20.25" customHeight="1">
      <c r="B3" s="70" t="s">
        <v>36</v>
      </c>
      <c r="C3" s="71"/>
      <c r="D3" s="71"/>
      <c r="E3" s="71"/>
      <c r="F3" s="71"/>
      <c r="G3" s="71"/>
      <c r="H3" s="72"/>
      <c r="I3" s="47"/>
      <c r="J3" s="47"/>
      <c r="K3" s="77" t="s">
        <v>37</v>
      </c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47"/>
      <c r="X3" s="77" t="s">
        <v>38</v>
      </c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9"/>
    </row>
    <row r="4" spans="2:47" ht="20.25" customHeight="1" thickBot="1">
      <c r="B4" s="73"/>
      <c r="C4" s="75"/>
      <c r="D4" s="67" t="s">
        <v>39</v>
      </c>
      <c r="E4" s="67" t="s">
        <v>40</v>
      </c>
      <c r="F4" s="67" t="s">
        <v>41</v>
      </c>
      <c r="G4" s="67" t="s">
        <v>42</v>
      </c>
      <c r="H4" s="67" t="s">
        <v>43</v>
      </c>
      <c r="I4" s="47"/>
      <c r="J4" s="47"/>
      <c r="K4" s="56"/>
      <c r="L4" s="57"/>
      <c r="M4" s="81" t="s">
        <v>44</v>
      </c>
      <c r="N4" s="81"/>
      <c r="O4" s="81"/>
      <c r="P4" s="81"/>
      <c r="Q4" s="81"/>
      <c r="R4" s="81" t="s">
        <v>45</v>
      </c>
      <c r="S4" s="81"/>
      <c r="T4" s="81"/>
      <c r="U4" s="81"/>
      <c r="V4" s="82"/>
      <c r="W4" s="47"/>
      <c r="X4" s="56"/>
      <c r="Y4" s="57"/>
      <c r="Z4" s="81" t="s">
        <v>44</v>
      </c>
      <c r="AA4" s="81"/>
      <c r="AB4" s="81"/>
      <c r="AC4" s="81"/>
      <c r="AD4" s="81"/>
      <c r="AE4" s="81" t="s">
        <v>45</v>
      </c>
      <c r="AF4" s="81"/>
      <c r="AG4" s="81"/>
      <c r="AH4" s="81"/>
      <c r="AI4" s="82"/>
    </row>
    <row r="5" spans="2:47" ht="42">
      <c r="B5" s="74"/>
      <c r="C5" s="76"/>
      <c r="D5" s="68"/>
      <c r="E5" s="68"/>
      <c r="F5" s="68"/>
      <c r="G5" s="68"/>
      <c r="H5" s="68"/>
      <c r="I5" s="47"/>
      <c r="J5" s="47"/>
      <c r="K5" s="50"/>
      <c r="L5" s="51"/>
      <c r="M5" s="52" t="s">
        <v>39</v>
      </c>
      <c r="N5" s="52" t="s">
        <v>40</v>
      </c>
      <c r="O5" s="52" t="s">
        <v>41</v>
      </c>
      <c r="P5" s="52" t="s">
        <v>42</v>
      </c>
      <c r="Q5" s="52" t="s">
        <v>43</v>
      </c>
      <c r="R5" s="52" t="s">
        <v>39</v>
      </c>
      <c r="S5" s="52" t="s">
        <v>40</v>
      </c>
      <c r="T5" s="52" t="s">
        <v>41</v>
      </c>
      <c r="U5" s="52" t="s">
        <v>42</v>
      </c>
      <c r="V5" s="52" t="s">
        <v>43</v>
      </c>
      <c r="W5" s="47"/>
      <c r="X5" s="50"/>
      <c r="Y5" s="51"/>
      <c r="Z5" s="52" t="s">
        <v>39</v>
      </c>
      <c r="AA5" s="52" t="s">
        <v>40</v>
      </c>
      <c r="AB5" s="52" t="s">
        <v>41</v>
      </c>
      <c r="AC5" s="52" t="s">
        <v>42</v>
      </c>
      <c r="AD5" s="52" t="s">
        <v>43</v>
      </c>
      <c r="AE5" s="52" t="s">
        <v>39</v>
      </c>
      <c r="AF5" s="52" t="s">
        <v>40</v>
      </c>
      <c r="AG5" s="52" t="s">
        <v>41</v>
      </c>
      <c r="AH5" s="52" t="s">
        <v>42</v>
      </c>
      <c r="AI5" s="52" t="s">
        <v>43</v>
      </c>
    </row>
    <row r="6" spans="2:47" ht="21">
      <c r="B6" s="64" t="s">
        <v>46</v>
      </c>
      <c r="C6" s="52" t="s">
        <v>0</v>
      </c>
      <c r="D6" s="53">
        <v>0.21</v>
      </c>
      <c r="E6" s="53">
        <v>0.2</v>
      </c>
      <c r="F6" s="53">
        <v>0.2</v>
      </c>
      <c r="G6" s="53">
        <v>0.21</v>
      </c>
      <c r="H6" s="53">
        <v>0.22</v>
      </c>
      <c r="I6" s="47"/>
      <c r="J6" s="47"/>
      <c r="K6" s="64" t="s">
        <v>46</v>
      </c>
      <c r="L6" s="52" t="s">
        <v>0</v>
      </c>
      <c r="M6" s="53">
        <v>0.24</v>
      </c>
      <c r="N6" s="53">
        <v>0.17</v>
      </c>
      <c r="O6" s="53">
        <v>0.17</v>
      </c>
      <c r="P6" s="53">
        <v>0.19</v>
      </c>
      <c r="Q6" s="53">
        <v>0.18</v>
      </c>
      <c r="R6" s="52" t="e">
        <v>#DIV/0!</v>
      </c>
      <c r="S6" s="52" t="e">
        <v>#DIV/0!</v>
      </c>
      <c r="T6" s="52" t="e">
        <v>#DIV/0!</v>
      </c>
      <c r="U6" s="52" t="e">
        <v>#DIV/0!</v>
      </c>
      <c r="V6" s="52" t="e">
        <v>#DIV/0!</v>
      </c>
      <c r="W6" s="47"/>
      <c r="X6" s="64" t="s">
        <v>46</v>
      </c>
      <c r="Y6" s="52" t="s">
        <v>0</v>
      </c>
      <c r="Z6" s="53">
        <v>0.25</v>
      </c>
      <c r="AA6" s="53">
        <v>0.23</v>
      </c>
      <c r="AB6" s="53">
        <v>0.19</v>
      </c>
      <c r="AC6" s="53">
        <v>0.19</v>
      </c>
      <c r="AD6" s="53">
        <v>0.18</v>
      </c>
      <c r="AE6" s="52" t="e">
        <v>#DIV/0!</v>
      </c>
      <c r="AF6" s="52" t="e">
        <v>#DIV/0!</v>
      </c>
      <c r="AG6" s="52" t="e">
        <v>#DIV/0!</v>
      </c>
      <c r="AH6" s="52" t="e">
        <v>#DIV/0!</v>
      </c>
      <c r="AI6" s="52" t="e">
        <v>#DIV/0!</v>
      </c>
    </row>
    <row r="7" spans="2:47" ht="21">
      <c r="B7" s="65"/>
      <c r="C7" s="52" t="s">
        <v>1</v>
      </c>
      <c r="D7" s="53">
        <v>0.2</v>
      </c>
      <c r="E7" s="53">
        <v>0.2</v>
      </c>
      <c r="F7" s="53">
        <v>0.21</v>
      </c>
      <c r="G7" s="53">
        <v>0.22</v>
      </c>
      <c r="H7" s="53">
        <v>0.23</v>
      </c>
      <c r="I7" s="47"/>
      <c r="J7" s="47"/>
      <c r="K7" s="65"/>
      <c r="L7" s="52" t="s">
        <v>1</v>
      </c>
      <c r="M7" s="53">
        <v>0.17</v>
      </c>
      <c r="N7" s="53">
        <v>0.18</v>
      </c>
      <c r="O7" s="53">
        <v>0.19</v>
      </c>
      <c r="P7" s="53">
        <v>0.18</v>
      </c>
      <c r="Q7" s="53">
        <v>0.17</v>
      </c>
      <c r="R7" s="52" t="e">
        <v>#DIV/0!</v>
      </c>
      <c r="S7" s="52" t="e">
        <v>#DIV/0!</v>
      </c>
      <c r="T7" s="52" t="e">
        <v>#DIV/0!</v>
      </c>
      <c r="U7" s="52" t="e">
        <v>#DIV/0!</v>
      </c>
      <c r="V7" s="52" t="e">
        <v>#DIV/0!</v>
      </c>
      <c r="W7" s="47"/>
      <c r="X7" s="65"/>
      <c r="Y7" s="52" t="s">
        <v>1</v>
      </c>
      <c r="Z7" s="53">
        <v>0.23</v>
      </c>
      <c r="AA7" s="53">
        <v>0.19</v>
      </c>
      <c r="AB7" s="53">
        <v>0.2</v>
      </c>
      <c r="AC7" s="53">
        <v>0.18</v>
      </c>
      <c r="AD7" s="53">
        <v>0.16</v>
      </c>
      <c r="AE7" s="52" t="e">
        <v>#DIV/0!</v>
      </c>
      <c r="AF7" s="52" t="e">
        <v>#DIV/0!</v>
      </c>
      <c r="AG7" s="52" t="e">
        <v>#DIV/0!</v>
      </c>
      <c r="AH7" s="52" t="e">
        <v>#DIV/0!</v>
      </c>
      <c r="AI7" s="52" t="e">
        <v>#DIV/0!</v>
      </c>
    </row>
    <row r="8" spans="2:47" ht="21">
      <c r="B8" s="65"/>
      <c r="C8" s="52" t="s">
        <v>2</v>
      </c>
      <c r="D8" s="53">
        <v>0.23</v>
      </c>
      <c r="E8" s="53">
        <v>0.21</v>
      </c>
      <c r="F8" s="53">
        <v>0.22</v>
      </c>
      <c r="G8" s="53">
        <v>0.22</v>
      </c>
      <c r="H8" s="53">
        <v>0.23</v>
      </c>
      <c r="I8" s="47"/>
      <c r="J8" s="47"/>
      <c r="K8" s="65"/>
      <c r="L8" s="52" t="s">
        <v>2</v>
      </c>
      <c r="M8" s="53">
        <v>0.19</v>
      </c>
      <c r="N8" s="53">
        <v>0.19</v>
      </c>
      <c r="O8" s="53">
        <v>0.18</v>
      </c>
      <c r="P8" s="53">
        <v>0.17</v>
      </c>
      <c r="Q8" s="53">
        <v>0.14000000000000001</v>
      </c>
      <c r="R8" s="52" t="e">
        <v>#DIV/0!</v>
      </c>
      <c r="S8" s="52" t="e">
        <v>#DIV/0!</v>
      </c>
      <c r="T8" s="52" t="e">
        <v>#DIV/0!</v>
      </c>
      <c r="U8" s="52" t="e">
        <v>#DIV/0!</v>
      </c>
      <c r="V8" s="52" t="e">
        <v>#DIV/0!</v>
      </c>
      <c r="W8" s="47"/>
      <c r="X8" s="65"/>
      <c r="Y8" s="52" t="s">
        <v>2</v>
      </c>
      <c r="Z8" s="53">
        <v>0.19</v>
      </c>
      <c r="AA8" s="53">
        <v>0.19</v>
      </c>
      <c r="AB8" s="53">
        <v>0.18</v>
      </c>
      <c r="AC8" s="53">
        <v>0.15</v>
      </c>
      <c r="AD8" s="53">
        <v>0.13</v>
      </c>
      <c r="AE8" s="52" t="e">
        <v>#DIV/0!</v>
      </c>
      <c r="AF8" s="52" t="e">
        <v>#DIV/0!</v>
      </c>
      <c r="AG8" s="52" t="e">
        <v>#DIV/0!</v>
      </c>
      <c r="AH8" s="52" t="e">
        <v>#DIV/0!</v>
      </c>
      <c r="AI8" s="52" t="e">
        <v>#DIV/0!</v>
      </c>
    </row>
    <row r="9" spans="2:47" ht="21">
      <c r="B9" s="65"/>
      <c r="C9" s="52" t="s">
        <v>3</v>
      </c>
      <c r="D9" s="53">
        <v>0.22</v>
      </c>
      <c r="E9" s="53">
        <v>0.23</v>
      </c>
      <c r="F9" s="53">
        <v>0.23</v>
      </c>
      <c r="G9" s="53">
        <v>0.23</v>
      </c>
      <c r="H9" s="53">
        <v>0.24</v>
      </c>
      <c r="I9" s="47"/>
      <c r="J9" s="47"/>
      <c r="K9" s="65"/>
      <c r="L9" s="52" t="s">
        <v>3</v>
      </c>
      <c r="M9" s="53">
        <v>0.19</v>
      </c>
      <c r="N9" s="53">
        <v>0.19</v>
      </c>
      <c r="O9" s="53">
        <v>0.17</v>
      </c>
      <c r="P9" s="53">
        <v>0.14000000000000001</v>
      </c>
      <c r="Q9" s="53">
        <v>0.1</v>
      </c>
      <c r="R9" s="52" t="e">
        <v>#DIV/0!</v>
      </c>
      <c r="S9" s="52" t="e">
        <v>#DIV/0!</v>
      </c>
      <c r="T9" s="52" t="e">
        <v>#DIV/0!</v>
      </c>
      <c r="U9" s="52" t="e">
        <v>#DIV/0!</v>
      </c>
      <c r="V9" s="52" t="e">
        <v>#DIV/0!</v>
      </c>
      <c r="W9" s="47"/>
      <c r="X9" s="65"/>
      <c r="Y9" s="52" t="s">
        <v>3</v>
      </c>
      <c r="Z9" s="53">
        <v>0.2</v>
      </c>
      <c r="AA9" s="53">
        <v>0.18</v>
      </c>
      <c r="AB9" s="53">
        <v>0.16</v>
      </c>
      <c r="AC9" s="53">
        <v>0.13</v>
      </c>
      <c r="AD9" s="54">
        <v>0.08</v>
      </c>
      <c r="AE9" s="52" t="e">
        <v>#DIV/0!</v>
      </c>
      <c r="AF9" s="52" t="e">
        <v>#DIV/0!</v>
      </c>
      <c r="AG9" s="52" t="e">
        <v>#DIV/0!</v>
      </c>
      <c r="AH9" s="52" t="e">
        <v>#DIV/0!</v>
      </c>
      <c r="AI9" s="52" t="e">
        <v>#DIV/0!</v>
      </c>
    </row>
    <row r="10" spans="2:47" ht="21">
      <c r="B10" s="65"/>
      <c r="C10" s="52" t="s">
        <v>4</v>
      </c>
      <c r="D10" s="53">
        <v>0.22</v>
      </c>
      <c r="E10" s="53">
        <v>0.23</v>
      </c>
      <c r="F10" s="53">
        <v>0.24</v>
      </c>
      <c r="G10" s="53">
        <v>0.24</v>
      </c>
      <c r="H10" s="53">
        <v>0.32</v>
      </c>
      <c r="I10" s="47"/>
      <c r="J10" s="47"/>
      <c r="K10" s="65"/>
      <c r="L10" s="52" t="s">
        <v>4</v>
      </c>
      <c r="M10" s="53">
        <v>0.19</v>
      </c>
      <c r="N10" s="53">
        <v>0.17</v>
      </c>
      <c r="O10" s="53">
        <v>0.15</v>
      </c>
      <c r="P10" s="54">
        <v>0.09</v>
      </c>
      <c r="Q10" s="58">
        <v>-0.28000000000000003</v>
      </c>
      <c r="R10" s="52" t="e">
        <v>#DIV/0!</v>
      </c>
      <c r="S10" s="52" t="e">
        <v>#DIV/0!</v>
      </c>
      <c r="T10" s="52" t="e">
        <v>#DIV/0!</v>
      </c>
      <c r="U10" s="52" t="e">
        <v>#DIV/0!</v>
      </c>
      <c r="V10" s="52" t="e">
        <v>#DIV/0!</v>
      </c>
      <c r="W10" s="47"/>
      <c r="X10" s="65"/>
      <c r="Y10" s="52" t="s">
        <v>4</v>
      </c>
      <c r="Z10" s="53">
        <v>0.18</v>
      </c>
      <c r="AA10" s="53">
        <v>0.15</v>
      </c>
      <c r="AB10" s="53">
        <v>0.13</v>
      </c>
      <c r="AC10" s="54">
        <v>7.0000000000000007E-2</v>
      </c>
      <c r="AD10" s="58">
        <v>-0.44</v>
      </c>
      <c r="AE10" s="52" t="e">
        <v>#DIV/0!</v>
      </c>
      <c r="AF10" s="52" t="e">
        <v>#DIV/0!</v>
      </c>
      <c r="AG10" s="52" t="e">
        <v>#DIV/0!</v>
      </c>
      <c r="AH10" s="52" t="e">
        <v>#DIV/0!</v>
      </c>
      <c r="AI10" s="52" t="e">
        <v>#DIV/0!</v>
      </c>
    </row>
    <row r="11" spans="2:47" ht="21">
      <c r="B11" s="65"/>
      <c r="C11" s="52" t="s">
        <v>47</v>
      </c>
      <c r="D11" s="53">
        <v>0.22</v>
      </c>
      <c r="E11" s="53">
        <v>0.23</v>
      </c>
      <c r="F11" s="53">
        <v>0.23</v>
      </c>
      <c r="G11" s="53">
        <v>0.32</v>
      </c>
      <c r="H11" s="53">
        <v>0.32</v>
      </c>
      <c r="I11" s="47"/>
      <c r="J11" s="47"/>
      <c r="K11" s="65"/>
      <c r="L11" s="52" t="s">
        <v>47</v>
      </c>
      <c r="M11" s="53">
        <v>0.18</v>
      </c>
      <c r="N11" s="53">
        <v>0.15</v>
      </c>
      <c r="O11" s="54">
        <v>0.09</v>
      </c>
      <c r="P11" s="58">
        <v>-0.28000000000000003</v>
      </c>
      <c r="Q11" s="58">
        <v>-0.11</v>
      </c>
      <c r="R11" s="52" t="e">
        <v>#DIV/0!</v>
      </c>
      <c r="S11" s="52" t="e">
        <v>#DIV/0!</v>
      </c>
      <c r="T11" s="52" t="e">
        <v>#DIV/0!</v>
      </c>
      <c r="U11" s="52" t="e">
        <v>#DIV/0!</v>
      </c>
      <c r="V11" s="52" t="e">
        <v>#DIV/0!</v>
      </c>
      <c r="W11" s="47"/>
      <c r="X11" s="65"/>
      <c r="Y11" s="52" t="s">
        <v>47</v>
      </c>
      <c r="Z11" s="53">
        <v>0.16</v>
      </c>
      <c r="AA11" s="53">
        <v>0.13</v>
      </c>
      <c r="AB11" s="54">
        <v>7.0000000000000007E-2</v>
      </c>
      <c r="AC11" s="58">
        <v>-0.46</v>
      </c>
      <c r="AD11" s="58">
        <v>-0.28000000000000003</v>
      </c>
      <c r="AE11" s="52" t="e">
        <v>#DIV/0!</v>
      </c>
      <c r="AF11" s="52" t="e">
        <v>#DIV/0!</v>
      </c>
      <c r="AG11" s="52" t="e">
        <v>#DIV/0!</v>
      </c>
      <c r="AH11" s="52" t="e">
        <v>#DIV/0!</v>
      </c>
      <c r="AI11" s="52" t="e">
        <v>#DIV/0!</v>
      </c>
    </row>
    <row r="12" spans="2:47" ht="21">
      <c r="B12" s="65"/>
      <c r="C12" s="52" t="s">
        <v>48</v>
      </c>
      <c r="D12" s="54">
        <v>7.0000000000000007E-2</v>
      </c>
      <c r="E12" s="53">
        <v>0.24</v>
      </c>
      <c r="F12" s="53">
        <v>0.32</v>
      </c>
      <c r="G12" s="53">
        <v>0.32</v>
      </c>
      <c r="H12" s="53">
        <v>0.32</v>
      </c>
      <c r="I12" s="47"/>
      <c r="J12" s="47"/>
      <c r="K12" s="65"/>
      <c r="L12" s="52" t="s">
        <v>48</v>
      </c>
      <c r="M12" s="53">
        <v>0.27</v>
      </c>
      <c r="N12" s="54">
        <v>0.1</v>
      </c>
      <c r="O12" s="58">
        <v>-0.3</v>
      </c>
      <c r="P12" s="58">
        <v>-0.12</v>
      </c>
      <c r="Q12" s="54">
        <v>0.03</v>
      </c>
      <c r="R12" s="52" t="e">
        <v>#DIV/0!</v>
      </c>
      <c r="S12" s="52" t="e">
        <v>#DIV/0!</v>
      </c>
      <c r="T12" s="52" t="e">
        <v>#DIV/0!</v>
      </c>
      <c r="U12" s="52" t="e">
        <v>#DIV/0!</v>
      </c>
      <c r="V12" s="52" t="e">
        <v>#DIV/0!</v>
      </c>
      <c r="W12" s="47"/>
      <c r="X12" s="65"/>
      <c r="Y12" s="52" t="s">
        <v>48</v>
      </c>
      <c r="Z12" s="53">
        <v>0.28000000000000003</v>
      </c>
      <c r="AA12" s="54">
        <v>7.0000000000000007E-2</v>
      </c>
      <c r="AB12" s="58">
        <v>-0.44</v>
      </c>
      <c r="AC12" s="58">
        <v>-0.27</v>
      </c>
      <c r="AD12" s="54">
        <v>-0.08</v>
      </c>
      <c r="AE12" s="52" t="e">
        <v>#DIV/0!</v>
      </c>
      <c r="AF12" s="52" t="e">
        <v>#DIV/0!</v>
      </c>
      <c r="AG12" s="52" t="e">
        <v>#DIV/0!</v>
      </c>
      <c r="AH12" s="52" t="e">
        <v>#DIV/0!</v>
      </c>
      <c r="AI12" s="52" t="e">
        <v>#DIV/0!</v>
      </c>
    </row>
    <row r="13" spans="2:47" ht="21">
      <c r="B13" s="65"/>
      <c r="C13" s="52" t="s">
        <v>49</v>
      </c>
      <c r="D13" s="54">
        <v>0.03</v>
      </c>
      <c r="E13" s="53">
        <v>0.32</v>
      </c>
      <c r="F13" s="53">
        <v>0.32</v>
      </c>
      <c r="G13" s="53">
        <v>0.32</v>
      </c>
      <c r="H13" s="53">
        <v>0.32</v>
      </c>
      <c r="I13" s="47"/>
      <c r="J13" s="47"/>
      <c r="K13" s="65"/>
      <c r="L13" s="52" t="s">
        <v>49</v>
      </c>
      <c r="M13" s="53">
        <v>0.24</v>
      </c>
      <c r="N13" s="58">
        <v>-0.3</v>
      </c>
      <c r="O13" s="58">
        <v>-0.12</v>
      </c>
      <c r="P13" s="54">
        <v>0.02</v>
      </c>
      <c r="Q13" s="53">
        <v>0.15</v>
      </c>
      <c r="R13" s="52" t="e">
        <v>#DIV/0!</v>
      </c>
      <c r="S13" s="52" t="e">
        <v>#DIV/0!</v>
      </c>
      <c r="T13" s="52" t="e">
        <v>#DIV/0!</v>
      </c>
      <c r="U13" s="52" t="e">
        <v>#DIV/0!</v>
      </c>
      <c r="V13" s="52" t="e">
        <v>#DIV/0!</v>
      </c>
      <c r="W13" s="47"/>
      <c r="X13" s="65"/>
      <c r="Y13" s="52" t="s">
        <v>49</v>
      </c>
      <c r="Z13" s="53">
        <v>0.3</v>
      </c>
      <c r="AA13" s="58">
        <v>-0.47</v>
      </c>
      <c r="AB13" s="58">
        <v>-0.28999999999999998</v>
      </c>
      <c r="AC13" s="55">
        <v>-0.11</v>
      </c>
      <c r="AD13" s="53">
        <v>0.12</v>
      </c>
      <c r="AE13" s="52" t="e">
        <v>#DIV/0!</v>
      </c>
      <c r="AF13" s="52" t="e">
        <v>#DIV/0!</v>
      </c>
      <c r="AG13" s="52" t="e">
        <v>#DIV/0!</v>
      </c>
      <c r="AH13" s="52" t="e">
        <v>#DIV/0!</v>
      </c>
      <c r="AI13" s="52" t="e">
        <v>#DIV/0!</v>
      </c>
    </row>
    <row r="14" spans="2:47" ht="21">
      <c r="B14" s="66"/>
      <c r="C14" s="52" t="s">
        <v>50</v>
      </c>
      <c r="D14" s="54">
        <v>0.04</v>
      </c>
      <c r="E14" s="53">
        <v>0.32</v>
      </c>
      <c r="F14" s="53">
        <v>0.32</v>
      </c>
      <c r="G14" s="53">
        <v>0.32</v>
      </c>
      <c r="H14" s="53">
        <v>0.32</v>
      </c>
      <c r="I14" s="47"/>
      <c r="J14" s="47"/>
      <c r="K14" s="66"/>
      <c r="L14" s="52" t="s">
        <v>50</v>
      </c>
      <c r="M14" s="53">
        <v>0.17</v>
      </c>
      <c r="N14" s="54">
        <v>-0.1</v>
      </c>
      <c r="O14" s="54">
        <v>0.04</v>
      </c>
      <c r="P14" s="53">
        <v>0.11</v>
      </c>
      <c r="Q14" s="53">
        <v>0.2</v>
      </c>
      <c r="R14" s="52" t="e">
        <v>#DIV/0!</v>
      </c>
      <c r="S14" s="52" t="e">
        <v>#DIV/0!</v>
      </c>
      <c r="T14" s="52" t="e">
        <v>#DIV/0!</v>
      </c>
      <c r="U14" s="52" t="e">
        <v>#DIV/0!</v>
      </c>
      <c r="V14" s="52" t="e">
        <v>#DIV/0!</v>
      </c>
      <c r="W14" s="47"/>
      <c r="X14" s="66"/>
      <c r="Y14" s="52" t="s">
        <v>50</v>
      </c>
      <c r="Z14" s="53">
        <v>0.24</v>
      </c>
      <c r="AA14" s="58">
        <v>-0.25</v>
      </c>
      <c r="AB14" s="54">
        <v>-0.08</v>
      </c>
      <c r="AC14" s="54">
        <v>0.05</v>
      </c>
      <c r="AD14" s="53">
        <v>0.25</v>
      </c>
      <c r="AE14" s="52" t="e">
        <v>#DIV/0!</v>
      </c>
      <c r="AF14" s="52" t="e">
        <v>#DIV/0!</v>
      </c>
      <c r="AG14" s="52" t="e">
        <v>#DIV/0!</v>
      </c>
      <c r="AH14" s="52" t="e">
        <v>#DIV/0!</v>
      </c>
      <c r="AI14" s="52" t="e">
        <v>#DIV/0!</v>
      </c>
    </row>
    <row r="15" spans="2:47" ht="21" hidden="1">
      <c r="B15" s="64" t="s">
        <v>51</v>
      </c>
      <c r="C15" s="52" t="s">
        <v>0</v>
      </c>
      <c r="D15" s="53">
        <v>0.19</v>
      </c>
      <c r="E15" s="53">
        <v>0.19</v>
      </c>
      <c r="F15" s="53">
        <v>0.26</v>
      </c>
      <c r="G15" s="53">
        <v>0.25</v>
      </c>
      <c r="H15" s="53">
        <v>0.21</v>
      </c>
      <c r="I15" s="47"/>
      <c r="J15" s="47"/>
      <c r="K15" s="64" t="s">
        <v>51</v>
      </c>
      <c r="L15" s="52" t="s">
        <v>0</v>
      </c>
      <c r="M15" s="53">
        <v>0.61</v>
      </c>
      <c r="N15" s="53">
        <v>0.48</v>
      </c>
      <c r="O15" s="53">
        <v>0.43</v>
      </c>
      <c r="P15" s="53">
        <v>0.38</v>
      </c>
      <c r="Q15" s="53">
        <v>0.36</v>
      </c>
      <c r="R15" s="53">
        <v>0.28999999999999998</v>
      </c>
      <c r="S15" s="53">
        <v>0.28999999999999998</v>
      </c>
      <c r="T15" s="54">
        <v>0</v>
      </c>
      <c r="U15" s="54">
        <v>0</v>
      </c>
      <c r="V15" s="54">
        <v>0</v>
      </c>
      <c r="W15" s="47"/>
      <c r="X15" s="64" t="s">
        <v>51</v>
      </c>
      <c r="Y15" s="52" t="s">
        <v>0</v>
      </c>
      <c r="Z15" s="53">
        <v>0.42</v>
      </c>
      <c r="AA15" s="53">
        <v>0.39</v>
      </c>
      <c r="AB15" s="53">
        <v>0.35</v>
      </c>
      <c r="AC15" s="54">
        <v>0.04</v>
      </c>
      <c r="AD15" s="53">
        <v>0.19</v>
      </c>
      <c r="AE15" s="54">
        <v>0.05</v>
      </c>
      <c r="AF15" s="54">
        <v>0.08</v>
      </c>
      <c r="AG15" s="54">
        <v>-7.0000000000000007E-2</v>
      </c>
      <c r="AH15" s="55">
        <v>-0.18</v>
      </c>
      <c r="AI15" s="54">
        <v>0</v>
      </c>
    </row>
    <row r="16" spans="2:47" ht="21" hidden="1">
      <c r="B16" s="65"/>
      <c r="C16" s="52" t="s">
        <v>1</v>
      </c>
      <c r="D16" s="53">
        <v>0.2</v>
      </c>
      <c r="E16" s="53">
        <v>0.27</v>
      </c>
      <c r="F16" s="53">
        <v>0.25</v>
      </c>
      <c r="G16" s="53">
        <v>0.22</v>
      </c>
      <c r="H16" s="53">
        <v>0.19</v>
      </c>
      <c r="I16" s="47"/>
      <c r="J16" s="47"/>
      <c r="K16" s="65"/>
      <c r="L16" s="52" t="s">
        <v>1</v>
      </c>
      <c r="M16" s="53">
        <v>0.49</v>
      </c>
      <c r="N16" s="53">
        <v>0.42</v>
      </c>
      <c r="O16" s="53">
        <v>0.38</v>
      </c>
      <c r="P16" s="53">
        <v>0.37</v>
      </c>
      <c r="Q16" s="53">
        <v>0.3</v>
      </c>
      <c r="R16" s="53">
        <v>0.24</v>
      </c>
      <c r="S16" s="54">
        <v>0</v>
      </c>
      <c r="T16" s="54">
        <v>-0.08</v>
      </c>
      <c r="U16" s="54">
        <v>0</v>
      </c>
      <c r="V16" s="53">
        <v>0.95</v>
      </c>
      <c r="W16" s="47"/>
      <c r="X16" s="65"/>
      <c r="Y16" s="52" t="s">
        <v>1</v>
      </c>
      <c r="Z16" s="53">
        <v>0.39</v>
      </c>
      <c r="AA16" s="53">
        <v>0.33</v>
      </c>
      <c r="AB16" s="54">
        <v>0.04</v>
      </c>
      <c r="AC16" s="53">
        <v>0.22</v>
      </c>
      <c r="AD16" s="53">
        <v>0.42</v>
      </c>
      <c r="AE16" s="54">
        <v>0.09</v>
      </c>
      <c r="AF16" s="54">
        <v>-0.05</v>
      </c>
      <c r="AG16" s="54">
        <v>0.06</v>
      </c>
      <c r="AH16" s="54">
        <v>0</v>
      </c>
      <c r="AI16" s="53">
        <v>0.84</v>
      </c>
    </row>
    <row r="17" spans="2:35" ht="21" hidden="1">
      <c r="B17" s="65"/>
      <c r="C17" s="52" t="s">
        <v>2</v>
      </c>
      <c r="D17" s="53">
        <v>0.27</v>
      </c>
      <c r="E17" s="53">
        <v>0.28999999999999998</v>
      </c>
      <c r="F17" s="53">
        <v>0.19</v>
      </c>
      <c r="G17" s="53">
        <v>0.18</v>
      </c>
      <c r="H17" s="53">
        <v>0.18</v>
      </c>
      <c r="I17" s="47"/>
      <c r="J17" s="47"/>
      <c r="K17" s="65"/>
      <c r="L17" s="52" t="s">
        <v>2</v>
      </c>
      <c r="M17" s="53">
        <v>0.45</v>
      </c>
      <c r="N17" s="53">
        <v>0.4</v>
      </c>
      <c r="O17" s="53">
        <v>0.34</v>
      </c>
      <c r="P17" s="53">
        <v>0.3</v>
      </c>
      <c r="Q17" s="53">
        <v>0.17</v>
      </c>
      <c r="R17" s="54">
        <v>0</v>
      </c>
      <c r="S17" s="54">
        <v>0</v>
      </c>
      <c r="T17" s="54">
        <v>0</v>
      </c>
      <c r="U17" s="53">
        <v>0.96</v>
      </c>
      <c r="V17" s="53">
        <v>0.8</v>
      </c>
      <c r="W17" s="47"/>
      <c r="X17" s="65"/>
      <c r="Y17" s="52" t="s">
        <v>2</v>
      </c>
      <c r="Z17" s="53">
        <v>0.34</v>
      </c>
      <c r="AA17" s="54">
        <v>0.04</v>
      </c>
      <c r="AB17" s="53">
        <v>0.17</v>
      </c>
      <c r="AC17" s="53">
        <v>0.4</v>
      </c>
      <c r="AD17" s="53">
        <v>0.18</v>
      </c>
      <c r="AE17" s="54">
        <v>0</v>
      </c>
      <c r="AF17" s="54">
        <v>0.04</v>
      </c>
      <c r="AG17" s="54">
        <v>-0.08</v>
      </c>
      <c r="AH17" s="53">
        <v>0.92</v>
      </c>
      <c r="AI17" s="53">
        <v>0.43</v>
      </c>
    </row>
    <row r="18" spans="2:35" ht="21" hidden="1">
      <c r="B18" s="65"/>
      <c r="C18" s="52" t="s">
        <v>3</v>
      </c>
      <c r="D18" s="53">
        <v>0.26</v>
      </c>
      <c r="E18" s="53">
        <v>0.23</v>
      </c>
      <c r="F18" s="53">
        <v>0.21</v>
      </c>
      <c r="G18" s="53">
        <v>0.2</v>
      </c>
      <c r="H18" s="53">
        <v>0.2</v>
      </c>
      <c r="I18" s="47"/>
      <c r="J18" s="47"/>
      <c r="K18" s="65"/>
      <c r="L18" s="52" t="s">
        <v>3</v>
      </c>
      <c r="M18" s="53">
        <v>0.41</v>
      </c>
      <c r="N18" s="53">
        <v>0.36</v>
      </c>
      <c r="O18" s="53">
        <v>0.3</v>
      </c>
      <c r="P18" s="53">
        <v>0.17</v>
      </c>
      <c r="Q18" s="53">
        <v>0.13</v>
      </c>
      <c r="R18" s="54">
        <v>0</v>
      </c>
      <c r="S18" s="54">
        <v>-7.0000000000000007E-2</v>
      </c>
      <c r="T18" s="53">
        <v>0.96</v>
      </c>
      <c r="U18" s="53">
        <v>0.75</v>
      </c>
      <c r="V18" s="53">
        <v>0.78</v>
      </c>
      <c r="W18" s="47"/>
      <c r="X18" s="65"/>
      <c r="Y18" s="52" t="s">
        <v>3</v>
      </c>
      <c r="Z18" s="54">
        <v>0.06</v>
      </c>
      <c r="AA18" s="53">
        <v>0.2</v>
      </c>
      <c r="AB18" s="53">
        <v>0.38</v>
      </c>
      <c r="AC18" s="53">
        <v>0.12</v>
      </c>
      <c r="AD18" s="54">
        <v>0.06</v>
      </c>
      <c r="AE18" s="54">
        <v>0.03</v>
      </c>
      <c r="AF18" s="54">
        <v>0.04</v>
      </c>
      <c r="AG18" s="53">
        <v>0.93</v>
      </c>
      <c r="AH18" s="53">
        <v>0.36</v>
      </c>
      <c r="AI18" s="53">
        <v>0.28000000000000003</v>
      </c>
    </row>
    <row r="19" spans="2:35" ht="21" hidden="1">
      <c r="B19" s="65"/>
      <c r="C19" s="52" t="s">
        <v>4</v>
      </c>
      <c r="D19" s="53">
        <v>0.22</v>
      </c>
      <c r="E19" s="53">
        <v>0.19</v>
      </c>
      <c r="F19" s="53">
        <v>0.16</v>
      </c>
      <c r="G19" s="53">
        <v>0.14000000000000001</v>
      </c>
      <c r="H19" s="53">
        <v>0.2</v>
      </c>
      <c r="I19" s="47"/>
      <c r="J19" s="47"/>
      <c r="K19" s="65"/>
      <c r="L19" s="52" t="s">
        <v>4</v>
      </c>
      <c r="M19" s="53">
        <v>0.37</v>
      </c>
      <c r="N19" s="53">
        <v>0.28999999999999998</v>
      </c>
      <c r="O19" s="53">
        <v>0.17</v>
      </c>
      <c r="P19" s="54">
        <v>0.09</v>
      </c>
      <c r="Q19" s="53">
        <v>0.24</v>
      </c>
      <c r="R19" s="54">
        <v>0</v>
      </c>
      <c r="S19" s="53">
        <v>0.96</v>
      </c>
      <c r="T19" s="53">
        <v>0.76</v>
      </c>
      <c r="U19" s="53">
        <v>0.73</v>
      </c>
      <c r="V19" s="53">
        <v>0.79</v>
      </c>
      <c r="W19" s="47"/>
      <c r="X19" s="65"/>
      <c r="Y19" s="52" t="s">
        <v>4</v>
      </c>
      <c r="Z19" s="53">
        <v>0.19</v>
      </c>
      <c r="AA19" s="53">
        <v>0.37</v>
      </c>
      <c r="AB19" s="53">
        <v>0.12</v>
      </c>
      <c r="AC19" s="54">
        <v>0.02</v>
      </c>
      <c r="AD19" s="53">
        <v>0.32</v>
      </c>
      <c r="AE19" s="54">
        <v>-7.0000000000000007E-2</v>
      </c>
      <c r="AF19" s="53">
        <v>0.94</v>
      </c>
      <c r="AG19" s="53">
        <v>0.36</v>
      </c>
      <c r="AH19" s="54">
        <v>0.1</v>
      </c>
      <c r="AI19" s="53">
        <v>0.31</v>
      </c>
    </row>
    <row r="20" spans="2:35" ht="21" hidden="1">
      <c r="B20" s="65"/>
      <c r="C20" s="52" t="s">
        <v>47</v>
      </c>
      <c r="D20" s="53">
        <v>0.2</v>
      </c>
      <c r="E20" s="53">
        <v>0.19</v>
      </c>
      <c r="F20" s="53">
        <v>0.19</v>
      </c>
      <c r="G20" s="53">
        <v>0.16</v>
      </c>
      <c r="H20" s="53">
        <v>0.2</v>
      </c>
      <c r="I20" s="47"/>
      <c r="J20" s="47"/>
      <c r="K20" s="65"/>
      <c r="L20" s="52" t="s">
        <v>47</v>
      </c>
      <c r="M20" s="53">
        <v>0.3</v>
      </c>
      <c r="N20" s="53">
        <v>0.17</v>
      </c>
      <c r="O20" s="54">
        <v>0.09</v>
      </c>
      <c r="P20" s="54">
        <v>0.02</v>
      </c>
      <c r="Q20" s="53">
        <v>0.2</v>
      </c>
      <c r="R20" s="53">
        <v>0.95</v>
      </c>
      <c r="S20" s="53">
        <v>0.76</v>
      </c>
      <c r="T20" s="53">
        <v>0.76</v>
      </c>
      <c r="U20" s="53">
        <v>0.76</v>
      </c>
      <c r="V20" s="53">
        <v>0.52</v>
      </c>
      <c r="W20" s="47"/>
      <c r="X20" s="65"/>
      <c r="Y20" s="52" t="s">
        <v>47</v>
      </c>
      <c r="Z20" s="53">
        <v>0.41</v>
      </c>
      <c r="AA20" s="53">
        <v>0.14000000000000001</v>
      </c>
      <c r="AB20" s="54">
        <v>0</v>
      </c>
      <c r="AC20" s="53">
        <v>0.11</v>
      </c>
      <c r="AD20" s="53">
        <v>0.21</v>
      </c>
      <c r="AE20" s="53">
        <v>0.9</v>
      </c>
      <c r="AF20" s="53">
        <v>0.36</v>
      </c>
      <c r="AG20" s="54">
        <v>7.0000000000000007E-2</v>
      </c>
      <c r="AH20" s="54">
        <v>0.06</v>
      </c>
      <c r="AI20" s="53">
        <v>0.46</v>
      </c>
    </row>
    <row r="21" spans="2:35" ht="21" hidden="1">
      <c r="B21" s="65"/>
      <c r="C21" s="52" t="s">
        <v>48</v>
      </c>
      <c r="D21" s="53">
        <v>0.21</v>
      </c>
      <c r="E21" s="53">
        <v>0.19</v>
      </c>
      <c r="F21" s="53">
        <v>0.16</v>
      </c>
      <c r="G21" s="53">
        <v>0.2</v>
      </c>
      <c r="H21" s="53">
        <v>0.19</v>
      </c>
      <c r="I21" s="47"/>
      <c r="J21" s="47"/>
      <c r="K21" s="65"/>
      <c r="L21" s="52" t="s">
        <v>48</v>
      </c>
      <c r="M21" s="53">
        <v>0.17</v>
      </c>
      <c r="N21" s="54">
        <v>0.1</v>
      </c>
      <c r="O21" s="54">
        <v>0.05</v>
      </c>
      <c r="P21" s="54">
        <v>0.01</v>
      </c>
      <c r="Q21" s="53">
        <v>0.22</v>
      </c>
      <c r="R21" s="53">
        <v>0.76</v>
      </c>
      <c r="S21" s="53">
        <v>0.74</v>
      </c>
      <c r="T21" s="53">
        <v>0.72</v>
      </c>
      <c r="U21" s="53">
        <v>0.45</v>
      </c>
      <c r="V21" s="53">
        <v>0.4</v>
      </c>
      <c r="W21" s="47"/>
      <c r="X21" s="65"/>
      <c r="Y21" s="52" t="s">
        <v>48</v>
      </c>
      <c r="Z21" s="53">
        <v>0.14000000000000001</v>
      </c>
      <c r="AA21" s="54">
        <v>-0.01</v>
      </c>
      <c r="AB21" s="53">
        <v>0.15</v>
      </c>
      <c r="AC21" s="53">
        <v>0.15</v>
      </c>
      <c r="AD21" s="53">
        <v>0.26</v>
      </c>
      <c r="AE21" s="53">
        <v>0.37</v>
      </c>
      <c r="AF21" s="53">
        <v>0.13</v>
      </c>
      <c r="AG21" s="54">
        <v>7.0000000000000007E-2</v>
      </c>
      <c r="AH21" s="53">
        <v>0.22</v>
      </c>
      <c r="AI21" s="53">
        <v>0.38</v>
      </c>
    </row>
    <row r="22" spans="2:35" ht="21" hidden="1">
      <c r="B22" s="65"/>
      <c r="C22" s="52" t="s">
        <v>49</v>
      </c>
      <c r="D22" s="53">
        <v>0.19</v>
      </c>
      <c r="E22" s="53">
        <v>0.19</v>
      </c>
      <c r="F22" s="53">
        <v>0.19</v>
      </c>
      <c r="G22" s="53">
        <v>0.17</v>
      </c>
      <c r="H22" s="53">
        <v>0.2</v>
      </c>
      <c r="I22" s="47"/>
      <c r="J22" s="47"/>
      <c r="K22" s="65"/>
      <c r="L22" s="52" t="s">
        <v>49</v>
      </c>
      <c r="M22" s="54">
        <v>0.04</v>
      </c>
      <c r="N22" s="53">
        <v>0.1</v>
      </c>
      <c r="O22" s="54">
        <v>-0.06</v>
      </c>
      <c r="P22" s="54">
        <v>0.09</v>
      </c>
      <c r="Q22" s="53">
        <v>0.21</v>
      </c>
      <c r="R22" s="53">
        <v>0.82</v>
      </c>
      <c r="S22" s="53">
        <v>0.79</v>
      </c>
      <c r="T22" s="53">
        <v>0.33</v>
      </c>
      <c r="U22" s="53">
        <v>0.31</v>
      </c>
      <c r="V22" s="53">
        <v>0.32</v>
      </c>
      <c r="W22" s="47"/>
      <c r="X22" s="65"/>
      <c r="Y22" s="52" t="s">
        <v>49</v>
      </c>
      <c r="Z22" s="54">
        <v>0</v>
      </c>
      <c r="AA22" s="53">
        <v>0.16</v>
      </c>
      <c r="AB22" s="54">
        <v>0.05</v>
      </c>
      <c r="AC22" s="54">
        <v>7.0000000000000007E-2</v>
      </c>
      <c r="AD22" s="53">
        <v>0.16</v>
      </c>
      <c r="AE22" s="54">
        <v>0.03</v>
      </c>
      <c r="AF22" s="53">
        <v>0.1</v>
      </c>
      <c r="AG22" s="53">
        <v>0.3</v>
      </c>
      <c r="AH22" s="53">
        <v>0.28999999999999998</v>
      </c>
      <c r="AI22" s="53">
        <v>0.24</v>
      </c>
    </row>
    <row r="23" spans="2:35" ht="21" hidden="1">
      <c r="B23" s="66"/>
      <c r="C23" s="52" t="s">
        <v>50</v>
      </c>
      <c r="D23" s="53">
        <v>0.2</v>
      </c>
      <c r="E23" s="53">
        <v>0.2</v>
      </c>
      <c r="F23" s="53">
        <v>0.19</v>
      </c>
      <c r="G23" s="53">
        <v>0.2</v>
      </c>
      <c r="H23" s="53">
        <v>0.2</v>
      </c>
      <c r="I23" s="47"/>
      <c r="J23" s="47"/>
      <c r="K23" s="66"/>
      <c r="L23" s="52" t="s">
        <v>50</v>
      </c>
      <c r="M23" s="53">
        <v>0.12</v>
      </c>
      <c r="N23" s="53">
        <v>0.13</v>
      </c>
      <c r="O23" s="54">
        <v>0.09</v>
      </c>
      <c r="P23" s="53">
        <v>0.16</v>
      </c>
      <c r="Q23" s="53">
        <v>0.18</v>
      </c>
      <c r="R23" s="53">
        <v>0.85</v>
      </c>
      <c r="S23" s="53">
        <v>0.47</v>
      </c>
      <c r="T23" s="53">
        <v>0.28999999999999998</v>
      </c>
      <c r="U23" s="53">
        <v>0.28000000000000003</v>
      </c>
      <c r="V23" s="53">
        <v>0.24</v>
      </c>
      <c r="W23" s="47"/>
      <c r="X23" s="66"/>
      <c r="Y23" s="52" t="s">
        <v>50</v>
      </c>
      <c r="Z23" s="53">
        <v>0.11</v>
      </c>
      <c r="AA23" s="53">
        <v>0.24</v>
      </c>
      <c r="AB23" s="53">
        <v>0.23</v>
      </c>
      <c r="AC23" s="53">
        <v>0.23</v>
      </c>
      <c r="AD23" s="53">
        <v>0.57999999999999996</v>
      </c>
      <c r="AE23" s="54">
        <v>0.06</v>
      </c>
      <c r="AF23" s="53">
        <v>0.35</v>
      </c>
      <c r="AG23" s="53">
        <v>0.37</v>
      </c>
      <c r="AH23" s="53">
        <v>0.32</v>
      </c>
      <c r="AI23" s="53">
        <v>0.59</v>
      </c>
    </row>
    <row r="24" spans="2:35" ht="21" hidden="1">
      <c r="B24" s="64" t="s">
        <v>52</v>
      </c>
      <c r="C24" s="52" t="s">
        <v>0</v>
      </c>
      <c r="D24" s="53">
        <v>0.23</v>
      </c>
      <c r="E24" s="53">
        <v>0.28999999999999998</v>
      </c>
      <c r="F24" s="53">
        <v>0.34</v>
      </c>
      <c r="G24" s="53">
        <v>0.28000000000000003</v>
      </c>
      <c r="H24" s="53">
        <v>0.26</v>
      </c>
      <c r="I24" s="47"/>
      <c r="J24" s="47"/>
      <c r="K24" s="64" t="s">
        <v>52</v>
      </c>
      <c r="L24" s="52" t="s">
        <v>0</v>
      </c>
      <c r="M24" s="53">
        <v>0.53</v>
      </c>
      <c r="N24" s="53">
        <v>0.52</v>
      </c>
      <c r="O24" s="53">
        <v>0.47</v>
      </c>
      <c r="P24" s="53">
        <v>0.4</v>
      </c>
      <c r="Q24" s="53">
        <v>0.41</v>
      </c>
      <c r="R24" s="53">
        <v>0.28999999999999998</v>
      </c>
      <c r="S24" s="53">
        <v>0.28999999999999998</v>
      </c>
      <c r="T24" s="54">
        <v>0</v>
      </c>
      <c r="U24" s="54">
        <v>0</v>
      </c>
      <c r="V24" s="54">
        <v>7.0000000000000007E-2</v>
      </c>
      <c r="W24" s="47"/>
      <c r="X24" s="64" t="s">
        <v>52</v>
      </c>
      <c r="Y24" s="52" t="s">
        <v>0</v>
      </c>
      <c r="Z24" s="53">
        <v>0.39</v>
      </c>
      <c r="AA24" s="53">
        <v>0.36</v>
      </c>
      <c r="AB24" s="54">
        <v>0.09</v>
      </c>
      <c r="AC24" s="53">
        <v>0.19</v>
      </c>
      <c r="AD24" s="53">
        <v>0.43</v>
      </c>
      <c r="AE24" s="54">
        <v>0.09</v>
      </c>
      <c r="AF24" s="54">
        <v>0.04</v>
      </c>
      <c r="AG24" s="55">
        <v>-0.12</v>
      </c>
      <c r="AH24" s="54">
        <v>-7.0000000000000007E-2</v>
      </c>
      <c r="AI24" s="53">
        <v>0.1</v>
      </c>
    </row>
    <row r="25" spans="2:35" ht="21" hidden="1">
      <c r="B25" s="65"/>
      <c r="C25" s="52" t="s">
        <v>1</v>
      </c>
      <c r="D25" s="53">
        <v>0.28999999999999998</v>
      </c>
      <c r="E25" s="53">
        <v>0.34</v>
      </c>
      <c r="F25" s="53">
        <v>0.31</v>
      </c>
      <c r="G25" s="53">
        <v>0.24</v>
      </c>
      <c r="H25" s="53">
        <v>0.25</v>
      </c>
      <c r="I25" s="47"/>
      <c r="J25" s="47"/>
      <c r="K25" s="65"/>
      <c r="L25" s="52" t="s">
        <v>1</v>
      </c>
      <c r="M25" s="53">
        <v>0.52</v>
      </c>
      <c r="N25" s="53">
        <v>0.46</v>
      </c>
      <c r="O25" s="53">
        <v>0.42</v>
      </c>
      <c r="P25" s="53">
        <v>0.4</v>
      </c>
      <c r="Q25" s="53">
        <v>0.43</v>
      </c>
      <c r="R25" s="53">
        <v>0.28000000000000003</v>
      </c>
      <c r="S25" s="54">
        <v>7.0000000000000007E-2</v>
      </c>
      <c r="T25" s="54">
        <v>0</v>
      </c>
      <c r="U25" s="54">
        <v>0.09</v>
      </c>
      <c r="V25" s="54">
        <v>-0.02</v>
      </c>
      <c r="W25" s="47"/>
      <c r="X25" s="65"/>
      <c r="Y25" s="52" t="s">
        <v>1</v>
      </c>
      <c r="Z25" s="53">
        <v>0.38</v>
      </c>
      <c r="AA25" s="54">
        <v>0.08</v>
      </c>
      <c r="AB25" s="53">
        <v>0.22</v>
      </c>
      <c r="AC25" s="53">
        <v>0.4</v>
      </c>
      <c r="AD25" s="53">
        <v>0.28000000000000003</v>
      </c>
      <c r="AE25" s="53">
        <v>0.13</v>
      </c>
      <c r="AF25" s="55">
        <v>-0.17</v>
      </c>
      <c r="AG25" s="53">
        <v>0.23</v>
      </c>
      <c r="AH25" s="53">
        <v>0.1</v>
      </c>
      <c r="AI25" s="54">
        <v>0.05</v>
      </c>
    </row>
    <row r="26" spans="2:35" ht="21" hidden="1">
      <c r="B26" s="65"/>
      <c r="C26" s="52" t="s">
        <v>2</v>
      </c>
      <c r="D26" s="53">
        <v>0.34</v>
      </c>
      <c r="E26" s="53">
        <v>0.27</v>
      </c>
      <c r="F26" s="53">
        <v>0.26</v>
      </c>
      <c r="G26" s="53">
        <v>0.22</v>
      </c>
      <c r="H26" s="53">
        <v>0.24</v>
      </c>
      <c r="I26" s="47"/>
      <c r="J26" s="47"/>
      <c r="K26" s="65"/>
      <c r="L26" s="52" t="s">
        <v>2</v>
      </c>
      <c r="M26" s="53">
        <v>0.47</v>
      </c>
      <c r="N26" s="53">
        <v>0.4</v>
      </c>
      <c r="O26" s="53">
        <v>0.41</v>
      </c>
      <c r="P26" s="53">
        <v>0.33</v>
      </c>
      <c r="Q26" s="53">
        <v>0.59</v>
      </c>
      <c r="R26" s="54">
        <v>0</v>
      </c>
      <c r="S26" s="54">
        <v>7.0000000000000007E-2</v>
      </c>
      <c r="T26" s="54">
        <v>7.0000000000000007E-2</v>
      </c>
      <c r="U26" s="54">
        <v>-0.02</v>
      </c>
      <c r="V26" s="54">
        <v>-0.05</v>
      </c>
      <c r="W26" s="47"/>
      <c r="X26" s="65"/>
      <c r="Y26" s="52" t="s">
        <v>2</v>
      </c>
      <c r="Z26" s="54">
        <v>0.09</v>
      </c>
      <c r="AA26" s="53">
        <v>0.2</v>
      </c>
      <c r="AB26" s="53">
        <v>0.42</v>
      </c>
      <c r="AC26" s="53">
        <v>0.22</v>
      </c>
      <c r="AD26" s="53">
        <v>0.21</v>
      </c>
      <c r="AE26" s="54">
        <v>0</v>
      </c>
      <c r="AF26" s="53">
        <v>0.14000000000000001</v>
      </c>
      <c r="AG26" s="53">
        <v>0.1</v>
      </c>
      <c r="AH26" s="54">
        <v>0.04</v>
      </c>
      <c r="AI26" s="54">
        <v>0.03</v>
      </c>
    </row>
    <row r="27" spans="2:35" ht="21" hidden="1">
      <c r="B27" s="65"/>
      <c r="C27" s="52" t="s">
        <v>3</v>
      </c>
      <c r="D27" s="53">
        <v>0.3</v>
      </c>
      <c r="E27" s="53">
        <v>0.25</v>
      </c>
      <c r="F27" s="53">
        <v>0.25</v>
      </c>
      <c r="G27" s="53">
        <v>0.24</v>
      </c>
      <c r="H27" s="53">
        <v>0.27</v>
      </c>
      <c r="I27" s="47"/>
      <c r="J27" s="47"/>
      <c r="K27" s="65"/>
      <c r="L27" s="52" t="s">
        <v>3</v>
      </c>
      <c r="M27" s="53">
        <v>0.42</v>
      </c>
      <c r="N27" s="53">
        <v>0.41</v>
      </c>
      <c r="O27" s="53">
        <v>0.42</v>
      </c>
      <c r="P27" s="53">
        <v>0.57999999999999996</v>
      </c>
      <c r="Q27" s="53">
        <v>0.56999999999999995</v>
      </c>
      <c r="R27" s="54">
        <v>0</v>
      </c>
      <c r="S27" s="54">
        <v>0.05</v>
      </c>
      <c r="T27" s="54">
        <v>-0.01</v>
      </c>
      <c r="U27" s="54">
        <v>-0.06</v>
      </c>
      <c r="V27" s="53">
        <v>0.11</v>
      </c>
      <c r="W27" s="47"/>
      <c r="X27" s="65"/>
      <c r="Y27" s="52" t="s">
        <v>3</v>
      </c>
      <c r="Z27" s="53">
        <v>0.21</v>
      </c>
      <c r="AA27" s="53">
        <v>0.41</v>
      </c>
      <c r="AB27" s="53">
        <v>0.24</v>
      </c>
      <c r="AC27" s="53">
        <v>0.27</v>
      </c>
      <c r="AD27" s="54">
        <v>0.09</v>
      </c>
      <c r="AE27" s="54">
        <v>0</v>
      </c>
      <c r="AF27" s="54">
        <v>0.08</v>
      </c>
      <c r="AG27" s="54">
        <v>0.05</v>
      </c>
      <c r="AH27" s="54">
        <v>0.03</v>
      </c>
      <c r="AI27" s="53">
        <v>0.27</v>
      </c>
    </row>
    <row r="28" spans="2:35" ht="21" hidden="1">
      <c r="B28" s="65"/>
      <c r="C28" s="52" t="s">
        <v>4</v>
      </c>
      <c r="D28" s="53">
        <v>0.24</v>
      </c>
      <c r="E28" s="53">
        <v>0.24</v>
      </c>
      <c r="F28" s="53">
        <v>0.24</v>
      </c>
      <c r="G28" s="53">
        <v>0.26</v>
      </c>
      <c r="H28" s="53">
        <v>0.36</v>
      </c>
      <c r="I28" s="47"/>
      <c r="J28" s="47"/>
      <c r="K28" s="65"/>
      <c r="L28" s="52" t="s">
        <v>4</v>
      </c>
      <c r="M28" s="53">
        <v>0.41</v>
      </c>
      <c r="N28" s="53">
        <v>0.28999999999999998</v>
      </c>
      <c r="O28" s="53">
        <v>0.59</v>
      </c>
      <c r="P28" s="53">
        <v>0.56000000000000005</v>
      </c>
      <c r="Q28" s="53">
        <v>0.55000000000000004</v>
      </c>
      <c r="R28" s="54">
        <v>0.08</v>
      </c>
      <c r="S28" s="54">
        <v>-0.02</v>
      </c>
      <c r="T28" s="54">
        <v>-0.06</v>
      </c>
      <c r="U28" s="54">
        <v>0.04</v>
      </c>
      <c r="V28" s="53">
        <v>0.28999999999999998</v>
      </c>
      <c r="W28" s="47"/>
      <c r="X28" s="65"/>
      <c r="Y28" s="52" t="s">
        <v>4</v>
      </c>
      <c r="Z28" s="53">
        <v>0.42</v>
      </c>
      <c r="AA28" s="53">
        <v>0.23</v>
      </c>
      <c r="AB28" s="53">
        <v>0.22</v>
      </c>
      <c r="AC28" s="54">
        <v>0.03</v>
      </c>
      <c r="AD28" s="53">
        <v>0.62</v>
      </c>
      <c r="AE28" s="53">
        <v>0.12</v>
      </c>
      <c r="AF28" s="54">
        <v>0.05</v>
      </c>
      <c r="AG28" s="54">
        <v>0.03</v>
      </c>
      <c r="AH28" s="53">
        <v>0.14000000000000001</v>
      </c>
      <c r="AI28" s="53">
        <v>0.49</v>
      </c>
    </row>
    <row r="29" spans="2:35" ht="21" hidden="1">
      <c r="B29" s="65"/>
      <c r="C29" s="52" t="s">
        <v>47</v>
      </c>
      <c r="D29" s="53">
        <v>0.25</v>
      </c>
      <c r="E29" s="53">
        <v>0.28999999999999998</v>
      </c>
      <c r="F29" s="53">
        <v>0.27</v>
      </c>
      <c r="G29" s="53">
        <v>0.37</v>
      </c>
      <c r="H29" s="53">
        <v>0.37</v>
      </c>
      <c r="I29" s="47"/>
      <c r="J29" s="47"/>
      <c r="K29" s="65"/>
      <c r="L29" s="52" t="s">
        <v>47</v>
      </c>
      <c r="M29" s="53">
        <v>0.4</v>
      </c>
      <c r="N29" s="53">
        <v>0.6</v>
      </c>
      <c r="O29" s="53">
        <v>0.56000000000000005</v>
      </c>
      <c r="P29" s="53">
        <v>0.45</v>
      </c>
      <c r="Q29" s="53">
        <v>0.45</v>
      </c>
      <c r="R29" s="54">
        <v>-0.02</v>
      </c>
      <c r="S29" s="54">
        <v>-0.06</v>
      </c>
      <c r="T29" s="54">
        <v>0.04</v>
      </c>
      <c r="U29" s="54">
        <v>0.08</v>
      </c>
      <c r="V29" s="53">
        <v>0.26</v>
      </c>
      <c r="W29" s="47"/>
      <c r="X29" s="65"/>
      <c r="Y29" s="52" t="s">
        <v>47</v>
      </c>
      <c r="Z29" s="53">
        <v>0.2</v>
      </c>
      <c r="AA29" s="53">
        <v>0.27</v>
      </c>
      <c r="AB29" s="54">
        <v>0.02</v>
      </c>
      <c r="AC29" s="53">
        <v>0.46</v>
      </c>
      <c r="AD29" s="53">
        <v>0.4</v>
      </c>
      <c r="AE29" s="54">
        <v>0.05</v>
      </c>
      <c r="AF29" s="54">
        <v>0.03</v>
      </c>
      <c r="AG29" s="53">
        <v>0.13</v>
      </c>
      <c r="AH29" s="53">
        <v>0.3</v>
      </c>
      <c r="AI29" s="53">
        <v>0.28999999999999998</v>
      </c>
    </row>
    <row r="30" spans="2:35" ht="21" hidden="1">
      <c r="B30" s="65"/>
      <c r="C30" s="52" t="s">
        <v>48</v>
      </c>
      <c r="D30" s="53">
        <v>0.23</v>
      </c>
      <c r="E30" s="53">
        <v>0.26</v>
      </c>
      <c r="F30" s="53">
        <v>0.36</v>
      </c>
      <c r="G30" s="53">
        <v>0.37</v>
      </c>
      <c r="H30" s="53">
        <v>0.37</v>
      </c>
      <c r="I30" s="47"/>
      <c r="J30" s="47"/>
      <c r="K30" s="65"/>
      <c r="L30" s="52" t="s">
        <v>48</v>
      </c>
      <c r="M30" s="53">
        <v>0.61</v>
      </c>
      <c r="N30" s="53">
        <v>0.56000000000000005</v>
      </c>
      <c r="O30" s="53">
        <v>0.44</v>
      </c>
      <c r="P30" s="53">
        <v>0.34</v>
      </c>
      <c r="Q30" s="53">
        <v>0.45</v>
      </c>
      <c r="R30" s="54">
        <v>-0.05</v>
      </c>
      <c r="S30" s="54">
        <v>0.06</v>
      </c>
      <c r="T30" s="54">
        <v>0.06</v>
      </c>
      <c r="U30" s="53">
        <v>0.15</v>
      </c>
      <c r="V30" s="53">
        <v>0.35</v>
      </c>
      <c r="W30" s="47"/>
      <c r="X30" s="65"/>
      <c r="Y30" s="52" t="s">
        <v>48</v>
      </c>
      <c r="Z30" s="53">
        <v>0.26</v>
      </c>
      <c r="AA30" s="54">
        <v>0.04</v>
      </c>
      <c r="AB30" s="53">
        <v>0.4</v>
      </c>
      <c r="AC30" s="53">
        <v>0.42</v>
      </c>
      <c r="AD30" s="53">
        <v>0.38</v>
      </c>
      <c r="AE30" s="54">
        <v>0.03</v>
      </c>
      <c r="AF30" s="53">
        <v>0.12</v>
      </c>
      <c r="AG30" s="53">
        <v>0.18</v>
      </c>
      <c r="AH30" s="53">
        <v>0.28000000000000003</v>
      </c>
      <c r="AI30" s="53">
        <v>0.31</v>
      </c>
    </row>
    <row r="31" spans="2:35" ht="21" hidden="1">
      <c r="B31" s="65"/>
      <c r="C31" s="52" t="s">
        <v>49</v>
      </c>
      <c r="D31" s="53">
        <v>0.25</v>
      </c>
      <c r="E31" s="53">
        <v>0.36</v>
      </c>
      <c r="F31" s="53">
        <v>0.36</v>
      </c>
      <c r="G31" s="53">
        <v>0.36</v>
      </c>
      <c r="H31" s="53">
        <v>0.37</v>
      </c>
      <c r="I31" s="47"/>
      <c r="J31" s="47"/>
      <c r="K31" s="65"/>
      <c r="L31" s="52" t="s">
        <v>49</v>
      </c>
      <c r="M31" s="53">
        <v>0.54</v>
      </c>
      <c r="N31" s="53">
        <v>0.51</v>
      </c>
      <c r="O31" s="53">
        <v>0.27</v>
      </c>
      <c r="P31" s="53">
        <v>0.33</v>
      </c>
      <c r="Q31" s="53">
        <v>0.42</v>
      </c>
      <c r="R31" s="54">
        <v>-0.05</v>
      </c>
      <c r="S31" s="53">
        <v>0.2</v>
      </c>
      <c r="T31" s="54">
        <v>7.0000000000000007E-2</v>
      </c>
      <c r="U31" s="53">
        <v>0.22</v>
      </c>
      <c r="V31" s="53">
        <v>0.37</v>
      </c>
      <c r="W31" s="47"/>
      <c r="X31" s="65"/>
      <c r="Y31" s="52" t="s">
        <v>49</v>
      </c>
      <c r="Z31" s="54">
        <v>0.01</v>
      </c>
      <c r="AA31" s="53">
        <v>0.5</v>
      </c>
      <c r="AB31" s="53">
        <v>0.25</v>
      </c>
      <c r="AC31" s="53">
        <v>0.33</v>
      </c>
      <c r="AD31" s="53">
        <v>0.5</v>
      </c>
      <c r="AE31" s="54">
        <v>0.05</v>
      </c>
      <c r="AF31" s="53">
        <v>0.33</v>
      </c>
      <c r="AG31" s="54">
        <v>7.0000000000000007E-2</v>
      </c>
      <c r="AH31" s="53">
        <v>0.23</v>
      </c>
      <c r="AI31" s="53">
        <v>0.48</v>
      </c>
    </row>
    <row r="32" spans="2:35" ht="21" hidden="1">
      <c r="B32" s="66"/>
      <c r="C32" s="52" t="s">
        <v>50</v>
      </c>
      <c r="D32" s="53">
        <v>0.34</v>
      </c>
      <c r="E32" s="53">
        <v>0.32</v>
      </c>
      <c r="F32" s="53">
        <v>0.35</v>
      </c>
      <c r="G32" s="53">
        <v>0.37</v>
      </c>
      <c r="H32" s="53">
        <v>0.37</v>
      </c>
      <c r="I32" s="47"/>
      <c r="J32" s="47"/>
      <c r="K32" s="66"/>
      <c r="L32" s="52" t="s">
        <v>50</v>
      </c>
      <c r="M32" s="53">
        <v>0.46</v>
      </c>
      <c r="N32" s="53">
        <v>0.35</v>
      </c>
      <c r="O32" s="53">
        <v>0.26</v>
      </c>
      <c r="P32" s="53">
        <v>0.32</v>
      </c>
      <c r="Q32" s="53">
        <v>0.38</v>
      </c>
      <c r="R32" s="53">
        <v>0.12</v>
      </c>
      <c r="S32" s="53">
        <v>0.13</v>
      </c>
      <c r="T32" s="53">
        <v>0.14000000000000001</v>
      </c>
      <c r="U32" s="53">
        <v>0.26</v>
      </c>
      <c r="V32" s="53">
        <v>0.35</v>
      </c>
      <c r="W32" s="47"/>
      <c r="X32" s="66"/>
      <c r="Y32" s="52" t="s">
        <v>50</v>
      </c>
      <c r="Z32" s="53">
        <v>0.44</v>
      </c>
      <c r="AA32" s="53">
        <v>0.31</v>
      </c>
      <c r="AB32" s="53">
        <v>0.26</v>
      </c>
      <c r="AC32" s="53">
        <v>0.26</v>
      </c>
      <c r="AD32" s="53">
        <v>0.56000000000000005</v>
      </c>
      <c r="AE32" s="53">
        <v>0.27</v>
      </c>
      <c r="AF32" s="53">
        <v>0.18</v>
      </c>
      <c r="AG32" s="53">
        <v>0.15</v>
      </c>
      <c r="AH32" s="53">
        <v>0.18</v>
      </c>
      <c r="AI32" s="53">
        <v>0.54</v>
      </c>
    </row>
    <row r="33" spans="2:35" ht="21" hidden="1">
      <c r="B33" s="64" t="s">
        <v>53</v>
      </c>
      <c r="C33" s="52" t="s">
        <v>0</v>
      </c>
      <c r="D33" s="53">
        <v>0.31</v>
      </c>
      <c r="E33" s="53">
        <v>0.34</v>
      </c>
      <c r="F33" s="53">
        <v>0.35</v>
      </c>
      <c r="G33" s="53">
        <v>0.28999999999999998</v>
      </c>
      <c r="H33" s="53">
        <v>0.28999999999999998</v>
      </c>
      <c r="I33" s="47"/>
      <c r="J33" s="47"/>
      <c r="K33" s="64" t="s">
        <v>53</v>
      </c>
      <c r="L33" s="52" t="s">
        <v>0</v>
      </c>
      <c r="M33" s="53">
        <v>0.55000000000000004</v>
      </c>
      <c r="N33" s="53">
        <v>0.49</v>
      </c>
      <c r="O33" s="53">
        <v>0.42</v>
      </c>
      <c r="P33" s="53">
        <v>0.46</v>
      </c>
      <c r="Q33" s="53">
        <v>0.52</v>
      </c>
      <c r="R33" s="53">
        <v>0.33</v>
      </c>
      <c r="S33" s="53">
        <v>0.28000000000000003</v>
      </c>
      <c r="T33" s="54">
        <v>0</v>
      </c>
      <c r="U33" s="55">
        <v>-0.13</v>
      </c>
      <c r="V33" s="54">
        <v>0.03</v>
      </c>
      <c r="W33" s="47"/>
      <c r="X33" s="64" t="s">
        <v>53</v>
      </c>
      <c r="Y33" s="52" t="s">
        <v>0</v>
      </c>
      <c r="Z33" s="53">
        <v>0.4</v>
      </c>
      <c r="AA33" s="54">
        <v>0.09</v>
      </c>
      <c r="AB33" s="53">
        <v>0.22</v>
      </c>
      <c r="AC33" s="53">
        <v>0.46</v>
      </c>
      <c r="AD33" s="53">
        <v>0.44</v>
      </c>
      <c r="AE33" s="53">
        <v>0.17</v>
      </c>
      <c r="AF33" s="53">
        <v>0.12</v>
      </c>
      <c r="AG33" s="54">
        <v>-7.0000000000000007E-2</v>
      </c>
      <c r="AH33" s="54">
        <v>0</v>
      </c>
      <c r="AI33" s="53">
        <v>0.13</v>
      </c>
    </row>
    <row r="34" spans="2:35" ht="21" hidden="1">
      <c r="B34" s="65"/>
      <c r="C34" s="52" t="s">
        <v>1</v>
      </c>
      <c r="D34" s="53">
        <v>0.35</v>
      </c>
      <c r="E34" s="53">
        <v>0.37</v>
      </c>
      <c r="F34" s="53">
        <v>0.28000000000000003</v>
      </c>
      <c r="G34" s="53">
        <v>0.28999999999999998</v>
      </c>
      <c r="H34" s="53">
        <v>0.28000000000000003</v>
      </c>
      <c r="I34" s="47"/>
      <c r="J34" s="47"/>
      <c r="K34" s="65"/>
      <c r="L34" s="52" t="s">
        <v>1</v>
      </c>
      <c r="M34" s="53">
        <v>0.5</v>
      </c>
      <c r="N34" s="53">
        <v>0.44</v>
      </c>
      <c r="O34" s="53">
        <v>0.46</v>
      </c>
      <c r="P34" s="53">
        <v>0.53</v>
      </c>
      <c r="Q34" s="53">
        <v>0.6</v>
      </c>
      <c r="R34" s="53">
        <v>0.28000000000000003</v>
      </c>
      <c r="S34" s="54">
        <v>7.0000000000000007E-2</v>
      </c>
      <c r="T34" s="55">
        <v>-0.15</v>
      </c>
      <c r="U34" s="54">
        <v>0.03</v>
      </c>
      <c r="V34" s="54">
        <v>0.03</v>
      </c>
      <c r="W34" s="47"/>
      <c r="X34" s="65"/>
      <c r="Y34" s="52" t="s">
        <v>1</v>
      </c>
      <c r="Z34" s="53">
        <v>0.12</v>
      </c>
      <c r="AA34" s="53">
        <v>0.23</v>
      </c>
      <c r="AB34" s="53">
        <v>0.46</v>
      </c>
      <c r="AC34" s="53">
        <v>0.45</v>
      </c>
      <c r="AD34" s="53">
        <v>0.47</v>
      </c>
      <c r="AE34" s="54">
        <v>0.08</v>
      </c>
      <c r="AF34" s="54">
        <v>-0.08</v>
      </c>
      <c r="AG34" s="54">
        <v>-0.04</v>
      </c>
      <c r="AH34" s="53">
        <v>0.13</v>
      </c>
      <c r="AI34" s="53">
        <v>0.12</v>
      </c>
    </row>
    <row r="35" spans="2:35" ht="21" hidden="1">
      <c r="B35" s="65"/>
      <c r="C35" s="52" t="s">
        <v>2</v>
      </c>
      <c r="D35" s="53">
        <v>0.35</v>
      </c>
      <c r="E35" s="53">
        <v>0.28999999999999998</v>
      </c>
      <c r="F35" s="53">
        <v>0.28999999999999998</v>
      </c>
      <c r="G35" s="53">
        <v>0.28999999999999998</v>
      </c>
      <c r="H35" s="53">
        <v>0.28000000000000003</v>
      </c>
      <c r="I35" s="47"/>
      <c r="J35" s="47"/>
      <c r="K35" s="65"/>
      <c r="L35" s="52" t="s">
        <v>2</v>
      </c>
      <c r="M35" s="53">
        <v>0.43</v>
      </c>
      <c r="N35" s="53">
        <v>0.46</v>
      </c>
      <c r="O35" s="53">
        <v>0.53</v>
      </c>
      <c r="P35" s="53">
        <v>0.61</v>
      </c>
      <c r="Q35" s="53">
        <v>0.72</v>
      </c>
      <c r="R35" s="54">
        <v>0</v>
      </c>
      <c r="S35" s="55">
        <v>-0.12</v>
      </c>
      <c r="T35" s="54">
        <v>0.03</v>
      </c>
      <c r="U35" s="54">
        <v>0.04</v>
      </c>
      <c r="V35" s="54">
        <v>7.0000000000000007E-2</v>
      </c>
      <c r="W35" s="47"/>
      <c r="X35" s="65"/>
      <c r="Y35" s="52" t="s">
        <v>2</v>
      </c>
      <c r="Z35" s="53">
        <v>0.22</v>
      </c>
      <c r="AA35" s="53">
        <v>0.46</v>
      </c>
      <c r="AB35" s="53">
        <v>0.43</v>
      </c>
      <c r="AC35" s="53">
        <v>0.47</v>
      </c>
      <c r="AD35" s="53">
        <v>0.51</v>
      </c>
      <c r="AE35" s="54">
        <v>0.04</v>
      </c>
      <c r="AF35" s="54">
        <v>0</v>
      </c>
      <c r="AG35" s="53">
        <v>0.12</v>
      </c>
      <c r="AH35" s="53">
        <v>0.12</v>
      </c>
      <c r="AI35" s="53">
        <v>0.13</v>
      </c>
    </row>
    <row r="36" spans="2:35" ht="21" hidden="1">
      <c r="B36" s="65"/>
      <c r="C36" s="52" t="s">
        <v>3</v>
      </c>
      <c r="D36" s="53">
        <v>0.28999999999999998</v>
      </c>
      <c r="E36" s="53">
        <v>0.28999999999999998</v>
      </c>
      <c r="F36" s="53">
        <v>0.28999999999999998</v>
      </c>
      <c r="G36" s="53">
        <v>0.28000000000000003</v>
      </c>
      <c r="H36" s="53">
        <v>0.28000000000000003</v>
      </c>
      <c r="I36" s="47"/>
      <c r="J36" s="47"/>
      <c r="K36" s="65"/>
      <c r="L36" s="52" t="s">
        <v>3</v>
      </c>
      <c r="M36" s="53">
        <v>0.46</v>
      </c>
      <c r="N36" s="53">
        <v>0.53</v>
      </c>
      <c r="O36" s="53">
        <v>0.6</v>
      </c>
      <c r="P36" s="53">
        <v>0.72</v>
      </c>
      <c r="Q36" s="53">
        <v>0.72</v>
      </c>
      <c r="R36" s="55">
        <v>-0.13</v>
      </c>
      <c r="S36" s="54">
        <v>0.03</v>
      </c>
      <c r="T36" s="54">
        <v>0.04</v>
      </c>
      <c r="U36" s="54">
        <v>0.06</v>
      </c>
      <c r="V36" s="53">
        <v>0.36</v>
      </c>
      <c r="W36" s="47"/>
      <c r="X36" s="65"/>
      <c r="Y36" s="52" t="s">
        <v>3</v>
      </c>
      <c r="Z36" s="53">
        <v>0.45</v>
      </c>
      <c r="AA36" s="53">
        <v>0.45</v>
      </c>
      <c r="AB36" s="53">
        <v>0.42</v>
      </c>
      <c r="AC36" s="53">
        <v>0.53</v>
      </c>
      <c r="AD36" s="53">
        <v>0.75</v>
      </c>
      <c r="AE36" s="54">
        <v>0</v>
      </c>
      <c r="AF36" s="53">
        <v>0.12</v>
      </c>
      <c r="AG36" s="53">
        <v>0.12</v>
      </c>
      <c r="AH36" s="53">
        <v>0.12</v>
      </c>
      <c r="AI36" s="53">
        <v>0.56000000000000005</v>
      </c>
    </row>
    <row r="37" spans="2:35" ht="21" hidden="1">
      <c r="B37" s="65"/>
      <c r="C37" s="52" t="s">
        <v>4</v>
      </c>
      <c r="D37" s="53">
        <v>0.28999999999999998</v>
      </c>
      <c r="E37" s="53">
        <v>0.32</v>
      </c>
      <c r="F37" s="53">
        <v>0.28000000000000003</v>
      </c>
      <c r="G37" s="53">
        <v>0.28000000000000003</v>
      </c>
      <c r="H37" s="53">
        <v>0.34</v>
      </c>
      <c r="I37" s="47"/>
      <c r="J37" s="47"/>
      <c r="K37" s="65"/>
      <c r="L37" s="52" t="s">
        <v>4</v>
      </c>
      <c r="M37" s="53">
        <v>0.52</v>
      </c>
      <c r="N37" s="53">
        <v>0.61</v>
      </c>
      <c r="O37" s="53">
        <v>0.72</v>
      </c>
      <c r="P37" s="53">
        <v>0.68</v>
      </c>
      <c r="Q37" s="53">
        <v>0.68</v>
      </c>
      <c r="R37" s="54">
        <v>0.03</v>
      </c>
      <c r="S37" s="54">
        <v>0.04</v>
      </c>
      <c r="T37" s="54">
        <v>7.0000000000000007E-2</v>
      </c>
      <c r="U37" s="53">
        <v>0.23</v>
      </c>
      <c r="V37" s="53">
        <v>0.45</v>
      </c>
      <c r="W37" s="47"/>
      <c r="X37" s="65"/>
      <c r="Y37" s="52" t="s">
        <v>4</v>
      </c>
      <c r="Z37" s="53">
        <v>0.44</v>
      </c>
      <c r="AA37" s="53">
        <v>0.46</v>
      </c>
      <c r="AB37" s="53">
        <v>0.53</v>
      </c>
      <c r="AC37" s="53">
        <v>0.68</v>
      </c>
      <c r="AD37" s="53">
        <v>0.78</v>
      </c>
      <c r="AE37" s="53">
        <v>0.13</v>
      </c>
      <c r="AF37" s="53">
        <v>0.12</v>
      </c>
      <c r="AG37" s="53">
        <v>0.13</v>
      </c>
      <c r="AH37" s="53">
        <v>0.43</v>
      </c>
      <c r="AI37" s="53">
        <v>0.63</v>
      </c>
    </row>
    <row r="38" spans="2:35" ht="21" hidden="1">
      <c r="B38" s="65"/>
      <c r="C38" s="52" t="s">
        <v>47</v>
      </c>
      <c r="D38" s="53">
        <v>0.3</v>
      </c>
      <c r="E38" s="53">
        <v>0.25</v>
      </c>
      <c r="F38" s="53">
        <v>0.27</v>
      </c>
      <c r="G38" s="53">
        <v>0.35</v>
      </c>
      <c r="H38" s="53">
        <v>0.34</v>
      </c>
      <c r="I38" s="47"/>
      <c r="J38" s="47"/>
      <c r="K38" s="65"/>
      <c r="L38" s="52" t="s">
        <v>47</v>
      </c>
      <c r="M38" s="53">
        <v>0.6</v>
      </c>
      <c r="N38" s="53">
        <v>0.72</v>
      </c>
      <c r="O38" s="53">
        <v>0.66</v>
      </c>
      <c r="P38" s="53">
        <v>0.55000000000000004</v>
      </c>
      <c r="Q38" s="53">
        <v>0.47</v>
      </c>
      <c r="R38" s="54">
        <v>0.04</v>
      </c>
      <c r="S38" s="54">
        <v>7.0000000000000007E-2</v>
      </c>
      <c r="T38" s="53">
        <v>0.18</v>
      </c>
      <c r="U38" s="53">
        <v>0.21</v>
      </c>
      <c r="V38" s="53">
        <v>0.32</v>
      </c>
      <c r="W38" s="47"/>
      <c r="X38" s="65"/>
      <c r="Y38" s="52" t="s">
        <v>47</v>
      </c>
      <c r="Z38" s="53">
        <v>0.45</v>
      </c>
      <c r="AA38" s="53">
        <v>0.54</v>
      </c>
      <c r="AB38" s="53">
        <v>0.66</v>
      </c>
      <c r="AC38" s="53">
        <v>0.63</v>
      </c>
      <c r="AD38" s="53">
        <v>0.45</v>
      </c>
      <c r="AE38" s="53">
        <v>0.12</v>
      </c>
      <c r="AF38" s="53">
        <v>0.13</v>
      </c>
      <c r="AG38" s="53">
        <v>0.34</v>
      </c>
      <c r="AH38" s="53">
        <v>0.4</v>
      </c>
      <c r="AI38" s="53">
        <v>0.36</v>
      </c>
    </row>
    <row r="39" spans="2:35" ht="21" hidden="1">
      <c r="B39" s="65"/>
      <c r="C39" s="52" t="s">
        <v>48</v>
      </c>
      <c r="D39" s="53">
        <v>0.28000000000000003</v>
      </c>
      <c r="E39" s="53">
        <v>0.28000000000000003</v>
      </c>
      <c r="F39" s="53">
        <v>0.37</v>
      </c>
      <c r="G39" s="53">
        <v>0.34</v>
      </c>
      <c r="H39" s="53">
        <v>0.35</v>
      </c>
      <c r="I39" s="47"/>
      <c r="J39" s="47"/>
      <c r="K39" s="65"/>
      <c r="L39" s="52" t="s">
        <v>48</v>
      </c>
      <c r="M39" s="53">
        <v>0.71</v>
      </c>
      <c r="N39" s="53">
        <v>0.67</v>
      </c>
      <c r="O39" s="53">
        <v>0.56999999999999995</v>
      </c>
      <c r="P39" s="53">
        <v>0.41</v>
      </c>
      <c r="Q39" s="53">
        <v>0.4</v>
      </c>
      <c r="R39" s="54">
        <v>7.0000000000000007E-2</v>
      </c>
      <c r="S39" s="53">
        <v>0.22</v>
      </c>
      <c r="T39" s="53">
        <v>0.25</v>
      </c>
      <c r="U39" s="53">
        <v>0.22</v>
      </c>
      <c r="V39" s="53">
        <v>0.33</v>
      </c>
      <c r="W39" s="47"/>
      <c r="X39" s="65"/>
      <c r="Y39" s="52" t="s">
        <v>48</v>
      </c>
      <c r="Z39" s="53">
        <v>0.53</v>
      </c>
      <c r="AA39" s="53">
        <v>0.66</v>
      </c>
      <c r="AB39" s="53">
        <v>0.62</v>
      </c>
      <c r="AC39" s="53">
        <v>0.51</v>
      </c>
      <c r="AD39" s="53">
        <v>0.41</v>
      </c>
      <c r="AE39" s="53">
        <v>0.13</v>
      </c>
      <c r="AF39" s="53">
        <v>0.34</v>
      </c>
      <c r="AG39" s="53">
        <v>0.38</v>
      </c>
      <c r="AH39" s="53">
        <v>0.41</v>
      </c>
      <c r="AI39" s="53">
        <v>0.35</v>
      </c>
    </row>
    <row r="40" spans="2:35" ht="21" hidden="1">
      <c r="B40" s="65"/>
      <c r="C40" s="52" t="s">
        <v>49</v>
      </c>
      <c r="D40" s="53">
        <v>0.26</v>
      </c>
      <c r="E40" s="53">
        <v>0.35</v>
      </c>
      <c r="F40" s="53">
        <v>0.35</v>
      </c>
      <c r="G40" s="53">
        <v>0.35</v>
      </c>
      <c r="H40" s="53">
        <v>0.35</v>
      </c>
      <c r="I40" s="47"/>
      <c r="J40" s="47"/>
      <c r="K40" s="65"/>
      <c r="L40" s="52" t="s">
        <v>49</v>
      </c>
      <c r="M40" s="53">
        <v>0.63</v>
      </c>
      <c r="N40" s="53">
        <v>0.59</v>
      </c>
      <c r="O40" s="53">
        <v>0.39</v>
      </c>
      <c r="P40" s="53">
        <v>0.33</v>
      </c>
      <c r="Q40" s="53">
        <v>0.43</v>
      </c>
      <c r="R40" s="54">
        <v>7.0000000000000007E-2</v>
      </c>
      <c r="S40" s="53">
        <v>0.28000000000000003</v>
      </c>
      <c r="T40" s="53">
        <v>0.18</v>
      </c>
      <c r="U40" s="53">
        <v>0.23</v>
      </c>
      <c r="V40" s="53">
        <v>0.4</v>
      </c>
      <c r="W40" s="47"/>
      <c r="X40" s="65"/>
      <c r="Y40" s="52" t="s">
        <v>49</v>
      </c>
      <c r="Z40" s="53">
        <v>0.64</v>
      </c>
      <c r="AA40" s="53">
        <v>0.69</v>
      </c>
      <c r="AB40" s="53">
        <v>0.41</v>
      </c>
      <c r="AC40" s="53">
        <v>0.39</v>
      </c>
      <c r="AD40" s="53">
        <v>0.47</v>
      </c>
      <c r="AE40" s="53">
        <v>0.22</v>
      </c>
      <c r="AF40" s="53">
        <v>0.5</v>
      </c>
      <c r="AG40" s="53">
        <v>0.28000000000000003</v>
      </c>
      <c r="AH40" s="53">
        <v>0.34</v>
      </c>
      <c r="AI40" s="53">
        <v>0.44</v>
      </c>
    </row>
    <row r="41" spans="2:35" ht="21" hidden="1">
      <c r="B41" s="66"/>
      <c r="C41" s="52" t="s">
        <v>50</v>
      </c>
      <c r="D41" s="53">
        <v>0.35</v>
      </c>
      <c r="E41" s="53">
        <v>0.36</v>
      </c>
      <c r="F41" s="53">
        <v>0.35</v>
      </c>
      <c r="G41" s="53">
        <v>0.35</v>
      </c>
      <c r="H41" s="53">
        <v>0.34</v>
      </c>
      <c r="I41" s="47"/>
      <c r="J41" s="47"/>
      <c r="K41" s="66"/>
      <c r="L41" s="52" t="s">
        <v>50</v>
      </c>
      <c r="M41" s="53">
        <v>0.59</v>
      </c>
      <c r="N41" s="53">
        <v>0.4</v>
      </c>
      <c r="O41" s="53">
        <v>0.26</v>
      </c>
      <c r="P41" s="53">
        <v>0.3</v>
      </c>
      <c r="Q41" s="53">
        <v>0.61</v>
      </c>
      <c r="R41" s="53">
        <v>0.28999999999999998</v>
      </c>
      <c r="S41" s="53">
        <v>0.22</v>
      </c>
      <c r="T41" s="53">
        <v>0.14000000000000001</v>
      </c>
      <c r="U41" s="53">
        <v>0.24</v>
      </c>
      <c r="V41" s="53">
        <v>0.6</v>
      </c>
      <c r="W41" s="47"/>
      <c r="X41" s="66"/>
      <c r="Y41" s="52" t="s">
        <v>50</v>
      </c>
      <c r="Z41" s="53">
        <v>0.64</v>
      </c>
      <c r="AA41" s="53">
        <v>0.28999999999999998</v>
      </c>
      <c r="AB41" s="53">
        <v>0.26</v>
      </c>
      <c r="AC41" s="53">
        <v>0.39</v>
      </c>
      <c r="AD41" s="53">
        <v>0.61</v>
      </c>
      <c r="AE41" s="53">
        <v>0.42</v>
      </c>
      <c r="AF41" s="53">
        <v>0.15</v>
      </c>
      <c r="AG41" s="53">
        <v>0.17</v>
      </c>
      <c r="AH41" s="53">
        <v>0.35</v>
      </c>
      <c r="AI41" s="53">
        <v>0.6</v>
      </c>
    </row>
    <row r="44" spans="2:35" ht="21.6" thickBot="1">
      <c r="K44" s="80" t="s">
        <v>54</v>
      </c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</row>
    <row r="45" spans="2:35" ht="20.25" customHeight="1">
      <c r="B45" s="70" t="s">
        <v>36</v>
      </c>
      <c r="C45" s="71"/>
      <c r="D45" s="71"/>
      <c r="E45" s="71"/>
      <c r="F45" s="71"/>
      <c r="G45" s="71"/>
      <c r="H45" s="72"/>
      <c r="I45" s="47"/>
      <c r="J45" s="47"/>
      <c r="K45" s="77" t="s">
        <v>37</v>
      </c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9"/>
      <c r="W45" s="47"/>
      <c r="X45" s="77" t="s">
        <v>38</v>
      </c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9"/>
    </row>
    <row r="46" spans="2:35" ht="20.25" customHeight="1" thickBot="1">
      <c r="B46" s="73"/>
      <c r="C46" s="75"/>
      <c r="D46" s="67" t="s">
        <v>39</v>
      </c>
      <c r="E46" s="67" t="s">
        <v>40</v>
      </c>
      <c r="F46" s="67" t="s">
        <v>41</v>
      </c>
      <c r="G46" s="67" t="s">
        <v>42</v>
      </c>
      <c r="H46" s="67" t="s">
        <v>43</v>
      </c>
      <c r="I46" s="47"/>
      <c r="J46" s="47"/>
      <c r="K46" s="56"/>
      <c r="L46" s="57"/>
      <c r="M46" s="81" t="s">
        <v>44</v>
      </c>
      <c r="N46" s="81"/>
      <c r="O46" s="81"/>
      <c r="P46" s="81"/>
      <c r="Q46" s="81"/>
      <c r="R46" s="81" t="s">
        <v>45</v>
      </c>
      <c r="S46" s="81"/>
      <c r="T46" s="81"/>
      <c r="U46" s="81"/>
      <c r="V46" s="82"/>
      <c r="W46" s="47"/>
      <c r="X46" s="56"/>
      <c r="Y46" s="57"/>
      <c r="Z46" s="81" t="s">
        <v>44</v>
      </c>
      <c r="AA46" s="81"/>
      <c r="AB46" s="81"/>
      <c r="AC46" s="81"/>
      <c r="AD46" s="81"/>
      <c r="AE46" s="81" t="s">
        <v>45</v>
      </c>
      <c r="AF46" s="81"/>
      <c r="AG46" s="81"/>
      <c r="AH46" s="81"/>
      <c r="AI46" s="82"/>
    </row>
    <row r="47" spans="2:35" ht="42">
      <c r="B47" s="74"/>
      <c r="C47" s="76"/>
      <c r="D47" s="68"/>
      <c r="E47" s="68"/>
      <c r="F47" s="68"/>
      <c r="G47" s="68"/>
      <c r="H47" s="68"/>
      <c r="I47" s="47"/>
      <c r="J47" s="47"/>
      <c r="K47" s="50"/>
      <c r="L47" s="51"/>
      <c r="M47" s="52" t="s">
        <v>39</v>
      </c>
      <c r="N47" s="52" t="s">
        <v>40</v>
      </c>
      <c r="O47" s="52" t="s">
        <v>41</v>
      </c>
      <c r="P47" s="52" t="s">
        <v>42</v>
      </c>
      <c r="Q47" s="52" t="s">
        <v>43</v>
      </c>
      <c r="R47" s="52" t="s">
        <v>39</v>
      </c>
      <c r="S47" s="52" t="s">
        <v>40</v>
      </c>
      <c r="T47" s="52" t="s">
        <v>41</v>
      </c>
      <c r="U47" s="52" t="s">
        <v>42</v>
      </c>
      <c r="V47" s="52" t="s">
        <v>43</v>
      </c>
      <c r="W47" s="47"/>
      <c r="X47" s="50"/>
      <c r="Y47" s="51"/>
      <c r="Z47" s="52" t="s">
        <v>39</v>
      </c>
      <c r="AA47" s="52" t="s">
        <v>40</v>
      </c>
      <c r="AB47" s="52" t="s">
        <v>41</v>
      </c>
      <c r="AC47" s="52" t="s">
        <v>42</v>
      </c>
      <c r="AD47" s="52" t="s">
        <v>43</v>
      </c>
      <c r="AE47" s="52" t="s">
        <v>39</v>
      </c>
      <c r="AF47" s="52" t="s">
        <v>40</v>
      </c>
      <c r="AG47" s="52" t="s">
        <v>41</v>
      </c>
      <c r="AH47" s="52" t="s">
        <v>42</v>
      </c>
      <c r="AI47" s="52" t="s">
        <v>43</v>
      </c>
    </row>
    <row r="48" spans="2:35" ht="21">
      <c r="B48" s="64" t="s">
        <v>46</v>
      </c>
      <c r="C48" s="52" t="s">
        <v>0</v>
      </c>
      <c r="D48" s="53">
        <v>0.2</v>
      </c>
      <c r="E48" s="53">
        <v>0.18</v>
      </c>
      <c r="F48" s="53">
        <v>0.17</v>
      </c>
      <c r="G48" s="53">
        <v>0.19</v>
      </c>
      <c r="H48" s="53">
        <v>0.21</v>
      </c>
      <c r="I48" s="47"/>
      <c r="J48" s="47"/>
      <c r="K48" s="64" t="s">
        <v>46</v>
      </c>
      <c r="L48" s="52" t="s">
        <v>0</v>
      </c>
      <c r="M48" s="53">
        <v>0.23</v>
      </c>
      <c r="N48" s="53">
        <v>0.21</v>
      </c>
      <c r="O48" s="53">
        <v>0.17</v>
      </c>
      <c r="P48" s="53">
        <v>0.18</v>
      </c>
      <c r="Q48" s="53">
        <v>0.19</v>
      </c>
      <c r="R48" s="52" t="e">
        <v>#DIV/0!</v>
      </c>
      <c r="S48" s="52" t="e">
        <v>#DIV/0!</v>
      </c>
      <c r="T48" s="52" t="e">
        <v>#DIV/0!</v>
      </c>
      <c r="U48" s="52" t="e">
        <v>#DIV/0!</v>
      </c>
      <c r="V48" s="52" t="e">
        <v>#DIV/0!</v>
      </c>
      <c r="W48" s="47"/>
      <c r="X48" s="64" t="s">
        <v>46</v>
      </c>
      <c r="Y48" s="52" t="s">
        <v>0</v>
      </c>
      <c r="Z48" s="53">
        <v>0.25</v>
      </c>
      <c r="AA48" s="53">
        <v>0.21</v>
      </c>
      <c r="AB48" s="53">
        <v>0.2</v>
      </c>
      <c r="AC48" s="53">
        <v>0.2</v>
      </c>
      <c r="AD48" s="53">
        <v>0.2</v>
      </c>
      <c r="AE48" s="52" t="e">
        <v>#DIV/0!</v>
      </c>
      <c r="AF48" s="52" t="e">
        <v>#DIV/0!</v>
      </c>
      <c r="AG48" s="52" t="e">
        <v>#DIV/0!</v>
      </c>
      <c r="AH48" s="52" t="e">
        <v>#DIV/0!</v>
      </c>
      <c r="AI48" s="52" t="e">
        <v>#DIV/0!</v>
      </c>
    </row>
    <row r="49" spans="2:35" ht="21">
      <c r="B49" s="65"/>
      <c r="C49" s="52" t="s">
        <v>1</v>
      </c>
      <c r="D49" s="53">
        <v>0.18</v>
      </c>
      <c r="E49" s="53">
        <v>0.18</v>
      </c>
      <c r="F49" s="53">
        <v>0.19</v>
      </c>
      <c r="G49" s="53">
        <v>0.21</v>
      </c>
      <c r="H49" s="53">
        <v>0.24</v>
      </c>
      <c r="I49" s="47"/>
      <c r="J49" s="47"/>
      <c r="K49" s="65"/>
      <c r="L49" s="52" t="s">
        <v>1</v>
      </c>
      <c r="M49" s="53">
        <v>0.17</v>
      </c>
      <c r="N49" s="53">
        <v>0.17</v>
      </c>
      <c r="O49" s="53">
        <v>0.18</v>
      </c>
      <c r="P49" s="53">
        <v>0.19</v>
      </c>
      <c r="Q49" s="53">
        <v>0.18</v>
      </c>
      <c r="R49" s="52" t="e">
        <v>#DIV/0!</v>
      </c>
      <c r="S49" s="52" t="e">
        <v>#DIV/0!</v>
      </c>
      <c r="T49" s="52" t="e">
        <v>#DIV/0!</v>
      </c>
      <c r="U49" s="52" t="e">
        <v>#DIV/0!</v>
      </c>
      <c r="V49" s="52" t="e">
        <v>#DIV/0!</v>
      </c>
      <c r="W49" s="47"/>
      <c r="X49" s="65"/>
      <c r="Y49" s="52" t="s">
        <v>1</v>
      </c>
      <c r="Z49" s="53">
        <v>0.21</v>
      </c>
      <c r="AA49" s="53">
        <v>0.19</v>
      </c>
      <c r="AB49" s="53">
        <v>0.2</v>
      </c>
      <c r="AC49" s="53">
        <v>0.19</v>
      </c>
      <c r="AD49" s="53">
        <v>0.17</v>
      </c>
      <c r="AE49" s="52" t="e">
        <v>#DIV/0!</v>
      </c>
      <c r="AF49" s="52" t="e">
        <v>#DIV/0!</v>
      </c>
      <c r="AG49" s="52" t="e">
        <v>#DIV/0!</v>
      </c>
      <c r="AH49" s="52" t="e">
        <v>#DIV/0!</v>
      </c>
      <c r="AI49" s="52" t="e">
        <v>#DIV/0!</v>
      </c>
    </row>
    <row r="50" spans="2:35" ht="21">
      <c r="B50" s="65"/>
      <c r="C50" s="52" t="s">
        <v>2</v>
      </c>
      <c r="D50" s="53">
        <v>0.18</v>
      </c>
      <c r="E50" s="53">
        <v>0.19</v>
      </c>
      <c r="F50" s="53">
        <v>0.21</v>
      </c>
      <c r="G50" s="53">
        <v>0.27</v>
      </c>
      <c r="H50" s="53">
        <v>0.26</v>
      </c>
      <c r="I50" s="47"/>
      <c r="J50" s="47"/>
      <c r="K50" s="65"/>
      <c r="L50" s="52" t="s">
        <v>2</v>
      </c>
      <c r="M50" s="53">
        <v>0.17</v>
      </c>
      <c r="N50" s="53">
        <v>0.18</v>
      </c>
      <c r="O50" s="53">
        <v>0.19</v>
      </c>
      <c r="P50" s="53">
        <v>0.18</v>
      </c>
      <c r="Q50" s="53">
        <v>0.18</v>
      </c>
      <c r="R50" s="52" t="e">
        <v>#DIV/0!</v>
      </c>
      <c r="S50" s="52" t="e">
        <v>#DIV/0!</v>
      </c>
      <c r="T50" s="52" t="e">
        <v>#DIV/0!</v>
      </c>
      <c r="U50" s="52" t="e">
        <v>#DIV/0!</v>
      </c>
      <c r="V50" s="52" t="e">
        <v>#DIV/0!</v>
      </c>
      <c r="W50" s="47"/>
      <c r="X50" s="65"/>
      <c r="Y50" s="52" t="s">
        <v>2</v>
      </c>
      <c r="Z50" s="53">
        <v>0.2</v>
      </c>
      <c r="AA50" s="53">
        <v>0.2</v>
      </c>
      <c r="AB50" s="53">
        <v>0.19</v>
      </c>
      <c r="AC50" s="53">
        <v>0.17</v>
      </c>
      <c r="AD50" s="53">
        <v>0.13</v>
      </c>
      <c r="AE50" s="52" t="e">
        <v>#DIV/0!</v>
      </c>
      <c r="AF50" s="52" t="e">
        <v>#DIV/0!</v>
      </c>
      <c r="AG50" s="52" t="e">
        <v>#DIV/0!</v>
      </c>
      <c r="AH50" s="52" t="e">
        <v>#DIV/0!</v>
      </c>
      <c r="AI50" s="52" t="e">
        <v>#DIV/0!</v>
      </c>
    </row>
    <row r="51" spans="2:35" ht="21">
      <c r="B51" s="65"/>
      <c r="C51" s="52" t="s">
        <v>3</v>
      </c>
      <c r="D51" s="53">
        <v>0.2</v>
      </c>
      <c r="E51" s="53">
        <v>0.21</v>
      </c>
      <c r="F51" s="53">
        <v>0.25</v>
      </c>
      <c r="G51" s="53">
        <v>0.28999999999999998</v>
      </c>
      <c r="H51" s="53">
        <v>0.41</v>
      </c>
      <c r="I51" s="47"/>
      <c r="J51" s="47"/>
      <c r="K51" s="65"/>
      <c r="L51" s="52" t="s">
        <v>3</v>
      </c>
      <c r="M51" s="53">
        <v>0.18</v>
      </c>
      <c r="N51" s="53">
        <v>0.19</v>
      </c>
      <c r="O51" s="53">
        <v>0.19</v>
      </c>
      <c r="P51" s="53">
        <v>0.18</v>
      </c>
      <c r="Q51" s="53">
        <v>0.23</v>
      </c>
      <c r="R51" s="52" t="e">
        <v>#DIV/0!</v>
      </c>
      <c r="S51" s="52" t="e">
        <v>#DIV/0!</v>
      </c>
      <c r="T51" s="52" t="e">
        <v>#DIV/0!</v>
      </c>
      <c r="U51" s="52" t="e">
        <v>#DIV/0!</v>
      </c>
      <c r="V51" s="52" t="e">
        <v>#DIV/0!</v>
      </c>
      <c r="W51" s="47"/>
      <c r="X51" s="65"/>
      <c r="Y51" s="52" t="s">
        <v>3</v>
      </c>
      <c r="Z51" s="53">
        <v>0.2</v>
      </c>
      <c r="AA51" s="53">
        <v>0.18</v>
      </c>
      <c r="AB51" s="53">
        <v>0.17</v>
      </c>
      <c r="AC51" s="53">
        <v>0.12</v>
      </c>
      <c r="AD51" s="54">
        <v>0.05</v>
      </c>
      <c r="AE51" s="52" t="e">
        <v>#DIV/0!</v>
      </c>
      <c r="AF51" s="52" t="e">
        <v>#DIV/0!</v>
      </c>
      <c r="AG51" s="52" t="e">
        <v>#DIV/0!</v>
      </c>
      <c r="AH51" s="52" t="e">
        <v>#DIV/0!</v>
      </c>
      <c r="AI51" s="52" t="e">
        <v>#DIV/0!</v>
      </c>
    </row>
    <row r="52" spans="2:35" ht="21">
      <c r="B52" s="65"/>
      <c r="C52" s="52" t="s">
        <v>4</v>
      </c>
      <c r="D52" s="53">
        <v>0.21</v>
      </c>
      <c r="E52" s="53">
        <v>0.24</v>
      </c>
      <c r="F52" s="53">
        <v>0.28999999999999998</v>
      </c>
      <c r="G52" s="53">
        <v>0.42</v>
      </c>
      <c r="H52" s="53">
        <v>0.44</v>
      </c>
      <c r="I52" s="47"/>
      <c r="J52" s="47"/>
      <c r="K52" s="65"/>
      <c r="L52" s="52" t="s">
        <v>4</v>
      </c>
      <c r="M52" s="53">
        <v>0.19</v>
      </c>
      <c r="N52" s="53">
        <v>0.19</v>
      </c>
      <c r="O52" s="53">
        <v>0.18</v>
      </c>
      <c r="P52" s="53">
        <v>0.22</v>
      </c>
      <c r="Q52" s="53">
        <v>0.26</v>
      </c>
      <c r="R52" s="52" t="e">
        <v>#DIV/0!</v>
      </c>
      <c r="S52" s="52" t="e">
        <v>#DIV/0!</v>
      </c>
      <c r="T52" s="52" t="e">
        <v>#DIV/0!</v>
      </c>
      <c r="U52" s="52" t="e">
        <v>#DIV/0!</v>
      </c>
      <c r="V52" s="52" t="e">
        <v>#DIV/0!</v>
      </c>
      <c r="W52" s="47"/>
      <c r="X52" s="65"/>
      <c r="Y52" s="52" t="s">
        <v>4</v>
      </c>
      <c r="Z52" s="53">
        <v>0.18</v>
      </c>
      <c r="AA52" s="53">
        <v>0.17</v>
      </c>
      <c r="AB52" s="53">
        <v>0.11</v>
      </c>
      <c r="AC52" s="54">
        <v>0.04</v>
      </c>
      <c r="AD52" s="53">
        <v>0.11</v>
      </c>
      <c r="AE52" s="52" t="e">
        <v>#DIV/0!</v>
      </c>
      <c r="AF52" s="52" t="e">
        <v>#DIV/0!</v>
      </c>
      <c r="AG52" s="52" t="e">
        <v>#DIV/0!</v>
      </c>
      <c r="AH52" s="52" t="e">
        <v>#DIV/0!</v>
      </c>
      <c r="AI52" s="52" t="e">
        <v>#DIV/0!</v>
      </c>
    </row>
    <row r="53" spans="2:35" ht="21">
      <c r="B53" s="65"/>
      <c r="C53" s="52" t="s">
        <v>47</v>
      </c>
      <c r="D53" s="53">
        <v>0.2</v>
      </c>
      <c r="E53" s="53">
        <v>0.28999999999999998</v>
      </c>
      <c r="F53" s="53">
        <v>0.42</v>
      </c>
      <c r="G53" s="53">
        <v>0.42</v>
      </c>
      <c r="H53" s="53">
        <v>0.44</v>
      </c>
      <c r="I53" s="47"/>
      <c r="J53" s="47"/>
      <c r="K53" s="65"/>
      <c r="L53" s="52" t="s">
        <v>47</v>
      </c>
      <c r="M53" s="53">
        <v>0.18</v>
      </c>
      <c r="N53" s="53">
        <v>0.18</v>
      </c>
      <c r="O53" s="53">
        <v>0.22</v>
      </c>
      <c r="P53" s="53">
        <v>0.25</v>
      </c>
      <c r="Q53" s="58">
        <v>-0.34</v>
      </c>
      <c r="R53" s="52" t="e">
        <v>#DIV/0!</v>
      </c>
      <c r="S53" s="52" t="e">
        <v>#DIV/0!</v>
      </c>
      <c r="T53" s="52" t="e">
        <v>#DIV/0!</v>
      </c>
      <c r="U53" s="52" t="e">
        <v>#DIV/0!</v>
      </c>
      <c r="V53" s="52" t="e">
        <v>#DIV/0!</v>
      </c>
      <c r="W53" s="47"/>
      <c r="X53" s="65"/>
      <c r="Y53" s="52" t="s">
        <v>47</v>
      </c>
      <c r="Z53" s="53">
        <v>0.18</v>
      </c>
      <c r="AA53" s="53">
        <v>0.11</v>
      </c>
      <c r="AB53" s="54">
        <v>0.02</v>
      </c>
      <c r="AC53" s="54">
        <v>0.09</v>
      </c>
      <c r="AD53" s="58">
        <v>-0.32</v>
      </c>
      <c r="AE53" s="52" t="e">
        <v>#DIV/0!</v>
      </c>
      <c r="AF53" s="52" t="e">
        <v>#DIV/0!</v>
      </c>
      <c r="AG53" s="52" t="e">
        <v>#DIV/0!</v>
      </c>
      <c r="AH53" s="52" t="e">
        <v>#DIV/0!</v>
      </c>
      <c r="AI53" s="52" t="e">
        <v>#DIV/0!</v>
      </c>
    </row>
    <row r="54" spans="2:35" ht="21">
      <c r="B54" s="65"/>
      <c r="C54" s="52" t="s">
        <v>48</v>
      </c>
      <c r="D54" s="54">
        <v>0.05</v>
      </c>
      <c r="E54" s="53">
        <v>0.32</v>
      </c>
      <c r="F54" s="53">
        <v>0.42</v>
      </c>
      <c r="G54" s="53">
        <v>0.42</v>
      </c>
      <c r="H54" s="53">
        <v>0.43</v>
      </c>
      <c r="I54" s="47"/>
      <c r="J54" s="47"/>
      <c r="K54" s="65"/>
      <c r="L54" s="52" t="s">
        <v>48</v>
      </c>
      <c r="M54" s="53">
        <v>0.16</v>
      </c>
      <c r="N54" s="53">
        <v>0.3</v>
      </c>
      <c r="O54" s="53">
        <v>0.25</v>
      </c>
      <c r="P54" s="58">
        <v>-0.33</v>
      </c>
      <c r="Q54" s="58">
        <v>-0.49</v>
      </c>
      <c r="R54" s="52" t="e">
        <v>#DIV/0!</v>
      </c>
      <c r="S54" s="52" t="e">
        <v>#DIV/0!</v>
      </c>
      <c r="T54" s="52" t="e">
        <v>#DIV/0!</v>
      </c>
      <c r="U54" s="52" t="e">
        <v>#DIV/0!</v>
      </c>
      <c r="V54" s="52" t="e">
        <v>#DIV/0!</v>
      </c>
      <c r="W54" s="47"/>
      <c r="X54" s="65"/>
      <c r="Y54" s="52" t="s">
        <v>48</v>
      </c>
      <c r="Z54" s="53">
        <v>0.2</v>
      </c>
      <c r="AA54" s="53">
        <v>0.16</v>
      </c>
      <c r="AB54" s="54">
        <v>0.09</v>
      </c>
      <c r="AC54" s="58">
        <v>-0.32</v>
      </c>
      <c r="AD54" s="58">
        <v>-0.47</v>
      </c>
      <c r="AE54" s="52" t="e">
        <v>#DIV/0!</v>
      </c>
      <c r="AF54" s="52" t="e">
        <v>#DIV/0!</v>
      </c>
      <c r="AG54" s="52" t="e">
        <v>#DIV/0!</v>
      </c>
      <c r="AH54" s="52" t="e">
        <v>#DIV/0!</v>
      </c>
      <c r="AI54" s="52" t="e">
        <v>#DIV/0!</v>
      </c>
    </row>
    <row r="55" spans="2:35" ht="21">
      <c r="B55" s="65"/>
      <c r="C55" s="52" t="s">
        <v>49</v>
      </c>
      <c r="D55" s="54">
        <v>0.05</v>
      </c>
      <c r="E55" s="53">
        <v>0.32</v>
      </c>
      <c r="F55" s="53">
        <v>0.43</v>
      </c>
      <c r="G55" s="53">
        <v>0.42</v>
      </c>
      <c r="H55" s="53">
        <v>0.43</v>
      </c>
      <c r="I55" s="47"/>
      <c r="J55" s="47"/>
      <c r="K55" s="65"/>
      <c r="L55" s="52" t="s">
        <v>49</v>
      </c>
      <c r="M55" s="53">
        <v>0.11</v>
      </c>
      <c r="N55" s="53">
        <v>0.31</v>
      </c>
      <c r="O55" s="58">
        <v>-0.3</v>
      </c>
      <c r="P55" s="58">
        <v>-0.47</v>
      </c>
      <c r="Q55" s="55">
        <v>-0.59</v>
      </c>
      <c r="R55" s="52" t="e">
        <v>#DIV/0!</v>
      </c>
      <c r="S55" s="52" t="e">
        <v>#DIV/0!</v>
      </c>
      <c r="T55" s="52" t="e">
        <v>#DIV/0!</v>
      </c>
      <c r="U55" s="52" t="e">
        <v>#DIV/0!</v>
      </c>
      <c r="V55" s="52" t="e">
        <v>#DIV/0!</v>
      </c>
      <c r="W55" s="47"/>
      <c r="X55" s="65"/>
      <c r="Y55" s="52" t="s">
        <v>49</v>
      </c>
      <c r="Z55" s="53">
        <v>0.16</v>
      </c>
      <c r="AA55" s="53">
        <v>0.21</v>
      </c>
      <c r="AB55" s="58">
        <v>-0.27</v>
      </c>
      <c r="AC55" s="58">
        <v>-0.42</v>
      </c>
      <c r="AD55" s="55">
        <v>-0.61</v>
      </c>
      <c r="AE55" s="52" t="e">
        <v>#DIV/0!</v>
      </c>
      <c r="AF55" s="52" t="e">
        <v>#DIV/0!</v>
      </c>
      <c r="AG55" s="52" t="e">
        <v>#DIV/0!</v>
      </c>
      <c r="AH55" s="52" t="e">
        <v>#DIV/0!</v>
      </c>
      <c r="AI55" s="52" t="e">
        <v>#DIV/0!</v>
      </c>
    </row>
    <row r="56" spans="2:35" ht="21">
      <c r="B56" s="66"/>
      <c r="C56" s="52" t="s">
        <v>50</v>
      </c>
      <c r="D56" s="54">
        <v>0.05</v>
      </c>
      <c r="E56" s="53">
        <v>0.32</v>
      </c>
      <c r="F56" s="53">
        <v>0.42</v>
      </c>
      <c r="G56" s="53">
        <v>0.42</v>
      </c>
      <c r="H56" s="53">
        <v>0.42</v>
      </c>
      <c r="I56" s="47"/>
      <c r="J56" s="47"/>
      <c r="K56" s="66"/>
      <c r="L56" s="52" t="s">
        <v>50</v>
      </c>
      <c r="M56" s="54">
        <v>0.08</v>
      </c>
      <c r="N56" s="53">
        <v>0.38</v>
      </c>
      <c r="O56" s="58">
        <v>-0.33</v>
      </c>
      <c r="P56" s="55">
        <v>-0.51</v>
      </c>
      <c r="Q56" s="55">
        <v>-0.55000000000000004</v>
      </c>
      <c r="R56" s="52" t="e">
        <v>#DIV/0!</v>
      </c>
      <c r="S56" s="52" t="e">
        <v>#DIV/0!</v>
      </c>
      <c r="T56" s="52" t="e">
        <v>#DIV/0!</v>
      </c>
      <c r="U56" s="52" t="e">
        <v>#DIV/0!</v>
      </c>
      <c r="V56" s="52" t="e">
        <v>#DIV/0!</v>
      </c>
      <c r="W56" s="47"/>
      <c r="X56" s="66"/>
      <c r="Y56" s="52" t="s">
        <v>50</v>
      </c>
      <c r="Z56" s="53">
        <v>0.12</v>
      </c>
      <c r="AA56" s="53">
        <v>0.32</v>
      </c>
      <c r="AB56" s="58">
        <v>-0.23</v>
      </c>
      <c r="AC56" s="55">
        <v>-0.35</v>
      </c>
      <c r="AD56" s="55">
        <v>-0.4</v>
      </c>
      <c r="AE56" s="52" t="e">
        <v>#DIV/0!</v>
      </c>
      <c r="AF56" s="52" t="e">
        <v>#DIV/0!</v>
      </c>
      <c r="AG56" s="52" t="e">
        <v>#DIV/0!</v>
      </c>
      <c r="AH56" s="52" t="e">
        <v>#DIV/0!</v>
      </c>
      <c r="AI56" s="52" t="s">
        <v>55</v>
      </c>
    </row>
    <row r="59" spans="2:35" ht="21.6" thickBot="1">
      <c r="K59" s="80" t="s">
        <v>56</v>
      </c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</row>
    <row r="60" spans="2:35" ht="20.25" customHeight="1">
      <c r="B60" s="70" t="s">
        <v>36</v>
      </c>
      <c r="C60" s="71"/>
      <c r="D60" s="71"/>
      <c r="E60" s="71"/>
      <c r="F60" s="71"/>
      <c r="G60" s="71"/>
      <c r="H60" s="72"/>
      <c r="I60" s="47"/>
      <c r="J60" s="47"/>
      <c r="K60" s="70" t="s">
        <v>37</v>
      </c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47"/>
      <c r="X60" s="70" t="s">
        <v>38</v>
      </c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</row>
    <row r="61" spans="2:35" ht="20.25" customHeight="1">
      <c r="B61" s="73"/>
      <c r="C61" s="75"/>
      <c r="D61" s="67" t="s">
        <v>39</v>
      </c>
      <c r="E61" s="67" t="s">
        <v>40</v>
      </c>
      <c r="F61" s="67" t="s">
        <v>41</v>
      </c>
      <c r="G61" s="67" t="s">
        <v>42</v>
      </c>
      <c r="H61" s="67" t="s">
        <v>43</v>
      </c>
      <c r="I61" s="47"/>
      <c r="J61" s="47"/>
      <c r="K61" s="48"/>
      <c r="L61" s="49"/>
      <c r="M61" s="69" t="s">
        <v>44</v>
      </c>
      <c r="N61" s="69"/>
      <c r="O61" s="69"/>
      <c r="P61" s="69"/>
      <c r="Q61" s="69"/>
      <c r="R61" s="69" t="s">
        <v>45</v>
      </c>
      <c r="S61" s="69"/>
      <c r="T61" s="69"/>
      <c r="U61" s="69"/>
      <c r="V61" s="69"/>
      <c r="W61" s="47"/>
      <c r="X61" s="48"/>
      <c r="Y61" s="49"/>
      <c r="Z61" s="69" t="s">
        <v>44</v>
      </c>
      <c r="AA61" s="69"/>
      <c r="AB61" s="69"/>
      <c r="AC61" s="69"/>
      <c r="AD61" s="69"/>
      <c r="AE61" s="69" t="s">
        <v>45</v>
      </c>
      <c r="AF61" s="69"/>
      <c r="AG61" s="69"/>
      <c r="AH61" s="69"/>
      <c r="AI61" s="69"/>
    </row>
    <row r="62" spans="2:35" ht="42">
      <c r="B62" s="74"/>
      <c r="C62" s="76"/>
      <c r="D62" s="68"/>
      <c r="E62" s="68"/>
      <c r="F62" s="68"/>
      <c r="G62" s="68"/>
      <c r="H62" s="68"/>
      <c r="I62" s="47"/>
      <c r="J62" s="47"/>
      <c r="K62" s="50"/>
      <c r="L62" s="51"/>
      <c r="M62" s="52" t="s">
        <v>39</v>
      </c>
      <c r="N62" s="52" t="s">
        <v>40</v>
      </c>
      <c r="O62" s="52" t="s">
        <v>41</v>
      </c>
      <c r="P62" s="52" t="s">
        <v>42</v>
      </c>
      <c r="Q62" s="52" t="s">
        <v>43</v>
      </c>
      <c r="R62" s="52" t="s">
        <v>39</v>
      </c>
      <c r="S62" s="52" t="s">
        <v>40</v>
      </c>
      <c r="T62" s="52" t="s">
        <v>41</v>
      </c>
      <c r="U62" s="52" t="s">
        <v>42</v>
      </c>
      <c r="V62" s="52" t="s">
        <v>43</v>
      </c>
      <c r="W62" s="47"/>
      <c r="X62" s="50"/>
      <c r="Y62" s="51"/>
      <c r="Z62" s="52" t="s">
        <v>39</v>
      </c>
      <c r="AA62" s="52" t="s">
        <v>40</v>
      </c>
      <c r="AB62" s="52" t="s">
        <v>41</v>
      </c>
      <c r="AC62" s="52" t="s">
        <v>42</v>
      </c>
      <c r="AD62" s="52" t="s">
        <v>43</v>
      </c>
      <c r="AE62" s="52" t="s">
        <v>39</v>
      </c>
      <c r="AF62" s="52" t="s">
        <v>40</v>
      </c>
      <c r="AG62" s="52" t="s">
        <v>41</v>
      </c>
      <c r="AH62" s="52" t="s">
        <v>42</v>
      </c>
      <c r="AI62" s="52" t="s">
        <v>43</v>
      </c>
    </row>
    <row r="63" spans="2:35" ht="21">
      <c r="B63" s="64" t="s">
        <v>46</v>
      </c>
      <c r="C63" s="52" t="s">
        <v>0</v>
      </c>
      <c r="D63" s="53">
        <v>0.16</v>
      </c>
      <c r="E63" s="53">
        <v>0.14000000000000001</v>
      </c>
      <c r="F63" s="53">
        <v>0.25</v>
      </c>
      <c r="G63" s="53">
        <v>0.15</v>
      </c>
      <c r="H63" s="53">
        <v>0.17</v>
      </c>
      <c r="I63" s="47"/>
      <c r="J63" s="47"/>
      <c r="K63" s="64" t="s">
        <v>46</v>
      </c>
      <c r="L63" s="52" t="s">
        <v>0</v>
      </c>
      <c r="M63" s="53">
        <v>0.16</v>
      </c>
      <c r="N63" s="53">
        <v>0.15</v>
      </c>
      <c r="O63" s="53">
        <v>0.12</v>
      </c>
      <c r="P63" s="53">
        <v>0.14000000000000001</v>
      </c>
      <c r="Q63" s="53">
        <v>0.15</v>
      </c>
      <c r="R63" s="52" t="e">
        <v>#DIV/0!</v>
      </c>
      <c r="S63" s="52" t="e">
        <v>#DIV/0!</v>
      </c>
      <c r="T63" s="52" t="e">
        <v>#DIV/0!</v>
      </c>
      <c r="U63" s="52" t="e">
        <v>#DIV/0!</v>
      </c>
      <c r="V63" s="52" t="e">
        <v>#DIV/0!</v>
      </c>
      <c r="W63" s="47"/>
      <c r="X63" s="64" t="s">
        <v>46</v>
      </c>
      <c r="Y63" s="52" t="s">
        <v>0</v>
      </c>
      <c r="Z63" s="53">
        <v>0.27</v>
      </c>
      <c r="AA63" s="53">
        <v>0.13</v>
      </c>
      <c r="AB63" s="53">
        <v>0.16</v>
      </c>
      <c r="AC63" s="53">
        <v>0.15</v>
      </c>
      <c r="AD63" s="53">
        <v>0.14000000000000001</v>
      </c>
      <c r="AE63" s="52" t="e">
        <v>#DIV/0!</v>
      </c>
      <c r="AF63" s="52" t="e">
        <v>#DIV/0!</v>
      </c>
      <c r="AG63" s="52" t="e">
        <v>#DIV/0!</v>
      </c>
      <c r="AH63" s="52" t="e">
        <v>#DIV/0!</v>
      </c>
      <c r="AI63" s="52" t="e">
        <v>#DIV/0!</v>
      </c>
    </row>
    <row r="64" spans="2:35" ht="21">
      <c r="B64" s="65"/>
      <c r="C64" s="52" t="s">
        <v>1</v>
      </c>
      <c r="D64" s="53">
        <v>0.14000000000000001</v>
      </c>
      <c r="E64" s="53">
        <v>0.19</v>
      </c>
      <c r="F64" s="53">
        <v>0.15</v>
      </c>
      <c r="G64" s="53">
        <v>0.17</v>
      </c>
      <c r="H64" s="53">
        <v>0.19</v>
      </c>
      <c r="I64" s="47"/>
      <c r="J64" s="47"/>
      <c r="K64" s="65"/>
      <c r="L64" s="52" t="s">
        <v>1</v>
      </c>
      <c r="M64" s="53">
        <v>0.12</v>
      </c>
      <c r="N64" s="53">
        <v>0.12</v>
      </c>
      <c r="O64" s="53">
        <v>0.14000000000000001</v>
      </c>
      <c r="P64" s="53">
        <v>0.15</v>
      </c>
      <c r="Q64" s="53">
        <v>0.14000000000000001</v>
      </c>
      <c r="R64" s="52" t="e">
        <v>#DIV/0!</v>
      </c>
      <c r="S64" s="52" t="e">
        <v>#DIV/0!</v>
      </c>
      <c r="T64" s="52" t="e">
        <v>#DIV/0!</v>
      </c>
      <c r="U64" s="52" t="e">
        <v>#DIV/0!</v>
      </c>
      <c r="V64" s="52" t="e">
        <v>#DIV/0!</v>
      </c>
      <c r="W64" s="47"/>
      <c r="X64" s="65"/>
      <c r="Y64" s="52" t="s">
        <v>1</v>
      </c>
      <c r="Z64" s="53">
        <v>0.13</v>
      </c>
      <c r="AA64" s="53">
        <v>0.16</v>
      </c>
      <c r="AB64" s="53">
        <v>0.15</v>
      </c>
      <c r="AC64" s="53">
        <v>0.14000000000000001</v>
      </c>
      <c r="AD64" s="53">
        <v>0.12</v>
      </c>
      <c r="AE64" s="52" t="e">
        <v>#DIV/0!</v>
      </c>
      <c r="AF64" s="52" t="e">
        <v>#DIV/0!</v>
      </c>
      <c r="AG64" s="52" t="e">
        <v>#DIV/0!</v>
      </c>
      <c r="AH64" s="52" t="e">
        <v>#DIV/0!</v>
      </c>
      <c r="AI64" s="52" t="e">
        <v>#DIV/0!</v>
      </c>
    </row>
    <row r="65" spans="2:35" ht="21">
      <c r="B65" s="65"/>
      <c r="C65" s="52" t="s">
        <v>2</v>
      </c>
      <c r="D65" s="53">
        <v>0.14000000000000001</v>
      </c>
      <c r="E65" s="53">
        <v>0.15</v>
      </c>
      <c r="F65" s="53">
        <v>0.17</v>
      </c>
      <c r="G65" s="53">
        <v>0.19</v>
      </c>
      <c r="H65" s="53">
        <v>0.21</v>
      </c>
      <c r="I65" s="47"/>
      <c r="J65" s="47"/>
      <c r="K65" s="65"/>
      <c r="L65" s="52" t="s">
        <v>2</v>
      </c>
      <c r="M65" s="53">
        <v>0.12</v>
      </c>
      <c r="N65" s="53">
        <v>0.14000000000000001</v>
      </c>
      <c r="O65" s="53">
        <v>0.15</v>
      </c>
      <c r="P65" s="53">
        <v>0.14000000000000001</v>
      </c>
      <c r="Q65" s="53">
        <v>0.13</v>
      </c>
      <c r="R65" s="52" t="e">
        <v>#DIV/0!</v>
      </c>
      <c r="S65" s="52" t="e">
        <v>#DIV/0!</v>
      </c>
      <c r="T65" s="52" t="e">
        <v>#DIV/0!</v>
      </c>
      <c r="U65" s="52" t="e">
        <v>#DIV/0!</v>
      </c>
      <c r="V65" s="52" t="e">
        <v>#DIV/0!</v>
      </c>
      <c r="W65" s="47"/>
      <c r="X65" s="65"/>
      <c r="Y65" s="52" t="s">
        <v>2</v>
      </c>
      <c r="Z65" s="53">
        <v>0.16</v>
      </c>
      <c r="AA65" s="53">
        <v>0.14000000000000001</v>
      </c>
      <c r="AB65" s="53">
        <v>0.13</v>
      </c>
      <c r="AC65" s="53">
        <v>0.12</v>
      </c>
      <c r="AD65" s="54">
        <v>7.0000000000000007E-2</v>
      </c>
      <c r="AE65" s="52" t="e">
        <v>#DIV/0!</v>
      </c>
      <c r="AF65" s="52" t="e">
        <v>#DIV/0!</v>
      </c>
      <c r="AG65" s="52" t="e">
        <v>#DIV/0!</v>
      </c>
      <c r="AH65" s="52" t="e">
        <v>#DIV/0!</v>
      </c>
      <c r="AI65" s="52" t="e">
        <v>#DIV/0!</v>
      </c>
    </row>
    <row r="66" spans="2:35" ht="21">
      <c r="B66" s="65"/>
      <c r="C66" s="52" t="s">
        <v>3</v>
      </c>
      <c r="D66" s="53">
        <v>0.15</v>
      </c>
      <c r="E66" s="53">
        <v>0.17</v>
      </c>
      <c r="F66" s="53">
        <v>0.19</v>
      </c>
      <c r="G66" s="53">
        <v>0.22</v>
      </c>
      <c r="H66" s="53">
        <v>0.28000000000000003</v>
      </c>
      <c r="I66" s="47"/>
      <c r="J66" s="47"/>
      <c r="K66" s="65"/>
      <c r="L66" s="52" t="s">
        <v>3</v>
      </c>
      <c r="M66" s="53">
        <v>0.13</v>
      </c>
      <c r="N66" s="53">
        <v>0.15</v>
      </c>
      <c r="O66" s="53">
        <v>0.14000000000000001</v>
      </c>
      <c r="P66" s="53">
        <v>0.12</v>
      </c>
      <c r="Q66" s="54">
        <v>0.1</v>
      </c>
      <c r="R66" s="52" t="e">
        <v>#DIV/0!</v>
      </c>
      <c r="S66" s="52" t="e">
        <v>#DIV/0!</v>
      </c>
      <c r="T66" s="52" t="e">
        <v>#DIV/0!</v>
      </c>
      <c r="U66" s="52" t="e">
        <v>#DIV/0!</v>
      </c>
      <c r="V66" s="52" t="e">
        <v>#DIV/0!</v>
      </c>
      <c r="W66" s="47"/>
      <c r="X66" s="65"/>
      <c r="Y66" s="52" t="s">
        <v>3</v>
      </c>
      <c r="Z66" s="53">
        <v>0.14000000000000001</v>
      </c>
      <c r="AA66" s="53">
        <v>0.13</v>
      </c>
      <c r="AB66" s="53">
        <v>0.11</v>
      </c>
      <c r="AC66" s="54">
        <v>7.0000000000000007E-2</v>
      </c>
      <c r="AD66" s="54">
        <v>-0.02</v>
      </c>
      <c r="AE66" s="52" t="e">
        <v>#DIV/0!</v>
      </c>
      <c r="AF66" s="52" t="e">
        <v>#DIV/0!</v>
      </c>
      <c r="AG66" s="52" t="e">
        <v>#DIV/0!</v>
      </c>
      <c r="AH66" s="52" t="e">
        <v>#DIV/0!</v>
      </c>
      <c r="AI66" s="52" t="e">
        <v>#DIV/0!</v>
      </c>
    </row>
    <row r="67" spans="2:35" ht="21">
      <c r="B67" s="65"/>
      <c r="C67" s="52" t="s">
        <v>4</v>
      </c>
      <c r="D67" s="53">
        <v>0.17</v>
      </c>
      <c r="E67" s="53">
        <v>0.19</v>
      </c>
      <c r="F67" s="53">
        <v>0.23</v>
      </c>
      <c r="G67" s="53">
        <v>0.31</v>
      </c>
      <c r="H67" s="53">
        <v>0.44</v>
      </c>
      <c r="I67" s="47"/>
      <c r="J67" s="47"/>
      <c r="K67" s="65"/>
      <c r="L67" s="52" t="s">
        <v>4</v>
      </c>
      <c r="M67" s="53">
        <v>0.15</v>
      </c>
      <c r="N67" s="53">
        <v>0.14000000000000001</v>
      </c>
      <c r="O67" s="53">
        <v>0.12</v>
      </c>
      <c r="P67" s="54">
        <v>0.08</v>
      </c>
      <c r="Q67" s="55">
        <v>-0.11</v>
      </c>
      <c r="R67" s="52" t="e">
        <v>#DIV/0!</v>
      </c>
      <c r="S67" s="52" t="e">
        <v>#DIV/0!</v>
      </c>
      <c r="T67" s="52" t="e">
        <v>#DIV/0!</v>
      </c>
      <c r="U67" s="52" t="e">
        <v>#DIV/0!</v>
      </c>
      <c r="V67" s="52" t="e">
        <v>#DIV/0!</v>
      </c>
      <c r="W67" s="47"/>
      <c r="X67" s="65"/>
      <c r="Y67" s="52" t="s">
        <v>4</v>
      </c>
      <c r="Z67" s="53">
        <v>0.14000000000000001</v>
      </c>
      <c r="AA67" s="53">
        <v>0.12</v>
      </c>
      <c r="AB67" s="54">
        <v>7.0000000000000007E-2</v>
      </c>
      <c r="AC67" s="54">
        <v>-0.05</v>
      </c>
      <c r="AD67" s="55">
        <v>-0.41</v>
      </c>
      <c r="AE67" s="52" t="e">
        <v>#DIV/0!</v>
      </c>
      <c r="AF67" s="52" t="e">
        <v>#DIV/0!</v>
      </c>
      <c r="AG67" s="52" t="e">
        <v>#DIV/0!</v>
      </c>
      <c r="AH67" s="52" t="e">
        <v>#DIV/0!</v>
      </c>
      <c r="AI67" s="52" t="e">
        <v>#DIV/0!</v>
      </c>
    </row>
    <row r="68" spans="2:35" ht="21">
      <c r="B68" s="65"/>
      <c r="C68" s="52" t="s">
        <v>47</v>
      </c>
      <c r="D68" s="53">
        <v>0.17</v>
      </c>
      <c r="E68" s="53">
        <v>0.22</v>
      </c>
      <c r="F68" s="53">
        <v>0.31</v>
      </c>
      <c r="G68" s="53">
        <v>0.44</v>
      </c>
      <c r="H68" s="53">
        <v>0.43</v>
      </c>
      <c r="I68" s="47"/>
      <c r="J68" s="47"/>
      <c r="K68" s="65"/>
      <c r="L68" s="52" t="s">
        <v>47</v>
      </c>
      <c r="M68" s="53">
        <v>0.14000000000000001</v>
      </c>
      <c r="N68" s="53">
        <v>0.13</v>
      </c>
      <c r="O68" s="54">
        <v>0.05</v>
      </c>
      <c r="P68" s="55">
        <v>-0.13</v>
      </c>
      <c r="Q68" s="58">
        <v>-0.39</v>
      </c>
      <c r="R68" s="52" t="e">
        <v>#DIV/0!</v>
      </c>
      <c r="S68" s="52" t="e">
        <v>#DIV/0!</v>
      </c>
      <c r="T68" s="52" t="e">
        <v>#DIV/0!</v>
      </c>
      <c r="U68" s="52" t="e">
        <v>#DIV/0!</v>
      </c>
      <c r="V68" s="52" t="e">
        <v>#DIV/0!</v>
      </c>
      <c r="W68" s="47"/>
      <c r="X68" s="65"/>
      <c r="Y68" s="52" t="s">
        <v>47</v>
      </c>
      <c r="Z68" s="53">
        <v>0.12</v>
      </c>
      <c r="AA68" s="54">
        <v>7.0000000000000007E-2</v>
      </c>
      <c r="AB68" s="54">
        <v>-0.06</v>
      </c>
      <c r="AC68" s="55">
        <v>-0.43</v>
      </c>
      <c r="AD68" s="58">
        <v>-0.52</v>
      </c>
      <c r="AE68" s="52" t="e">
        <v>#DIV/0!</v>
      </c>
      <c r="AF68" s="52" t="e">
        <v>#DIV/0!</v>
      </c>
      <c r="AG68" s="52" t="e">
        <v>#DIV/0!</v>
      </c>
      <c r="AH68" s="52" t="e">
        <v>#DIV/0!</v>
      </c>
      <c r="AI68" s="52" t="e">
        <v>#DIV/0!</v>
      </c>
    </row>
    <row r="69" spans="2:35" ht="21">
      <c r="B69" s="65"/>
      <c r="C69" s="52" t="s">
        <v>48</v>
      </c>
      <c r="D69" s="54">
        <v>0.04</v>
      </c>
      <c r="E69" s="53">
        <v>0.28999999999999998</v>
      </c>
      <c r="F69" s="53">
        <v>0.44</v>
      </c>
      <c r="G69" s="53">
        <v>0.44</v>
      </c>
      <c r="H69" s="53">
        <v>0.43</v>
      </c>
      <c r="I69" s="47"/>
      <c r="J69" s="47"/>
      <c r="K69" s="65"/>
      <c r="L69" s="52" t="s">
        <v>48</v>
      </c>
      <c r="M69" s="53">
        <v>0.14000000000000001</v>
      </c>
      <c r="N69" s="54">
        <v>0.1</v>
      </c>
      <c r="O69" s="55">
        <v>-0.13</v>
      </c>
      <c r="P69" s="58">
        <v>-0.4</v>
      </c>
      <c r="Q69" s="58">
        <v>-0.51</v>
      </c>
      <c r="R69" s="52" t="e">
        <v>#DIV/0!</v>
      </c>
      <c r="S69" s="52" t="e">
        <v>#DIV/0!</v>
      </c>
      <c r="T69" s="52" t="e">
        <v>#DIV/0!</v>
      </c>
      <c r="U69" s="52" t="e">
        <v>#DIV/0!</v>
      </c>
      <c r="V69" s="52" t="e">
        <v>#DIV/0!</v>
      </c>
      <c r="W69" s="47"/>
      <c r="X69" s="65"/>
      <c r="Y69" s="52" t="s">
        <v>48</v>
      </c>
      <c r="Z69" s="53">
        <v>0.16</v>
      </c>
      <c r="AA69" s="54">
        <v>-0.01</v>
      </c>
      <c r="AB69" s="55">
        <v>-0.42</v>
      </c>
      <c r="AC69" s="58">
        <v>-0.54</v>
      </c>
      <c r="AD69" s="58">
        <v>-0.51</v>
      </c>
      <c r="AE69" s="52" t="e">
        <v>#DIV/0!</v>
      </c>
      <c r="AF69" s="52" t="e">
        <v>#DIV/0!</v>
      </c>
      <c r="AG69" s="52" t="e">
        <v>#DIV/0!</v>
      </c>
      <c r="AH69" s="52" t="e">
        <v>#DIV/0!</v>
      </c>
      <c r="AI69" s="52" t="e">
        <v>#DIV/0!</v>
      </c>
    </row>
    <row r="70" spans="2:35" ht="21">
      <c r="B70" s="65"/>
      <c r="C70" s="52" t="s">
        <v>49</v>
      </c>
      <c r="D70" s="54">
        <v>0.04</v>
      </c>
      <c r="E70" s="53">
        <v>0.33</v>
      </c>
      <c r="F70" s="53">
        <v>0.44</v>
      </c>
      <c r="G70" s="53">
        <v>0.44</v>
      </c>
      <c r="H70" s="53">
        <v>0.44</v>
      </c>
      <c r="I70" s="47"/>
      <c r="J70" s="47"/>
      <c r="K70" s="65"/>
      <c r="L70" s="52" t="s">
        <v>49</v>
      </c>
      <c r="M70" s="53">
        <v>0.11</v>
      </c>
      <c r="N70" s="53">
        <v>0.11</v>
      </c>
      <c r="O70" s="58">
        <v>-0.34</v>
      </c>
      <c r="P70" s="58">
        <v>-0.49</v>
      </c>
      <c r="Q70" s="55">
        <v>-0.56000000000000005</v>
      </c>
      <c r="R70" s="52" t="e">
        <v>#DIV/0!</v>
      </c>
      <c r="S70" s="52" t="e">
        <v>#DIV/0!</v>
      </c>
      <c r="T70" s="52" t="e">
        <v>#DIV/0!</v>
      </c>
      <c r="U70" s="52" t="e">
        <v>#DIV/0!</v>
      </c>
      <c r="V70" s="52" t="e">
        <v>#DIV/0!</v>
      </c>
      <c r="W70" s="47"/>
      <c r="X70" s="65"/>
      <c r="Y70" s="52" t="s">
        <v>49</v>
      </c>
      <c r="Z70" s="53">
        <v>0.13</v>
      </c>
      <c r="AA70" s="54">
        <v>-0.04</v>
      </c>
      <c r="AB70" s="58">
        <v>-0.51</v>
      </c>
      <c r="AC70" s="58">
        <v>-0.56000000000000005</v>
      </c>
      <c r="AD70" s="55">
        <v>-0.7</v>
      </c>
      <c r="AE70" s="52" t="e">
        <v>#DIV/0!</v>
      </c>
      <c r="AF70" s="52" t="e">
        <v>#DIV/0!</v>
      </c>
      <c r="AG70" s="52" t="e">
        <v>#DIV/0!</v>
      </c>
      <c r="AH70" s="52" t="e">
        <v>#DIV/0!</v>
      </c>
      <c r="AI70" s="52" t="e">
        <v>#DIV/0!</v>
      </c>
    </row>
    <row r="71" spans="2:35" ht="21">
      <c r="B71" s="66"/>
      <c r="C71" s="52" t="s">
        <v>50</v>
      </c>
      <c r="D71" s="54">
        <v>0.04</v>
      </c>
      <c r="E71" s="53">
        <v>0.32</v>
      </c>
      <c r="F71" s="53">
        <v>0.44</v>
      </c>
      <c r="G71" s="53">
        <v>0.44</v>
      </c>
      <c r="H71" s="53">
        <v>0.43</v>
      </c>
      <c r="I71" s="47"/>
      <c r="J71" s="47"/>
      <c r="K71" s="66"/>
      <c r="L71" s="52" t="s">
        <v>50</v>
      </c>
      <c r="M71" s="54">
        <v>0.08</v>
      </c>
      <c r="N71" s="53">
        <v>0.19</v>
      </c>
      <c r="O71" s="58">
        <v>-0.32</v>
      </c>
      <c r="P71" s="55">
        <v>-0.47</v>
      </c>
      <c r="Q71" s="55">
        <v>-0.53</v>
      </c>
      <c r="R71" s="52" t="e">
        <v>#DIV/0!</v>
      </c>
      <c r="S71" s="52" t="e">
        <v>#DIV/0!</v>
      </c>
      <c r="T71" s="52" t="e">
        <v>#DIV/0!</v>
      </c>
      <c r="U71" s="52" t="e">
        <v>#DIV/0!</v>
      </c>
      <c r="V71" s="52" t="e">
        <v>#DIV/0!</v>
      </c>
      <c r="W71" s="47"/>
      <c r="X71" s="66"/>
      <c r="Y71" s="52" t="s">
        <v>50</v>
      </c>
      <c r="Z71" s="53">
        <v>0.1</v>
      </c>
      <c r="AA71" s="54">
        <v>0.09</v>
      </c>
      <c r="AB71" s="58">
        <v>-0.36</v>
      </c>
      <c r="AC71" s="55">
        <v>-0.4</v>
      </c>
      <c r="AD71" s="55">
        <v>-0.44</v>
      </c>
      <c r="AE71" s="52" t="e">
        <v>#DIV/0!</v>
      </c>
      <c r="AF71" s="52" t="e">
        <v>#DIV/0!</v>
      </c>
      <c r="AG71" s="52" t="e">
        <v>#DIV/0!</v>
      </c>
      <c r="AH71" s="52" t="e">
        <v>#DIV/0!</v>
      </c>
      <c r="AI71" s="52" t="e">
        <v>#DIV/0!</v>
      </c>
    </row>
    <row r="72" spans="2:35" ht="21" hidden="1">
      <c r="B72" s="64" t="s">
        <v>51</v>
      </c>
      <c r="C72" s="52" t="s">
        <v>0</v>
      </c>
      <c r="D72" s="53">
        <v>0.16</v>
      </c>
      <c r="E72" s="53">
        <v>0.17</v>
      </c>
      <c r="F72" s="53">
        <v>0.22</v>
      </c>
      <c r="G72" s="53">
        <v>0.28000000000000003</v>
      </c>
      <c r="H72" s="53">
        <v>0.26</v>
      </c>
      <c r="I72" s="47"/>
      <c r="J72" s="47"/>
      <c r="K72" s="64" t="s">
        <v>51</v>
      </c>
      <c r="L72" s="52" t="s">
        <v>0</v>
      </c>
      <c r="M72" s="53">
        <v>0.47</v>
      </c>
      <c r="N72" s="53">
        <v>0.37</v>
      </c>
      <c r="O72" s="53">
        <v>0.37</v>
      </c>
      <c r="P72" s="53">
        <v>0.36</v>
      </c>
      <c r="Q72" s="53">
        <v>0.27</v>
      </c>
      <c r="R72" s="53">
        <v>0.28999999999999998</v>
      </c>
      <c r="S72" s="53">
        <v>0.25</v>
      </c>
      <c r="T72" s="54">
        <v>0</v>
      </c>
      <c r="U72" s="54">
        <v>0</v>
      </c>
      <c r="V72" s="54">
        <v>-7.0000000000000007E-2</v>
      </c>
      <c r="W72" s="47"/>
      <c r="X72" s="64" t="s">
        <v>51</v>
      </c>
      <c r="Y72" s="52" t="s">
        <v>0</v>
      </c>
      <c r="Z72" s="53">
        <v>0.43</v>
      </c>
      <c r="AA72" s="53">
        <v>0.33</v>
      </c>
      <c r="AB72" s="53">
        <v>0.31</v>
      </c>
      <c r="AC72" s="53">
        <v>0.27</v>
      </c>
      <c r="AD72" s="53">
        <v>0.19</v>
      </c>
      <c r="AE72" s="54">
        <v>0.09</v>
      </c>
      <c r="AF72" s="54">
        <v>0</v>
      </c>
      <c r="AG72" s="54">
        <v>-0.08</v>
      </c>
      <c r="AH72" s="54">
        <v>-0.03</v>
      </c>
      <c r="AI72" s="54">
        <v>-0.06</v>
      </c>
    </row>
    <row r="73" spans="2:35" ht="21" hidden="1">
      <c r="B73" s="65"/>
      <c r="C73" s="52" t="s">
        <v>1</v>
      </c>
      <c r="D73" s="53">
        <v>0.17</v>
      </c>
      <c r="E73" s="53">
        <v>0.21</v>
      </c>
      <c r="F73" s="53">
        <v>0.28000000000000003</v>
      </c>
      <c r="G73" s="53">
        <v>0.26</v>
      </c>
      <c r="H73" s="53">
        <v>0.31</v>
      </c>
      <c r="I73" s="47"/>
      <c r="J73" s="47"/>
      <c r="K73" s="65"/>
      <c r="L73" s="52" t="s">
        <v>1</v>
      </c>
      <c r="M73" s="53">
        <v>0.4</v>
      </c>
      <c r="N73" s="53">
        <v>0.32</v>
      </c>
      <c r="O73" s="53">
        <v>0.37</v>
      </c>
      <c r="P73" s="53">
        <v>0.25</v>
      </c>
      <c r="Q73" s="54">
        <v>0.04</v>
      </c>
      <c r="R73" s="53">
        <v>0.24</v>
      </c>
      <c r="S73" s="54">
        <v>0</v>
      </c>
      <c r="T73" s="54">
        <v>0</v>
      </c>
      <c r="U73" s="54">
        <v>-7.0000000000000007E-2</v>
      </c>
      <c r="V73" s="53">
        <v>0.91</v>
      </c>
      <c r="W73" s="47"/>
      <c r="X73" s="65"/>
      <c r="Y73" s="52" t="s">
        <v>1</v>
      </c>
      <c r="Z73" s="53">
        <v>0.32</v>
      </c>
      <c r="AA73" s="53">
        <v>0.32</v>
      </c>
      <c r="AB73" s="53">
        <v>0.28000000000000003</v>
      </c>
      <c r="AC73" s="53">
        <v>0.19</v>
      </c>
      <c r="AD73" s="54">
        <v>7.0000000000000007E-2</v>
      </c>
      <c r="AE73" s="54">
        <v>0.09</v>
      </c>
      <c r="AF73" s="54">
        <v>-0.04</v>
      </c>
      <c r="AG73" s="54">
        <v>7.0000000000000007E-2</v>
      </c>
      <c r="AH73" s="53">
        <v>0.13</v>
      </c>
      <c r="AI73" s="53">
        <v>0.9</v>
      </c>
    </row>
    <row r="74" spans="2:35" ht="21" hidden="1">
      <c r="B74" s="65"/>
      <c r="C74" s="52" t="s">
        <v>2</v>
      </c>
      <c r="D74" s="53">
        <v>0.21</v>
      </c>
      <c r="E74" s="53">
        <v>0.27</v>
      </c>
      <c r="F74" s="53">
        <v>0.26</v>
      </c>
      <c r="G74" s="53">
        <v>0.31</v>
      </c>
      <c r="H74" s="53">
        <v>0.31</v>
      </c>
      <c r="I74" s="47"/>
      <c r="J74" s="47"/>
      <c r="K74" s="65"/>
      <c r="L74" s="52" t="s">
        <v>2</v>
      </c>
      <c r="M74" s="53">
        <v>0.34</v>
      </c>
      <c r="N74" s="53">
        <v>0.33</v>
      </c>
      <c r="O74" s="53">
        <v>0.26</v>
      </c>
      <c r="P74" s="54">
        <v>0.03</v>
      </c>
      <c r="Q74" s="55">
        <v>-0.11</v>
      </c>
      <c r="R74" s="54">
        <v>0</v>
      </c>
      <c r="S74" s="54">
        <v>0</v>
      </c>
      <c r="T74" s="54">
        <v>-7.0000000000000007E-2</v>
      </c>
      <c r="U74" s="53">
        <v>0.92</v>
      </c>
      <c r="V74" s="53">
        <v>0.97</v>
      </c>
      <c r="W74" s="47"/>
      <c r="X74" s="65"/>
      <c r="Y74" s="52" t="s">
        <v>2</v>
      </c>
      <c r="Z74" s="53">
        <v>0.3</v>
      </c>
      <c r="AA74" s="53">
        <v>0.28999999999999998</v>
      </c>
      <c r="AB74" s="53">
        <v>0.19</v>
      </c>
      <c r="AC74" s="54">
        <v>0.04</v>
      </c>
      <c r="AD74" s="54">
        <v>-0.08</v>
      </c>
      <c r="AE74" s="54">
        <v>0</v>
      </c>
      <c r="AF74" s="55">
        <v>-0.15</v>
      </c>
      <c r="AG74" s="54">
        <v>0</v>
      </c>
      <c r="AH74" s="53">
        <v>0.9</v>
      </c>
      <c r="AI74" s="53">
        <v>0.95</v>
      </c>
    </row>
    <row r="75" spans="2:35" ht="21" hidden="1">
      <c r="B75" s="65"/>
      <c r="C75" s="52" t="s">
        <v>3</v>
      </c>
      <c r="D75" s="53">
        <v>0.27</v>
      </c>
      <c r="E75" s="53">
        <v>0.25</v>
      </c>
      <c r="F75" s="53">
        <v>0.36</v>
      </c>
      <c r="G75" s="53">
        <v>0.3</v>
      </c>
      <c r="H75" s="53">
        <v>0.31</v>
      </c>
      <c r="I75" s="47"/>
      <c r="J75" s="47"/>
      <c r="K75" s="65"/>
      <c r="L75" s="52" t="s">
        <v>3</v>
      </c>
      <c r="M75" s="53">
        <v>0.33</v>
      </c>
      <c r="N75" s="53">
        <v>0.26</v>
      </c>
      <c r="O75" s="54">
        <v>7.0000000000000007E-2</v>
      </c>
      <c r="P75" s="55">
        <v>-0.12</v>
      </c>
      <c r="Q75" s="54">
        <v>-7.0000000000000007E-2</v>
      </c>
      <c r="R75" s="54">
        <v>-0.06</v>
      </c>
      <c r="S75" s="54">
        <v>-0.06</v>
      </c>
      <c r="T75" s="53">
        <v>0.93</v>
      </c>
      <c r="U75" s="53">
        <v>0.97</v>
      </c>
      <c r="V75" s="53">
        <v>0.98</v>
      </c>
      <c r="W75" s="47"/>
      <c r="X75" s="65"/>
      <c r="Y75" s="52" t="s">
        <v>3</v>
      </c>
      <c r="Z75" s="53">
        <v>0.27</v>
      </c>
      <c r="AA75" s="53">
        <v>0.19</v>
      </c>
      <c r="AB75" s="54">
        <v>0.09</v>
      </c>
      <c r="AC75" s="55">
        <v>-0.1</v>
      </c>
      <c r="AD75" s="54">
        <v>-0.08</v>
      </c>
      <c r="AE75" s="54">
        <v>-0.04</v>
      </c>
      <c r="AF75" s="54">
        <v>0.06</v>
      </c>
      <c r="AG75" s="53">
        <v>0.9</v>
      </c>
      <c r="AH75" s="53">
        <v>0.96</v>
      </c>
      <c r="AI75" s="53">
        <v>0.98</v>
      </c>
    </row>
    <row r="76" spans="2:35" ht="21" hidden="1">
      <c r="B76" s="65"/>
      <c r="C76" s="52" t="s">
        <v>4</v>
      </c>
      <c r="D76" s="53">
        <v>0.25</v>
      </c>
      <c r="E76" s="53">
        <v>0.32</v>
      </c>
      <c r="F76" s="53">
        <v>0.32</v>
      </c>
      <c r="G76" s="53">
        <v>0.3</v>
      </c>
      <c r="H76" s="53">
        <v>0.28999999999999998</v>
      </c>
      <c r="I76" s="47"/>
      <c r="J76" s="47"/>
      <c r="K76" s="65"/>
      <c r="L76" s="52" t="s">
        <v>4</v>
      </c>
      <c r="M76" s="53">
        <v>0.27</v>
      </c>
      <c r="N76" s="54">
        <v>0.08</v>
      </c>
      <c r="O76" s="54">
        <v>-7.0000000000000007E-2</v>
      </c>
      <c r="P76" s="55">
        <v>-0.13</v>
      </c>
      <c r="Q76" s="54">
        <v>-0.02</v>
      </c>
      <c r="R76" s="55">
        <v>-0.15</v>
      </c>
      <c r="S76" s="53">
        <v>0.91</v>
      </c>
      <c r="T76" s="53">
        <v>0.97</v>
      </c>
      <c r="U76" s="53">
        <v>0.98</v>
      </c>
      <c r="V76" s="53">
        <v>0.91</v>
      </c>
      <c r="W76" s="47"/>
      <c r="X76" s="65"/>
      <c r="Y76" s="52" t="s">
        <v>4</v>
      </c>
      <c r="Z76" s="53">
        <v>0.19</v>
      </c>
      <c r="AA76" s="54">
        <v>0.08</v>
      </c>
      <c r="AB76" s="54">
        <v>-0.06</v>
      </c>
      <c r="AC76" s="55">
        <v>-0.22</v>
      </c>
      <c r="AD76" s="53">
        <v>0.13</v>
      </c>
      <c r="AE76" s="55">
        <v>-0.13</v>
      </c>
      <c r="AF76" s="53">
        <v>0.89</v>
      </c>
      <c r="AG76" s="53">
        <v>0.96</v>
      </c>
      <c r="AH76" s="53">
        <v>0.97</v>
      </c>
      <c r="AI76" s="53">
        <v>0.91</v>
      </c>
    </row>
    <row r="77" spans="2:35" ht="21" hidden="1">
      <c r="B77" s="65"/>
      <c r="C77" s="52" t="s">
        <v>47</v>
      </c>
      <c r="D77" s="53">
        <v>0.3</v>
      </c>
      <c r="E77" s="53">
        <v>0.32</v>
      </c>
      <c r="F77" s="53">
        <v>0.33</v>
      </c>
      <c r="G77" s="53">
        <v>0.3</v>
      </c>
      <c r="H77" s="53">
        <v>0.3</v>
      </c>
      <c r="I77" s="47"/>
      <c r="J77" s="47"/>
      <c r="K77" s="65"/>
      <c r="L77" s="52" t="s">
        <v>47</v>
      </c>
      <c r="M77" s="54">
        <v>7.0000000000000007E-2</v>
      </c>
      <c r="N77" s="54">
        <v>-7.0000000000000007E-2</v>
      </c>
      <c r="O77" s="54">
        <v>-0.09</v>
      </c>
      <c r="P77" s="54">
        <v>-0.06</v>
      </c>
      <c r="Q77" s="54">
        <v>0.08</v>
      </c>
      <c r="R77" s="53">
        <v>0.81</v>
      </c>
      <c r="S77" s="53">
        <v>0.96</v>
      </c>
      <c r="T77" s="53">
        <v>0.98</v>
      </c>
      <c r="U77" s="53">
        <v>0.91</v>
      </c>
      <c r="V77" s="53">
        <v>0.52</v>
      </c>
      <c r="W77" s="47"/>
      <c r="X77" s="65"/>
      <c r="Y77" s="52" t="s">
        <v>47</v>
      </c>
      <c r="Z77" s="54">
        <v>0.08</v>
      </c>
      <c r="AA77" s="54">
        <v>-0.06</v>
      </c>
      <c r="AB77" s="55">
        <v>-0.18</v>
      </c>
      <c r="AC77" s="55">
        <v>-0.2</v>
      </c>
      <c r="AD77" s="53">
        <v>0.21</v>
      </c>
      <c r="AE77" s="53">
        <v>0.79</v>
      </c>
      <c r="AF77" s="53">
        <v>0.95</v>
      </c>
      <c r="AG77" s="53">
        <v>0.97</v>
      </c>
      <c r="AH77" s="53">
        <v>0.86</v>
      </c>
      <c r="AI77" s="53">
        <v>0.45</v>
      </c>
    </row>
    <row r="78" spans="2:35" ht="21" hidden="1">
      <c r="B78" s="65"/>
      <c r="C78" s="52" t="s">
        <v>48</v>
      </c>
      <c r="D78" s="53">
        <v>0.3</v>
      </c>
      <c r="E78" s="53">
        <v>0.31</v>
      </c>
      <c r="F78" s="53">
        <v>0.3</v>
      </c>
      <c r="G78" s="53">
        <v>0.3</v>
      </c>
      <c r="H78" s="53">
        <v>0.3</v>
      </c>
      <c r="I78" s="47"/>
      <c r="J78" s="47"/>
      <c r="K78" s="65"/>
      <c r="L78" s="52" t="s">
        <v>48</v>
      </c>
      <c r="M78" s="54">
        <v>-0.09</v>
      </c>
      <c r="N78" s="55">
        <v>-0.11</v>
      </c>
      <c r="O78" s="54">
        <v>-0.04</v>
      </c>
      <c r="P78" s="54">
        <v>0.06</v>
      </c>
      <c r="Q78" s="53">
        <v>0.18</v>
      </c>
      <c r="R78" s="53">
        <v>0.89</v>
      </c>
      <c r="S78" s="53">
        <v>0.98</v>
      </c>
      <c r="T78" s="53">
        <v>0.91</v>
      </c>
      <c r="U78" s="53">
        <v>0.5</v>
      </c>
      <c r="V78" s="53">
        <v>0.4</v>
      </c>
      <c r="W78" s="47"/>
      <c r="X78" s="65"/>
      <c r="Y78" s="52" t="s">
        <v>48</v>
      </c>
      <c r="Z78" s="54">
        <v>-0.06</v>
      </c>
      <c r="AA78" s="55">
        <v>-0.2</v>
      </c>
      <c r="AB78" s="55">
        <v>-0.17</v>
      </c>
      <c r="AC78" s="54">
        <v>-0.01</v>
      </c>
      <c r="AD78" s="53">
        <v>0.28000000000000003</v>
      </c>
      <c r="AE78" s="53">
        <v>0.81</v>
      </c>
      <c r="AF78" s="53">
        <v>0.97</v>
      </c>
      <c r="AG78" s="53">
        <v>0.87</v>
      </c>
      <c r="AH78" s="53">
        <v>0.45</v>
      </c>
      <c r="AI78" s="53">
        <v>0.4</v>
      </c>
    </row>
    <row r="79" spans="2:35" ht="21" hidden="1">
      <c r="B79" s="65"/>
      <c r="C79" s="52" t="s">
        <v>49</v>
      </c>
      <c r="D79" s="53">
        <v>0.28999999999999998</v>
      </c>
      <c r="E79" s="53">
        <v>0.33</v>
      </c>
      <c r="F79" s="53">
        <v>0.28999999999999998</v>
      </c>
      <c r="G79" s="53">
        <v>0.28999999999999998</v>
      </c>
      <c r="H79" s="53">
        <v>0.31</v>
      </c>
      <c r="I79" s="47"/>
      <c r="J79" s="47"/>
      <c r="K79" s="65"/>
      <c r="L79" s="52" t="s">
        <v>49</v>
      </c>
      <c r="M79" s="55">
        <v>-0.16</v>
      </c>
      <c r="N79" s="54">
        <v>0</v>
      </c>
      <c r="O79" s="54">
        <v>0.05</v>
      </c>
      <c r="P79" s="53">
        <v>0.17</v>
      </c>
      <c r="Q79" s="53">
        <v>0.2</v>
      </c>
      <c r="R79" s="53">
        <v>0.89</v>
      </c>
      <c r="S79" s="53">
        <v>0.91</v>
      </c>
      <c r="T79" s="53">
        <v>0.47</v>
      </c>
      <c r="U79" s="53">
        <v>0.39</v>
      </c>
      <c r="V79" s="53">
        <v>0.32</v>
      </c>
      <c r="W79" s="47"/>
      <c r="X79" s="65"/>
      <c r="Y79" s="52" t="s">
        <v>49</v>
      </c>
      <c r="Z79" s="55">
        <v>-0.22</v>
      </c>
      <c r="AA79" s="54">
        <v>-0.09</v>
      </c>
      <c r="AB79" s="54">
        <v>0.04</v>
      </c>
      <c r="AC79" s="53">
        <v>0.11</v>
      </c>
      <c r="AD79" s="53">
        <v>0.35</v>
      </c>
      <c r="AE79" s="53">
        <v>0.74</v>
      </c>
      <c r="AF79" s="53">
        <v>0.88</v>
      </c>
      <c r="AG79" s="53">
        <v>0.41</v>
      </c>
      <c r="AH79" s="53">
        <v>0.36</v>
      </c>
      <c r="AI79" s="53">
        <v>0.42</v>
      </c>
    </row>
    <row r="80" spans="2:35" ht="21" hidden="1">
      <c r="B80" s="66"/>
      <c r="C80" s="52" t="s">
        <v>50</v>
      </c>
      <c r="D80" s="53">
        <v>0.31</v>
      </c>
      <c r="E80" s="53">
        <v>0.32</v>
      </c>
      <c r="F80" s="53">
        <v>0.28999999999999998</v>
      </c>
      <c r="G80" s="53">
        <v>0.3</v>
      </c>
      <c r="H80" s="53">
        <v>0.31</v>
      </c>
      <c r="I80" s="47"/>
      <c r="J80" s="47"/>
      <c r="K80" s="66"/>
      <c r="L80" s="52" t="s">
        <v>50</v>
      </c>
      <c r="M80" s="54">
        <v>0.08</v>
      </c>
      <c r="N80" s="53">
        <v>0.19</v>
      </c>
      <c r="O80" s="53">
        <v>0.17</v>
      </c>
      <c r="P80" s="53">
        <v>0.18</v>
      </c>
      <c r="Q80" s="53">
        <v>0.2</v>
      </c>
      <c r="R80" s="53">
        <v>0.91</v>
      </c>
      <c r="S80" s="53">
        <v>0.56000000000000005</v>
      </c>
      <c r="T80" s="53">
        <v>0.37</v>
      </c>
      <c r="U80" s="53">
        <v>0.3</v>
      </c>
      <c r="V80" s="53">
        <v>0.26</v>
      </c>
      <c r="W80" s="47"/>
      <c r="X80" s="66"/>
      <c r="Y80" s="52" t="s">
        <v>50</v>
      </c>
      <c r="Z80" s="54">
        <v>-0.01</v>
      </c>
      <c r="AA80" s="53">
        <v>0.2</v>
      </c>
      <c r="AB80" s="53">
        <v>0.15</v>
      </c>
      <c r="AC80" s="53">
        <v>0.27</v>
      </c>
      <c r="AD80" s="53">
        <v>0.28000000000000003</v>
      </c>
      <c r="AE80" s="53">
        <v>0.77</v>
      </c>
      <c r="AF80" s="53">
        <v>0.53</v>
      </c>
      <c r="AG80" s="53">
        <v>0.33</v>
      </c>
      <c r="AH80" s="53">
        <v>0.36</v>
      </c>
      <c r="AI80" s="53">
        <v>0.32</v>
      </c>
    </row>
  </sheetData>
  <mergeCells count="67">
    <mergeCell ref="G4:G5"/>
    <mergeCell ref="AE4:AI4"/>
    <mergeCell ref="K1:AF1"/>
    <mergeCell ref="K44:AF44"/>
    <mergeCell ref="K59:AF59"/>
    <mergeCell ref="M46:Q46"/>
    <mergeCell ref="R46:V46"/>
    <mergeCell ref="Z46:AD46"/>
    <mergeCell ref="AE46:AI46"/>
    <mergeCell ref="G46:G47"/>
    <mergeCell ref="H46:H47"/>
    <mergeCell ref="B6:B14"/>
    <mergeCell ref="K6:K14"/>
    <mergeCell ref="X6:X14"/>
    <mergeCell ref="B2:W2"/>
    <mergeCell ref="B3:H3"/>
    <mergeCell ref="K3:V3"/>
    <mergeCell ref="X3:AI3"/>
    <mergeCell ref="B4:B5"/>
    <mergeCell ref="C4:C5"/>
    <mergeCell ref="D4:D5"/>
    <mergeCell ref="E4:E5"/>
    <mergeCell ref="F4:F5"/>
    <mergeCell ref="H4:H5"/>
    <mergeCell ref="M4:Q4"/>
    <mergeCell ref="R4:V4"/>
    <mergeCell ref="Z4:AD4"/>
    <mergeCell ref="B15:B23"/>
    <mergeCell ref="K15:K23"/>
    <mergeCell ref="X15:X23"/>
    <mergeCell ref="B24:B32"/>
    <mergeCell ref="K24:K32"/>
    <mergeCell ref="X24:X32"/>
    <mergeCell ref="B33:B41"/>
    <mergeCell ref="K33:K41"/>
    <mergeCell ref="X33:X41"/>
    <mergeCell ref="B45:H45"/>
    <mergeCell ref="K45:V45"/>
    <mergeCell ref="X45:AI45"/>
    <mergeCell ref="B46:B47"/>
    <mergeCell ref="C46:C47"/>
    <mergeCell ref="D46:D47"/>
    <mergeCell ref="E46:E47"/>
    <mergeCell ref="F46:F47"/>
    <mergeCell ref="Z61:AD61"/>
    <mergeCell ref="AE61:AI61"/>
    <mergeCell ref="B63:B71"/>
    <mergeCell ref="K63:K71"/>
    <mergeCell ref="X63:X71"/>
    <mergeCell ref="B61:B62"/>
    <mergeCell ref="C61:C62"/>
    <mergeCell ref="D61:D62"/>
    <mergeCell ref="E61:E62"/>
    <mergeCell ref="F61:F62"/>
    <mergeCell ref="B60:H60"/>
    <mergeCell ref="K60:V60"/>
    <mergeCell ref="X60:AI60"/>
    <mergeCell ref="B48:B56"/>
    <mergeCell ref="K48:K56"/>
    <mergeCell ref="X48:X56"/>
    <mergeCell ref="B72:B80"/>
    <mergeCell ref="K72:K80"/>
    <mergeCell ref="X72:X80"/>
    <mergeCell ref="H61:H62"/>
    <mergeCell ref="M61:Q61"/>
    <mergeCell ref="R61:V61"/>
    <mergeCell ref="G61:G6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/>
  <dimension ref="B1:AN54"/>
  <sheetViews>
    <sheetView showGridLines="0" zoomScale="70" zoomScaleNormal="70" workbookViewId="0">
      <selection activeCell="E4" sqref="E4:T27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2.69921875" style="11" customWidth="1"/>
    <col min="5" max="20" width="6.59765625" style="11" customWidth="1"/>
    <col min="21" max="21" width="3.09765625" style="11" customWidth="1"/>
    <col min="22" max="22" width="13.59765625" style="11" customWidth="1"/>
    <col min="23" max="24" width="11.5" style="11" customWidth="1"/>
    <col min="25" max="40" width="7.5" style="11" customWidth="1"/>
    <col min="41" max="16384" width="9" style="11"/>
  </cols>
  <sheetData>
    <row r="1" spans="2:40" ht="15" customHeight="1" thickBot="1"/>
    <row r="2" spans="2:40" ht="15" customHeight="1">
      <c r="B2" s="99" t="s">
        <v>28</v>
      </c>
      <c r="C2" s="100"/>
      <c r="D2" s="101"/>
      <c r="E2" s="83" t="s">
        <v>14</v>
      </c>
      <c r="F2" s="84"/>
      <c r="G2" s="84"/>
      <c r="H2" s="84"/>
      <c r="I2" s="84"/>
      <c r="J2" s="84"/>
      <c r="K2" s="84"/>
      <c r="L2" s="85"/>
      <c r="M2" s="83" t="s">
        <v>24</v>
      </c>
      <c r="N2" s="84"/>
      <c r="O2" s="84"/>
      <c r="P2" s="84"/>
      <c r="Q2" s="84"/>
      <c r="R2" s="84"/>
      <c r="S2" s="84"/>
      <c r="T2" s="85"/>
      <c r="V2" s="105" t="s">
        <v>30</v>
      </c>
      <c r="W2" s="106"/>
      <c r="X2" s="106"/>
      <c r="Y2" s="83" t="s">
        <v>14</v>
      </c>
      <c r="Z2" s="84"/>
      <c r="AA2" s="84"/>
      <c r="AB2" s="84"/>
      <c r="AC2" s="84"/>
      <c r="AD2" s="84"/>
      <c r="AE2" s="84"/>
      <c r="AF2" s="85"/>
      <c r="AG2" s="83" t="s">
        <v>24</v>
      </c>
      <c r="AH2" s="84"/>
      <c r="AI2" s="84"/>
      <c r="AJ2" s="84"/>
      <c r="AK2" s="84"/>
      <c r="AL2" s="84"/>
      <c r="AM2" s="84"/>
      <c r="AN2" s="85"/>
    </row>
    <row r="3" spans="2:40" ht="20.25" customHeight="1" thickBot="1">
      <c r="B3" s="102"/>
      <c r="C3" s="103"/>
      <c r="D3" s="104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3" t="s">
        <v>17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18</v>
      </c>
      <c r="S3" s="2" t="s">
        <v>16</v>
      </c>
      <c r="T3" s="3" t="s">
        <v>17</v>
      </c>
      <c r="V3" s="107"/>
      <c r="W3" s="108"/>
      <c r="X3" s="108"/>
      <c r="Y3" s="1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18</v>
      </c>
      <c r="AE3" s="2" t="s">
        <v>16</v>
      </c>
      <c r="AF3" s="3" t="s">
        <v>17</v>
      </c>
      <c r="AG3" s="1" t="s">
        <v>0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18</v>
      </c>
      <c r="AM3" s="2" t="s">
        <v>16</v>
      </c>
      <c r="AN3" s="3" t="s">
        <v>17</v>
      </c>
    </row>
    <row r="4" spans="2:40" ht="15" customHeight="1">
      <c r="B4" s="86" t="s">
        <v>5</v>
      </c>
      <c r="C4" s="89" t="s">
        <v>6</v>
      </c>
      <c r="D4" s="4">
        <v>0.25</v>
      </c>
      <c r="E4" s="24">
        <v>572</v>
      </c>
      <c r="F4" s="25">
        <v>612</v>
      </c>
      <c r="G4" s="25">
        <v>660</v>
      </c>
      <c r="H4" s="25">
        <v>772</v>
      </c>
      <c r="I4" s="25">
        <v>852</v>
      </c>
      <c r="J4" s="25">
        <v>1032</v>
      </c>
      <c r="K4" s="25">
        <v>1464</v>
      </c>
      <c r="L4" s="26">
        <v>4384</v>
      </c>
      <c r="M4" s="24">
        <v>556</v>
      </c>
      <c r="N4" s="25">
        <v>628</v>
      </c>
      <c r="O4" s="25">
        <v>620</v>
      </c>
      <c r="P4" s="25">
        <v>596</v>
      </c>
      <c r="Q4" s="25">
        <v>636</v>
      </c>
      <c r="R4" s="25">
        <v>780</v>
      </c>
      <c r="S4" s="25">
        <v>1144</v>
      </c>
      <c r="T4" s="26">
        <v>3536</v>
      </c>
      <c r="V4" s="92" t="s">
        <v>5</v>
      </c>
      <c r="W4" s="95" t="s">
        <v>6</v>
      </c>
      <c r="X4" s="7">
        <v>0.25</v>
      </c>
      <c r="Y4" s="15">
        <f t="shared" ref="Y4:Y19" si="0">E31/E4</f>
        <v>0.44230769230769229</v>
      </c>
      <c r="Z4" s="16">
        <f t="shared" ref="Z4:Z19" si="1">F31/F4</f>
        <v>0.51960784313725494</v>
      </c>
      <c r="AA4" s="16">
        <f t="shared" ref="AA4:AA19" si="2">G31/G4</f>
        <v>0.55454545454545456</v>
      </c>
      <c r="AB4" s="16">
        <f t="shared" ref="AB4:AB19" si="3">H31/H4</f>
        <v>0.52590673575129532</v>
      </c>
      <c r="AC4" s="16">
        <f t="shared" ref="AC4:AC19" si="4">I31/I4</f>
        <v>0.47652582159624413</v>
      </c>
      <c r="AD4" s="16">
        <f t="shared" ref="AD4:AD19" si="5">J31/J4</f>
        <v>0.39341085271317827</v>
      </c>
      <c r="AE4" s="16">
        <f t="shared" ref="AE4:AE19" si="6">K31/K4</f>
        <v>0.27732240437158467</v>
      </c>
      <c r="AF4" s="17">
        <f t="shared" ref="AF4:AF19" si="7">L31/L4</f>
        <v>0.49270072992700731</v>
      </c>
      <c r="AG4" s="15">
        <f t="shared" ref="AG4:AG19" si="8">M31/M4</f>
        <v>0.51438848920863312</v>
      </c>
      <c r="AH4" s="16">
        <f t="shared" ref="AH4:AH19" si="9">N31/N4</f>
        <v>0.58917197452229297</v>
      </c>
      <c r="AI4" s="16">
        <f t="shared" ref="AI4:AI19" si="10">O31/O4</f>
        <v>0.76451612903225807</v>
      </c>
      <c r="AJ4" s="16">
        <f t="shared" ref="AJ4:AJ19" si="11">P31/P4</f>
        <v>0.98657718120805371</v>
      </c>
      <c r="AK4" s="16">
        <f t="shared" ref="AK4:AK19" si="12">Q31/Q4</f>
        <v>1</v>
      </c>
      <c r="AL4" s="16">
        <f t="shared" ref="AL4:AL19" si="13">R31/R4</f>
        <v>0.84615384615384615</v>
      </c>
      <c r="AM4" s="16">
        <f t="shared" ref="AM4:AM19" si="14">S31/S4</f>
        <v>0.59090909090909094</v>
      </c>
      <c r="AN4" s="17">
        <f t="shared" ref="AN4:AN19" si="15">T31/T4</f>
        <v>0.47737556561085975</v>
      </c>
    </row>
    <row r="5" spans="2:40" ht="15" customHeight="1">
      <c r="B5" s="87"/>
      <c r="C5" s="90"/>
      <c r="D5" s="5">
        <v>0.5</v>
      </c>
      <c r="E5" s="27">
        <v>434</v>
      </c>
      <c r="F5" s="28">
        <v>524</v>
      </c>
      <c r="G5" s="28">
        <v>580</v>
      </c>
      <c r="H5" s="28">
        <v>628</v>
      </c>
      <c r="I5" s="28">
        <v>756</v>
      </c>
      <c r="J5" s="28">
        <v>924</v>
      </c>
      <c r="K5" s="28">
        <v>1416</v>
      </c>
      <c r="L5" s="29">
        <v>3632</v>
      </c>
      <c r="M5" s="27">
        <v>346</v>
      </c>
      <c r="N5" s="28">
        <v>502</v>
      </c>
      <c r="O5" s="28">
        <v>572</v>
      </c>
      <c r="P5" s="28">
        <v>580</v>
      </c>
      <c r="Q5" s="28">
        <v>588</v>
      </c>
      <c r="R5" s="28">
        <v>716</v>
      </c>
      <c r="S5" s="28">
        <v>1064</v>
      </c>
      <c r="T5" s="29">
        <v>2800</v>
      </c>
      <c r="V5" s="93"/>
      <c r="W5" s="96"/>
      <c r="X5" s="5">
        <v>0.5</v>
      </c>
      <c r="Y5" s="18">
        <f t="shared" si="0"/>
        <v>0.46313364055299538</v>
      </c>
      <c r="Z5" s="12">
        <f t="shared" si="1"/>
        <v>0.47900763358778625</v>
      </c>
      <c r="AA5" s="12">
        <f t="shared" si="2"/>
        <v>0.52758620689655178</v>
      </c>
      <c r="AB5" s="12">
        <f t="shared" si="3"/>
        <v>0.58917197452229297</v>
      </c>
      <c r="AC5" s="12">
        <f t="shared" si="4"/>
        <v>0.58465608465608465</v>
      </c>
      <c r="AD5" s="12">
        <f t="shared" si="5"/>
        <v>0.46536796536796537</v>
      </c>
      <c r="AE5" s="12">
        <f t="shared" si="6"/>
        <v>0.403954802259887</v>
      </c>
      <c r="AF5" s="19">
        <f t="shared" si="7"/>
        <v>0.6035242290748899</v>
      </c>
      <c r="AG5" s="18">
        <f t="shared" si="8"/>
        <v>0.54624277456647397</v>
      </c>
      <c r="AH5" s="12">
        <f t="shared" si="9"/>
        <v>0.52988047808764938</v>
      </c>
      <c r="AI5" s="12">
        <f t="shared" si="10"/>
        <v>0.59090909090909094</v>
      </c>
      <c r="AJ5" s="12">
        <f t="shared" si="11"/>
        <v>0.74827586206896557</v>
      </c>
      <c r="AK5" s="12">
        <f t="shared" si="12"/>
        <v>0.94557823129251706</v>
      </c>
      <c r="AL5" s="12">
        <f t="shared" si="13"/>
        <v>0.86592178770949724</v>
      </c>
      <c r="AM5" s="12">
        <f t="shared" si="14"/>
        <v>0.6428571428571429</v>
      </c>
      <c r="AN5" s="19">
        <f t="shared" si="15"/>
        <v>0.60857142857142854</v>
      </c>
    </row>
    <row r="6" spans="2:40" ht="15" customHeight="1">
      <c r="B6" s="87"/>
      <c r="C6" s="90"/>
      <c r="D6" s="5">
        <v>0.75</v>
      </c>
      <c r="E6" s="27">
        <v>298</v>
      </c>
      <c r="F6" s="28">
        <v>390</v>
      </c>
      <c r="G6" s="28">
        <v>454</v>
      </c>
      <c r="H6" s="28">
        <v>524</v>
      </c>
      <c r="I6" s="28">
        <v>588</v>
      </c>
      <c r="J6" s="28">
        <v>764</v>
      </c>
      <c r="K6" s="28">
        <v>1048</v>
      </c>
      <c r="L6" s="29">
        <v>2576</v>
      </c>
      <c r="M6" s="27">
        <v>191</v>
      </c>
      <c r="N6" s="28">
        <v>274</v>
      </c>
      <c r="O6" s="28">
        <v>426</v>
      </c>
      <c r="P6" s="28">
        <v>524</v>
      </c>
      <c r="Q6" s="28">
        <v>572</v>
      </c>
      <c r="R6" s="28">
        <v>588</v>
      </c>
      <c r="S6" s="28">
        <v>772</v>
      </c>
      <c r="T6" s="29">
        <v>1880</v>
      </c>
      <c r="V6" s="93"/>
      <c r="W6" s="96"/>
      <c r="X6" s="5">
        <v>0.75</v>
      </c>
      <c r="Y6" s="18">
        <f t="shared" si="0"/>
        <v>0.41275167785234901</v>
      </c>
      <c r="Z6" s="12">
        <f t="shared" si="1"/>
        <v>0.48974358974358972</v>
      </c>
      <c r="AA6" s="12">
        <f t="shared" si="2"/>
        <v>0.55726872246696035</v>
      </c>
      <c r="AB6" s="12">
        <f t="shared" si="3"/>
        <v>0.59160305343511455</v>
      </c>
      <c r="AC6" s="12">
        <f t="shared" si="4"/>
        <v>0.6428571428571429</v>
      </c>
      <c r="AD6" s="12">
        <f t="shared" si="5"/>
        <v>0.66753926701570676</v>
      </c>
      <c r="AE6" s="12">
        <f t="shared" si="6"/>
        <v>0.75190839694656486</v>
      </c>
      <c r="AF6" s="19">
        <f t="shared" si="7"/>
        <v>0.9503105590062112</v>
      </c>
      <c r="AG6" s="18">
        <f t="shared" si="8"/>
        <v>0.55497382198952883</v>
      </c>
      <c r="AH6" s="12">
        <f t="shared" si="9"/>
        <v>0.55109489051094895</v>
      </c>
      <c r="AI6" s="12">
        <f t="shared" si="10"/>
        <v>0.57981220657276999</v>
      </c>
      <c r="AJ6" s="12">
        <f t="shared" si="11"/>
        <v>0.59160305343511455</v>
      </c>
      <c r="AK6" s="12">
        <f t="shared" si="12"/>
        <v>0.70979020979020979</v>
      </c>
      <c r="AL6" s="12">
        <f t="shared" si="13"/>
        <v>0.90476190476190477</v>
      </c>
      <c r="AM6" s="12">
        <f t="shared" si="14"/>
        <v>1</v>
      </c>
      <c r="AN6" s="19">
        <f t="shared" si="15"/>
        <v>1.0255319148936171</v>
      </c>
    </row>
    <row r="7" spans="2:40" ht="15" customHeight="1" thickBot="1">
      <c r="B7" s="87"/>
      <c r="C7" s="91"/>
      <c r="D7" s="6">
        <v>1</v>
      </c>
      <c r="E7" s="30">
        <v>88</v>
      </c>
      <c r="F7" s="31">
        <v>107</v>
      </c>
      <c r="G7" s="31">
        <v>129</v>
      </c>
      <c r="H7" s="31">
        <v>149</v>
      </c>
      <c r="I7" s="31">
        <v>191</v>
      </c>
      <c r="J7" s="31">
        <v>286</v>
      </c>
      <c r="K7" s="31">
        <v>494</v>
      </c>
      <c r="L7" s="32">
        <v>1096</v>
      </c>
      <c r="M7" s="30">
        <v>87</v>
      </c>
      <c r="N7" s="31">
        <v>92</v>
      </c>
      <c r="O7" s="31">
        <v>116</v>
      </c>
      <c r="P7" s="31">
        <v>133</v>
      </c>
      <c r="Q7" s="31">
        <v>155</v>
      </c>
      <c r="R7" s="31">
        <v>203</v>
      </c>
      <c r="S7" s="31">
        <v>294</v>
      </c>
      <c r="T7" s="32">
        <v>764</v>
      </c>
      <c r="V7" s="93"/>
      <c r="W7" s="97"/>
      <c r="X7" s="6">
        <v>1</v>
      </c>
      <c r="Y7" s="20">
        <f t="shared" si="0"/>
        <v>0.78409090909090906</v>
      </c>
      <c r="Z7" s="21">
        <f t="shared" si="1"/>
        <v>0.83177570093457942</v>
      </c>
      <c r="AA7" s="21">
        <f t="shared" si="2"/>
        <v>0.81395348837209303</v>
      </c>
      <c r="AB7" s="21">
        <f t="shared" si="3"/>
        <v>0.79865771812080533</v>
      </c>
      <c r="AC7" s="21">
        <f t="shared" si="4"/>
        <v>0.82198952879581155</v>
      </c>
      <c r="AD7" s="21">
        <f t="shared" si="5"/>
        <v>0.82867132867132864</v>
      </c>
      <c r="AE7" s="21">
        <f t="shared" si="6"/>
        <v>0.78947368421052633</v>
      </c>
      <c r="AF7" s="22">
        <f t="shared" si="7"/>
        <v>0.76277372262773724</v>
      </c>
      <c r="AG7" s="20">
        <f t="shared" si="8"/>
        <v>0.7931034482758621</v>
      </c>
      <c r="AH7" s="21">
        <f t="shared" si="9"/>
        <v>0.81521739130434778</v>
      </c>
      <c r="AI7" s="21">
        <f t="shared" si="10"/>
        <v>0.83620689655172409</v>
      </c>
      <c r="AJ7" s="21">
        <f t="shared" si="11"/>
        <v>0.81203007518796988</v>
      </c>
      <c r="AK7" s="21">
        <f t="shared" si="12"/>
        <v>0.8</v>
      </c>
      <c r="AL7" s="21">
        <f t="shared" si="13"/>
        <v>0.81280788177339902</v>
      </c>
      <c r="AM7" s="21">
        <f t="shared" si="14"/>
        <v>0.81972789115646261</v>
      </c>
      <c r="AN7" s="22">
        <f t="shared" si="15"/>
        <v>0.92670157068062831</v>
      </c>
    </row>
    <row r="8" spans="2:40" ht="15" customHeight="1">
      <c r="B8" s="87"/>
      <c r="C8" s="89" t="s">
        <v>7</v>
      </c>
      <c r="D8" s="4">
        <v>0.25</v>
      </c>
      <c r="E8" s="24">
        <v>924</v>
      </c>
      <c r="F8" s="25">
        <v>1004</v>
      </c>
      <c r="G8" s="25">
        <v>1288</v>
      </c>
      <c r="H8" s="25">
        <v>1736</v>
      </c>
      <c r="I8" s="25">
        <v>1848</v>
      </c>
      <c r="J8" s="25">
        <v>1960</v>
      </c>
      <c r="K8" s="25">
        <v>2384</v>
      </c>
      <c r="L8" s="26">
        <v>5664</v>
      </c>
      <c r="M8" s="24">
        <v>972</v>
      </c>
      <c r="N8" s="25">
        <v>1004</v>
      </c>
      <c r="O8" s="25">
        <v>1080</v>
      </c>
      <c r="P8" s="25">
        <v>1096</v>
      </c>
      <c r="Q8" s="25">
        <v>1128</v>
      </c>
      <c r="R8" s="25">
        <v>1288</v>
      </c>
      <c r="S8" s="25">
        <v>1656</v>
      </c>
      <c r="T8" s="26">
        <v>4512</v>
      </c>
      <c r="V8" s="93"/>
      <c r="W8" s="98" t="s">
        <v>7</v>
      </c>
      <c r="X8" s="4">
        <v>0.25</v>
      </c>
      <c r="Y8" s="15">
        <f t="shared" si="0"/>
        <v>0.59307359307359309</v>
      </c>
      <c r="Z8" s="16">
        <f t="shared" si="1"/>
        <v>0.87250996015936255</v>
      </c>
      <c r="AA8" s="16">
        <f t="shared" si="2"/>
        <v>0.69254658385093171</v>
      </c>
      <c r="AB8" s="16">
        <f t="shared" si="3"/>
        <v>0.54608294930875578</v>
      </c>
      <c r="AC8" s="16">
        <f t="shared" si="4"/>
        <v>0.53896103896103897</v>
      </c>
      <c r="AD8" s="16">
        <f t="shared" si="5"/>
        <v>0.51632653061224487</v>
      </c>
      <c r="AE8" s="16">
        <f t="shared" si="6"/>
        <v>0.42114093959731541</v>
      </c>
      <c r="AF8" s="17">
        <f t="shared" si="7"/>
        <v>0.43220338983050849</v>
      </c>
      <c r="AG8" s="15">
        <f t="shared" si="8"/>
        <v>0.72016460905349799</v>
      </c>
      <c r="AH8" s="16">
        <f t="shared" si="9"/>
        <v>0.81673306772908372</v>
      </c>
      <c r="AI8" s="16">
        <f t="shared" si="10"/>
        <v>0.81851851851851853</v>
      </c>
      <c r="AJ8" s="16">
        <f t="shared" si="11"/>
        <v>0.87226277372262773</v>
      </c>
      <c r="AK8" s="16">
        <f t="shared" si="12"/>
        <v>0.92907801418439717</v>
      </c>
      <c r="AL8" s="16">
        <f t="shared" si="13"/>
        <v>0.86335403726708071</v>
      </c>
      <c r="AM8" s="16">
        <f t="shared" si="14"/>
        <v>0.6811594202898551</v>
      </c>
      <c r="AN8" s="17">
        <f t="shared" si="15"/>
        <v>0.43085106382978722</v>
      </c>
    </row>
    <row r="9" spans="2:40" ht="15" customHeight="1">
      <c r="B9" s="87"/>
      <c r="C9" s="90"/>
      <c r="D9" s="5">
        <v>0.5</v>
      </c>
      <c r="E9" s="27">
        <v>836</v>
      </c>
      <c r="F9" s="28">
        <v>876</v>
      </c>
      <c r="G9" s="28">
        <v>956</v>
      </c>
      <c r="H9" s="28">
        <v>1160</v>
      </c>
      <c r="I9" s="28">
        <v>1672</v>
      </c>
      <c r="J9" s="28">
        <v>1848</v>
      </c>
      <c r="K9" s="28">
        <v>2224</v>
      </c>
      <c r="L9" s="29">
        <v>4576</v>
      </c>
      <c r="M9" s="27">
        <v>964</v>
      </c>
      <c r="N9" s="28">
        <v>980</v>
      </c>
      <c r="O9" s="28">
        <v>1020</v>
      </c>
      <c r="P9" s="28">
        <v>1080</v>
      </c>
      <c r="Q9" s="28">
        <v>1096</v>
      </c>
      <c r="R9" s="28">
        <v>1224</v>
      </c>
      <c r="S9" s="28">
        <v>1576</v>
      </c>
      <c r="T9" s="29">
        <v>3408</v>
      </c>
      <c r="V9" s="93"/>
      <c r="W9" s="96"/>
      <c r="X9" s="5">
        <v>0.5</v>
      </c>
      <c r="Y9" s="18">
        <f t="shared" si="0"/>
        <v>0.59569377990430628</v>
      </c>
      <c r="Z9" s="12">
        <f t="shared" si="1"/>
        <v>0.62557077625570778</v>
      </c>
      <c r="AA9" s="12">
        <f t="shared" si="2"/>
        <v>0.90794979079497906</v>
      </c>
      <c r="AB9" s="12">
        <f t="shared" si="3"/>
        <v>0.76896551724137929</v>
      </c>
      <c r="AC9" s="12">
        <f t="shared" si="4"/>
        <v>0.58133971291866027</v>
      </c>
      <c r="AD9" s="12">
        <f t="shared" si="5"/>
        <v>0.76623376623376627</v>
      </c>
      <c r="AE9" s="12">
        <f t="shared" si="6"/>
        <v>0.70143884892086328</v>
      </c>
      <c r="AF9" s="19">
        <f t="shared" si="7"/>
        <v>0.64685314685314688</v>
      </c>
      <c r="AG9" s="18">
        <f t="shared" si="8"/>
        <v>0.69294605809128629</v>
      </c>
      <c r="AH9" s="12">
        <f t="shared" si="9"/>
        <v>0.70612244897959187</v>
      </c>
      <c r="AI9" s="12">
        <f t="shared" si="10"/>
        <v>0.77254901960784317</v>
      </c>
      <c r="AJ9" s="12">
        <f t="shared" si="11"/>
        <v>0.81111111111111112</v>
      </c>
      <c r="AK9" s="12">
        <f t="shared" si="12"/>
        <v>0.87226277372262773</v>
      </c>
      <c r="AL9" s="12">
        <f t="shared" si="13"/>
        <v>0.90849673202614378</v>
      </c>
      <c r="AM9" s="12">
        <f t="shared" si="14"/>
        <v>0.95939086294416243</v>
      </c>
      <c r="AN9" s="19">
        <f t="shared" si="15"/>
        <v>0.65258215962441313</v>
      </c>
    </row>
    <row r="10" spans="2:40" ht="15" customHeight="1">
      <c r="B10" s="87"/>
      <c r="C10" s="90"/>
      <c r="D10" s="5">
        <v>0.75</v>
      </c>
      <c r="E10" s="27">
        <v>788</v>
      </c>
      <c r="F10" s="28">
        <v>812</v>
      </c>
      <c r="G10" s="28">
        <v>844</v>
      </c>
      <c r="H10" s="28">
        <v>900</v>
      </c>
      <c r="I10" s="28">
        <v>1048</v>
      </c>
      <c r="J10" s="28">
        <v>1704</v>
      </c>
      <c r="K10" s="28">
        <v>2128</v>
      </c>
      <c r="L10" s="29">
        <v>3632</v>
      </c>
      <c r="M10" s="27">
        <v>796</v>
      </c>
      <c r="N10" s="28">
        <v>948</v>
      </c>
      <c r="O10" s="28">
        <v>972</v>
      </c>
      <c r="P10" s="28">
        <v>1020</v>
      </c>
      <c r="Q10" s="28">
        <v>1080</v>
      </c>
      <c r="R10" s="28">
        <v>1096</v>
      </c>
      <c r="S10" s="28">
        <v>1272</v>
      </c>
      <c r="T10" s="29">
        <v>2384</v>
      </c>
      <c r="V10" s="93"/>
      <c r="W10" s="96"/>
      <c r="X10" s="5">
        <v>0.75</v>
      </c>
      <c r="Y10" s="18">
        <f t="shared" si="0"/>
        <v>0.59137055837563457</v>
      </c>
      <c r="Z10" s="12">
        <f t="shared" si="1"/>
        <v>0.61330049261083741</v>
      </c>
      <c r="AA10" s="12">
        <f t="shared" si="2"/>
        <v>0.6398104265402843</v>
      </c>
      <c r="AB10" s="12">
        <f t="shared" si="3"/>
        <v>0.93777777777777782</v>
      </c>
      <c r="AC10" s="12">
        <f t="shared" si="4"/>
        <v>0.85114503816793896</v>
      </c>
      <c r="AD10" s="12">
        <f t="shared" si="5"/>
        <v>0.59859154929577463</v>
      </c>
      <c r="AE10" s="12">
        <f t="shared" si="6"/>
        <v>0.76315789473684215</v>
      </c>
      <c r="AF10" s="19">
        <f t="shared" si="7"/>
        <v>1.026431718061674</v>
      </c>
      <c r="AG10" s="18">
        <f t="shared" si="8"/>
        <v>0.7386934673366834</v>
      </c>
      <c r="AH10" s="12">
        <f t="shared" si="9"/>
        <v>0.67932489451476796</v>
      </c>
      <c r="AI10" s="12">
        <f t="shared" si="10"/>
        <v>0.7119341563786008</v>
      </c>
      <c r="AJ10" s="12">
        <f t="shared" si="11"/>
        <v>0.72549019607843135</v>
      </c>
      <c r="AK10" s="12">
        <f t="shared" si="12"/>
        <v>0.81111111111111112</v>
      </c>
      <c r="AL10" s="12">
        <f t="shared" si="13"/>
        <v>0.88686131386861311</v>
      </c>
      <c r="AM10" s="12">
        <f t="shared" si="14"/>
        <v>1</v>
      </c>
      <c r="AN10" s="19">
        <f t="shared" si="15"/>
        <v>1.2416107382550337</v>
      </c>
    </row>
    <row r="11" spans="2:40" ht="15" customHeight="1" thickBot="1">
      <c r="B11" s="87"/>
      <c r="C11" s="91"/>
      <c r="D11" s="6">
        <v>1</v>
      </c>
      <c r="E11" s="30">
        <v>118</v>
      </c>
      <c r="F11" s="31">
        <v>157</v>
      </c>
      <c r="G11" s="31">
        <v>189</v>
      </c>
      <c r="H11" s="31">
        <v>237</v>
      </c>
      <c r="I11" s="31">
        <v>318</v>
      </c>
      <c r="J11" s="31">
        <v>490</v>
      </c>
      <c r="K11" s="31">
        <v>876</v>
      </c>
      <c r="L11" s="32">
        <v>1704</v>
      </c>
      <c r="M11" s="30">
        <v>108</v>
      </c>
      <c r="N11" s="31">
        <v>151</v>
      </c>
      <c r="O11" s="31">
        <v>173</v>
      </c>
      <c r="P11" s="31">
        <v>201</v>
      </c>
      <c r="Q11" s="31">
        <v>249</v>
      </c>
      <c r="R11" s="31">
        <v>338</v>
      </c>
      <c r="S11" s="31">
        <v>478</v>
      </c>
      <c r="T11" s="32">
        <v>948</v>
      </c>
      <c r="V11" s="93"/>
      <c r="W11" s="97"/>
      <c r="X11" s="6">
        <v>1</v>
      </c>
      <c r="Y11" s="20">
        <f t="shared" si="0"/>
        <v>0.77118644067796616</v>
      </c>
      <c r="Z11" s="21">
        <f t="shared" si="1"/>
        <v>0.76433121019108285</v>
      </c>
      <c r="AA11" s="21">
        <f t="shared" si="2"/>
        <v>0.80952380952380953</v>
      </c>
      <c r="AB11" s="21">
        <f t="shared" si="3"/>
        <v>0.80590717299578063</v>
      </c>
      <c r="AC11" s="21">
        <f t="shared" si="4"/>
        <v>0.82389937106918243</v>
      </c>
      <c r="AD11" s="21">
        <f t="shared" si="5"/>
        <v>0.87755102040816324</v>
      </c>
      <c r="AE11" s="21">
        <f t="shared" si="6"/>
        <v>0.81735159817351599</v>
      </c>
      <c r="AF11" s="22">
        <f t="shared" si="7"/>
        <v>0.6901408450704225</v>
      </c>
      <c r="AG11" s="20">
        <f t="shared" si="8"/>
        <v>0.71296296296296291</v>
      </c>
      <c r="AH11" s="21">
        <f t="shared" si="9"/>
        <v>0.7814569536423841</v>
      </c>
      <c r="AI11" s="21">
        <f t="shared" si="10"/>
        <v>0.79190751445086704</v>
      </c>
      <c r="AJ11" s="21">
        <f t="shared" si="11"/>
        <v>0.80099502487562191</v>
      </c>
      <c r="AK11" s="21">
        <f t="shared" si="12"/>
        <v>0.80722891566265065</v>
      </c>
      <c r="AL11" s="21">
        <f t="shared" si="13"/>
        <v>0.8224852071005917</v>
      </c>
      <c r="AM11" s="21">
        <f t="shared" si="14"/>
        <v>0.77405857740585771</v>
      </c>
      <c r="AN11" s="22">
        <f t="shared" si="15"/>
        <v>0.88185654008438819</v>
      </c>
    </row>
    <row r="12" spans="2:40" ht="15" customHeight="1">
      <c r="B12" s="87"/>
      <c r="C12" s="89" t="s">
        <v>8</v>
      </c>
      <c r="D12" s="4">
        <v>0.25</v>
      </c>
      <c r="E12" s="24">
        <v>6085</v>
      </c>
      <c r="F12" s="25">
        <v>10176</v>
      </c>
      <c r="G12" s="25">
        <v>15984</v>
      </c>
      <c r="H12" s="25">
        <v>16971</v>
      </c>
      <c r="I12" s="25">
        <v>16969</v>
      </c>
      <c r="J12" s="25">
        <v>17008</v>
      </c>
      <c r="K12" s="25">
        <v>17077</v>
      </c>
      <c r="L12" s="26">
        <v>17105</v>
      </c>
      <c r="M12" s="24">
        <v>6829</v>
      </c>
      <c r="N12" s="25">
        <v>11944</v>
      </c>
      <c r="O12" s="25">
        <v>19495</v>
      </c>
      <c r="P12" s="25">
        <v>20905</v>
      </c>
      <c r="Q12" s="25">
        <v>20831</v>
      </c>
      <c r="R12" s="25">
        <v>20935</v>
      </c>
      <c r="S12" s="25">
        <v>20891</v>
      </c>
      <c r="T12" s="26">
        <v>20834</v>
      </c>
      <c r="V12" s="93"/>
      <c r="W12" s="98" t="s">
        <v>8</v>
      </c>
      <c r="X12" s="4">
        <v>0.25</v>
      </c>
      <c r="Y12" s="15">
        <f t="shared" si="0"/>
        <v>1.3382087099424815</v>
      </c>
      <c r="Z12" s="16">
        <f t="shared" si="1"/>
        <v>1.3771619496855345</v>
      </c>
      <c r="AA12" s="16">
        <f t="shared" si="2"/>
        <v>1.3649274274274275</v>
      </c>
      <c r="AB12" s="16">
        <f t="shared" si="3"/>
        <v>1.3506570031229745</v>
      </c>
      <c r="AC12" s="16">
        <f t="shared" si="4"/>
        <v>1.3529966409334668</v>
      </c>
      <c r="AD12" s="16">
        <f t="shared" si="5"/>
        <v>1.3505997177798683</v>
      </c>
      <c r="AE12" s="16">
        <f t="shared" si="6"/>
        <v>1.3440885401417111</v>
      </c>
      <c r="AF12" s="17">
        <f t="shared" si="7"/>
        <v>1.3932768196433791</v>
      </c>
      <c r="AG12" s="15">
        <f t="shared" si="8"/>
        <v>1.2937472543564212</v>
      </c>
      <c r="AH12" s="16">
        <f t="shared" si="9"/>
        <v>1.3153884795713329</v>
      </c>
      <c r="AI12" s="16">
        <f t="shared" si="10"/>
        <v>1.3092587843036676</v>
      </c>
      <c r="AJ12" s="16">
        <f t="shared" si="11"/>
        <v>1.6103324563501555</v>
      </c>
      <c r="AK12" s="16">
        <f t="shared" si="12"/>
        <v>1.6102923527435073</v>
      </c>
      <c r="AL12" s="16">
        <f t="shared" si="13"/>
        <v>1.6009075710532601</v>
      </c>
      <c r="AM12" s="16">
        <f t="shared" si="14"/>
        <v>1.6031784021827582</v>
      </c>
      <c r="AN12" s="17">
        <f t="shared" si="15"/>
        <v>1.7074013631563789</v>
      </c>
    </row>
    <row r="13" spans="2:40" ht="15" customHeight="1">
      <c r="B13" s="87"/>
      <c r="C13" s="90"/>
      <c r="D13" s="5">
        <v>0.5</v>
      </c>
      <c r="E13" s="27">
        <v>9011</v>
      </c>
      <c r="F13" s="28">
        <v>15784</v>
      </c>
      <c r="G13" s="28">
        <v>25523</v>
      </c>
      <c r="H13" s="28">
        <v>38858</v>
      </c>
      <c r="I13" s="28">
        <v>44176</v>
      </c>
      <c r="J13" s="28">
        <v>44341</v>
      </c>
      <c r="K13" s="28">
        <v>44744</v>
      </c>
      <c r="L13" s="29">
        <v>44870</v>
      </c>
      <c r="M13" s="27">
        <v>9796</v>
      </c>
      <c r="N13" s="28">
        <v>17820</v>
      </c>
      <c r="O13" s="28">
        <v>30086</v>
      </c>
      <c r="P13" s="28">
        <v>47882</v>
      </c>
      <c r="Q13" s="28">
        <v>57243</v>
      </c>
      <c r="R13" s="28">
        <v>57114</v>
      </c>
      <c r="S13" s="28">
        <v>57279</v>
      </c>
      <c r="T13" s="29">
        <v>57299</v>
      </c>
      <c r="V13" s="93"/>
      <c r="W13" s="96"/>
      <c r="X13" s="5">
        <v>0.5</v>
      </c>
      <c r="Y13" s="18">
        <f t="shared" si="0"/>
        <v>1.2424814116080347</v>
      </c>
      <c r="Z13" s="12">
        <f t="shared" si="1"/>
        <v>1.3060694374049671</v>
      </c>
      <c r="AA13" s="12">
        <f t="shared" si="2"/>
        <v>1.3605375543627316</v>
      </c>
      <c r="AB13" s="12">
        <f t="shared" si="3"/>
        <v>1.2980338668999949</v>
      </c>
      <c r="AC13" s="12">
        <f t="shared" si="4"/>
        <v>1.3060032596885187</v>
      </c>
      <c r="AD13" s="12">
        <f t="shared" si="5"/>
        <v>1.3055411470196883</v>
      </c>
      <c r="AE13" s="12">
        <f t="shared" si="6"/>
        <v>1.2926649383157518</v>
      </c>
      <c r="AF13" s="19">
        <f t="shared" si="7"/>
        <v>1.4101181190104748</v>
      </c>
      <c r="AG13" s="18">
        <f t="shared" si="8"/>
        <v>1.2440792160065333</v>
      </c>
      <c r="AH13" s="12">
        <f t="shared" si="9"/>
        <v>1.2865319865319866</v>
      </c>
      <c r="AI13" s="12">
        <f t="shared" si="10"/>
        <v>1.3489662966163665</v>
      </c>
      <c r="AJ13" s="12">
        <f t="shared" si="11"/>
        <v>1.3407334697798756</v>
      </c>
      <c r="AK13" s="12">
        <f t="shared" si="12"/>
        <v>1.500148489771675</v>
      </c>
      <c r="AL13" s="12">
        <f t="shared" si="13"/>
        <v>1.4945197324648947</v>
      </c>
      <c r="AM13" s="12">
        <f t="shared" si="14"/>
        <v>1.490808149583617</v>
      </c>
      <c r="AN13" s="19">
        <f t="shared" si="15"/>
        <v>1.6683362711391123</v>
      </c>
    </row>
    <row r="14" spans="2:40" ht="15" customHeight="1">
      <c r="B14" s="87"/>
      <c r="C14" s="90"/>
      <c r="D14" s="5">
        <v>0.75</v>
      </c>
      <c r="E14" s="27">
        <v>11254</v>
      </c>
      <c r="F14" s="28">
        <v>20919</v>
      </c>
      <c r="G14" s="28">
        <v>36112</v>
      </c>
      <c r="H14" s="28">
        <v>58202</v>
      </c>
      <c r="I14" s="28">
        <v>86990</v>
      </c>
      <c r="J14" s="28">
        <v>101003</v>
      </c>
      <c r="K14" s="28">
        <v>101204</v>
      </c>
      <c r="L14" s="29">
        <v>101287</v>
      </c>
      <c r="M14" s="27">
        <v>11818</v>
      </c>
      <c r="N14" s="28">
        <v>22631</v>
      </c>
      <c r="O14" s="28">
        <v>40466</v>
      </c>
      <c r="P14" s="28">
        <v>67899</v>
      </c>
      <c r="Q14" s="28">
        <v>106566</v>
      </c>
      <c r="R14" s="28">
        <v>138040</v>
      </c>
      <c r="S14" s="28">
        <v>137406</v>
      </c>
      <c r="T14" s="29">
        <v>137751</v>
      </c>
      <c r="V14" s="93"/>
      <c r="W14" s="96"/>
      <c r="X14" s="5">
        <v>0.75</v>
      </c>
      <c r="Y14" s="18">
        <f t="shared" si="0"/>
        <v>1.1531011196019194</v>
      </c>
      <c r="Z14" s="12">
        <f t="shared" si="1"/>
        <v>1.1857163344328123</v>
      </c>
      <c r="AA14" s="12">
        <f t="shared" si="2"/>
        <v>1.2518830305715551</v>
      </c>
      <c r="AB14" s="12">
        <f t="shared" si="3"/>
        <v>1.2570014776124532</v>
      </c>
      <c r="AC14" s="12">
        <f t="shared" si="4"/>
        <v>1.2480400045982296</v>
      </c>
      <c r="AD14" s="12">
        <f t="shared" si="5"/>
        <v>1.2237359286357832</v>
      </c>
      <c r="AE14" s="12">
        <f t="shared" si="6"/>
        <v>1.2212560768349077</v>
      </c>
      <c r="AF14" s="19">
        <f t="shared" si="7"/>
        <v>1.2213413369929014</v>
      </c>
      <c r="AG14" s="18">
        <f t="shared" si="8"/>
        <v>1.1823489592147571</v>
      </c>
      <c r="AH14" s="12">
        <f t="shared" si="9"/>
        <v>1.190490919535151</v>
      </c>
      <c r="AI14" s="12">
        <f t="shared" si="10"/>
        <v>1.2475658577571294</v>
      </c>
      <c r="AJ14" s="12">
        <f t="shared" si="11"/>
        <v>1.3203434513026702</v>
      </c>
      <c r="AK14" s="12">
        <f t="shared" si="12"/>
        <v>1.3086068727361448</v>
      </c>
      <c r="AL14" s="12">
        <f t="shared" si="13"/>
        <v>1.2836134453781514</v>
      </c>
      <c r="AM14" s="12">
        <f t="shared" si="14"/>
        <v>1.3475903526774669</v>
      </c>
      <c r="AN14" s="19">
        <f t="shared" si="15"/>
        <v>1.3623058997756823</v>
      </c>
    </row>
    <row r="15" spans="2:40" ht="15" customHeight="1" thickBot="1">
      <c r="B15" s="88"/>
      <c r="C15" s="91"/>
      <c r="D15" s="6">
        <v>1</v>
      </c>
      <c r="E15" s="30">
        <v>13172</v>
      </c>
      <c r="F15" s="31">
        <v>26349</v>
      </c>
      <c r="G15" s="31">
        <v>51228</v>
      </c>
      <c r="H15" s="31">
        <v>96585</v>
      </c>
      <c r="I15" s="31">
        <v>172343</v>
      </c>
      <c r="J15" s="31">
        <v>276861</v>
      </c>
      <c r="K15" s="31">
        <v>376549</v>
      </c>
      <c r="L15" s="32">
        <v>413184</v>
      </c>
      <c r="M15" s="30">
        <v>13429</v>
      </c>
      <c r="N15" s="31">
        <v>26942</v>
      </c>
      <c r="O15" s="31">
        <v>52869</v>
      </c>
      <c r="P15" s="31">
        <v>101576</v>
      </c>
      <c r="Q15" s="31">
        <v>187891</v>
      </c>
      <c r="R15" s="31">
        <v>322336</v>
      </c>
      <c r="S15" s="31">
        <v>414326</v>
      </c>
      <c r="T15" s="32">
        <v>412063</v>
      </c>
      <c r="V15" s="94"/>
      <c r="W15" s="97"/>
      <c r="X15" s="6">
        <v>1</v>
      </c>
      <c r="Y15" s="20">
        <f t="shared" si="0"/>
        <v>1.2132553902216823</v>
      </c>
      <c r="Z15" s="21">
        <f t="shared" si="1"/>
        <v>1.1987172188697863</v>
      </c>
      <c r="AA15" s="21">
        <f t="shared" si="2"/>
        <v>1.2022331537440463</v>
      </c>
      <c r="AB15" s="21">
        <f t="shared" si="3"/>
        <v>1.2129419682145262</v>
      </c>
      <c r="AC15" s="21">
        <f t="shared" si="4"/>
        <v>1.2230609888420185</v>
      </c>
      <c r="AD15" s="21">
        <f t="shared" si="5"/>
        <v>1.227316234500345</v>
      </c>
      <c r="AE15" s="21">
        <f t="shared" si="6"/>
        <v>1.1508834175631857</v>
      </c>
      <c r="AF15" s="22">
        <f t="shared" si="7"/>
        <v>1.0574344601920693</v>
      </c>
      <c r="AG15" s="20">
        <f t="shared" si="8"/>
        <v>1.1872812569811602</v>
      </c>
      <c r="AH15" s="21">
        <f t="shared" si="9"/>
        <v>1.1754509687476802</v>
      </c>
      <c r="AI15" s="21">
        <f t="shared" si="10"/>
        <v>1.1792165541243451</v>
      </c>
      <c r="AJ15" s="21">
        <f t="shared" si="11"/>
        <v>1.1906257383633929</v>
      </c>
      <c r="AK15" s="21">
        <f t="shared" si="12"/>
        <v>1.2054595483551633</v>
      </c>
      <c r="AL15" s="21">
        <f t="shared" si="13"/>
        <v>1.2082454333366426</v>
      </c>
      <c r="AM15" s="21">
        <f t="shared" si="14"/>
        <v>1.0377890839580426</v>
      </c>
      <c r="AN15" s="22">
        <f t="shared" si="15"/>
        <v>1.0083797865860318</v>
      </c>
    </row>
    <row r="16" spans="2:40" ht="15" customHeight="1">
      <c r="B16" s="83" t="s">
        <v>9</v>
      </c>
      <c r="C16" s="98" t="s">
        <v>6</v>
      </c>
      <c r="D16" s="4">
        <v>0.25</v>
      </c>
      <c r="E16" s="24">
        <v>20</v>
      </c>
      <c r="F16" s="25">
        <v>17</v>
      </c>
      <c r="G16" s="25">
        <v>14</v>
      </c>
      <c r="H16" s="25">
        <v>15</v>
      </c>
      <c r="I16" s="25">
        <v>18</v>
      </c>
      <c r="J16" s="25">
        <v>298</v>
      </c>
      <c r="K16" s="25">
        <v>628</v>
      </c>
      <c r="L16" s="26">
        <v>2224</v>
      </c>
      <c r="M16" s="24">
        <v>16</v>
      </c>
      <c r="N16" s="25">
        <v>16</v>
      </c>
      <c r="O16" s="25">
        <v>14</v>
      </c>
      <c r="P16" s="25">
        <v>16</v>
      </c>
      <c r="Q16" s="25">
        <v>19</v>
      </c>
      <c r="R16" s="25">
        <v>181</v>
      </c>
      <c r="S16" s="25">
        <v>446</v>
      </c>
      <c r="T16" s="26">
        <v>1608</v>
      </c>
      <c r="V16" s="86" t="s">
        <v>9</v>
      </c>
      <c r="W16" s="98" t="s">
        <v>6</v>
      </c>
      <c r="X16" s="4">
        <v>0.25</v>
      </c>
      <c r="Y16" s="15">
        <f t="shared" si="0"/>
        <v>0.6</v>
      </c>
      <c r="Z16" s="16">
        <f t="shared" si="1"/>
        <v>0.76470588235294112</v>
      </c>
      <c r="AA16" s="16">
        <f t="shared" si="2"/>
        <v>1</v>
      </c>
      <c r="AB16" s="16">
        <f t="shared" si="3"/>
        <v>1</v>
      </c>
      <c r="AC16" s="16">
        <f t="shared" si="4"/>
        <v>1</v>
      </c>
      <c r="AD16" s="16">
        <f t="shared" si="5"/>
        <v>6.3758389261744972E-2</v>
      </c>
      <c r="AE16" s="16">
        <f t="shared" si="6"/>
        <v>0.21496815286624205</v>
      </c>
      <c r="AF16" s="17">
        <f t="shared" si="7"/>
        <v>6.6996402877697842E-2</v>
      </c>
      <c r="AG16" s="15">
        <f t="shared" si="8"/>
        <v>0.8125</v>
      </c>
      <c r="AH16" s="16">
        <f t="shared" si="9"/>
        <v>0.8125</v>
      </c>
      <c r="AI16" s="16">
        <f t="shared" si="10"/>
        <v>1</v>
      </c>
      <c r="AJ16" s="16">
        <f t="shared" si="11"/>
        <v>1.0625</v>
      </c>
      <c r="AK16" s="16">
        <f t="shared" si="12"/>
        <v>1.1052631578947369</v>
      </c>
      <c r="AL16" s="16">
        <f t="shared" si="13"/>
        <v>0.17127071823204421</v>
      </c>
      <c r="AM16" s="16">
        <f t="shared" si="14"/>
        <v>0.1547085201793722</v>
      </c>
      <c r="AN16" s="17">
        <f t="shared" si="15"/>
        <v>0.10634328358208955</v>
      </c>
    </row>
    <row r="17" spans="2:40" ht="15" customHeight="1">
      <c r="B17" s="93"/>
      <c r="C17" s="96"/>
      <c r="D17" s="5">
        <v>0.5</v>
      </c>
      <c r="E17" s="27">
        <v>19</v>
      </c>
      <c r="F17" s="28">
        <v>17</v>
      </c>
      <c r="G17" s="28">
        <v>14</v>
      </c>
      <c r="H17" s="28">
        <v>16</v>
      </c>
      <c r="I17" s="28">
        <v>213</v>
      </c>
      <c r="J17" s="28">
        <v>516</v>
      </c>
      <c r="K17" s="28">
        <v>1128</v>
      </c>
      <c r="L17" s="29">
        <v>3568</v>
      </c>
      <c r="M17" s="27">
        <v>16</v>
      </c>
      <c r="N17" s="28">
        <v>17</v>
      </c>
      <c r="O17" s="28">
        <v>14</v>
      </c>
      <c r="P17" s="28">
        <v>16</v>
      </c>
      <c r="Q17" s="28">
        <v>159</v>
      </c>
      <c r="R17" s="28">
        <v>398</v>
      </c>
      <c r="S17" s="28">
        <v>884</v>
      </c>
      <c r="T17" s="29">
        <v>2832</v>
      </c>
      <c r="V17" s="87"/>
      <c r="W17" s="96"/>
      <c r="X17" s="5">
        <v>0.5</v>
      </c>
      <c r="Y17" s="18">
        <f t="shared" si="0"/>
        <v>0.63157894736842102</v>
      </c>
      <c r="Z17" s="12">
        <f t="shared" si="1"/>
        <v>0.76470588235294112</v>
      </c>
      <c r="AA17" s="12">
        <f t="shared" si="2"/>
        <v>1</v>
      </c>
      <c r="AB17" s="12">
        <f t="shared" si="3"/>
        <v>1</v>
      </c>
      <c r="AC17" s="12">
        <f t="shared" si="4"/>
        <v>0.85915492957746475</v>
      </c>
      <c r="AD17" s="12">
        <f t="shared" si="5"/>
        <v>0.98837209302325579</v>
      </c>
      <c r="AE17" s="12">
        <f t="shared" si="6"/>
        <v>1.0283687943262412</v>
      </c>
      <c r="AF17" s="19">
        <f t="shared" si="7"/>
        <v>1.0717488789237668</v>
      </c>
      <c r="AG17" s="18">
        <f t="shared" si="8"/>
        <v>0.8125</v>
      </c>
      <c r="AH17" s="12">
        <f t="shared" si="9"/>
        <v>0.76470588235294112</v>
      </c>
      <c r="AI17" s="12">
        <f t="shared" si="10"/>
        <v>1.0714285714285714</v>
      </c>
      <c r="AJ17" s="12">
        <f t="shared" si="11"/>
        <v>1.125</v>
      </c>
      <c r="AK17" s="12">
        <f t="shared" si="12"/>
        <v>0.72955974842767291</v>
      </c>
      <c r="AL17" s="12">
        <f t="shared" si="13"/>
        <v>0.87939698492462315</v>
      </c>
      <c r="AM17" s="12">
        <f t="shared" si="14"/>
        <v>0.86425339366515841</v>
      </c>
      <c r="AN17" s="19">
        <f t="shared" si="15"/>
        <v>0.97740112994350281</v>
      </c>
    </row>
    <row r="18" spans="2:40" ht="15" customHeight="1">
      <c r="B18" s="93"/>
      <c r="C18" s="96"/>
      <c r="D18" s="5">
        <v>0.75</v>
      </c>
      <c r="E18" s="27">
        <v>19</v>
      </c>
      <c r="F18" s="28">
        <v>18</v>
      </c>
      <c r="G18" s="28">
        <v>14</v>
      </c>
      <c r="H18" s="28">
        <v>131</v>
      </c>
      <c r="I18" s="28">
        <v>290</v>
      </c>
      <c r="J18" s="28">
        <v>580</v>
      </c>
      <c r="K18" s="28">
        <v>1176</v>
      </c>
      <c r="L18" s="29">
        <v>4256</v>
      </c>
      <c r="M18" s="27">
        <v>18</v>
      </c>
      <c r="N18" s="28">
        <v>18</v>
      </c>
      <c r="O18" s="28">
        <v>15</v>
      </c>
      <c r="P18" s="28">
        <v>111</v>
      </c>
      <c r="Q18" s="28">
        <v>235</v>
      </c>
      <c r="R18" s="28">
        <v>474</v>
      </c>
      <c r="S18" s="28">
        <v>972</v>
      </c>
      <c r="T18" s="29">
        <v>3504</v>
      </c>
      <c r="V18" s="87"/>
      <c r="W18" s="96"/>
      <c r="X18" s="5">
        <v>0.75</v>
      </c>
      <c r="Y18" s="18">
        <f t="shared" si="0"/>
        <v>0.63157894736842102</v>
      </c>
      <c r="Z18" s="12">
        <f t="shared" si="1"/>
        <v>0.72222222222222221</v>
      </c>
      <c r="AA18" s="12">
        <f t="shared" si="2"/>
        <v>1</v>
      </c>
      <c r="AB18" s="12">
        <f t="shared" si="3"/>
        <v>1</v>
      </c>
      <c r="AC18" s="12">
        <f t="shared" si="4"/>
        <v>0.91724137931034477</v>
      </c>
      <c r="AD18" s="12">
        <f t="shared" si="5"/>
        <v>0.91724137931034477</v>
      </c>
      <c r="AE18" s="12">
        <f t="shared" si="6"/>
        <v>0.90476190476190477</v>
      </c>
      <c r="AF18" s="19">
        <f t="shared" si="7"/>
        <v>0.9285714285714286</v>
      </c>
      <c r="AG18" s="18">
        <f t="shared" si="8"/>
        <v>0.72222222222222221</v>
      </c>
      <c r="AH18" s="12">
        <f t="shared" si="9"/>
        <v>0.77777777777777779</v>
      </c>
      <c r="AI18" s="12">
        <f t="shared" si="10"/>
        <v>1</v>
      </c>
      <c r="AJ18" s="12">
        <f t="shared" si="11"/>
        <v>0.81081081081081086</v>
      </c>
      <c r="AK18" s="12">
        <f t="shared" si="12"/>
        <v>0.87234042553191493</v>
      </c>
      <c r="AL18" s="12">
        <f t="shared" si="13"/>
        <v>0.86497890295358648</v>
      </c>
      <c r="AM18" s="12">
        <f t="shared" si="14"/>
        <v>0.84362139917695478</v>
      </c>
      <c r="AN18" s="19">
        <f t="shared" si="15"/>
        <v>0.78082191780821919</v>
      </c>
    </row>
    <row r="19" spans="2:40" ht="15" customHeight="1" thickBot="1">
      <c r="B19" s="93"/>
      <c r="C19" s="97"/>
      <c r="D19" s="6">
        <v>1</v>
      </c>
      <c r="E19" s="30">
        <v>22</v>
      </c>
      <c r="F19" s="31">
        <v>37</v>
      </c>
      <c r="G19" s="31">
        <v>75</v>
      </c>
      <c r="H19" s="31">
        <v>149</v>
      </c>
      <c r="I19" s="31">
        <v>298</v>
      </c>
      <c r="J19" s="31">
        <v>596</v>
      </c>
      <c r="K19" s="31">
        <v>1192</v>
      </c>
      <c r="L19" s="32">
        <v>4768</v>
      </c>
      <c r="M19" s="30">
        <v>20</v>
      </c>
      <c r="N19" s="31">
        <v>32</v>
      </c>
      <c r="O19" s="31">
        <v>65</v>
      </c>
      <c r="P19" s="31">
        <v>131</v>
      </c>
      <c r="Q19" s="31">
        <v>258</v>
      </c>
      <c r="R19" s="31">
        <v>506</v>
      </c>
      <c r="S19" s="31">
        <v>1048</v>
      </c>
      <c r="T19" s="32">
        <v>4080</v>
      </c>
      <c r="V19" s="87"/>
      <c r="W19" s="97"/>
      <c r="X19" s="6">
        <v>1</v>
      </c>
      <c r="Y19" s="20">
        <f t="shared" si="0"/>
        <v>0.63636363636363635</v>
      </c>
      <c r="Z19" s="21">
        <f t="shared" si="1"/>
        <v>0.7567567567567568</v>
      </c>
      <c r="AA19" s="21">
        <f t="shared" si="2"/>
        <v>0.7466666666666667</v>
      </c>
      <c r="AB19" s="21">
        <f t="shared" si="3"/>
        <v>0.75838926174496646</v>
      </c>
      <c r="AC19" s="21">
        <f t="shared" si="4"/>
        <v>0.75503355704697983</v>
      </c>
      <c r="AD19" s="21">
        <f t="shared" si="5"/>
        <v>0.75503355704697983</v>
      </c>
      <c r="AE19" s="21">
        <f t="shared" si="6"/>
        <v>0.74832214765100669</v>
      </c>
      <c r="AF19" s="22">
        <f t="shared" si="7"/>
        <v>0.74832214765100669</v>
      </c>
      <c r="AG19" s="20">
        <f t="shared" si="8"/>
        <v>0.65</v>
      </c>
      <c r="AH19" s="21">
        <f t="shared" si="9"/>
        <v>0.78125</v>
      </c>
      <c r="AI19" s="21">
        <f t="shared" si="10"/>
        <v>0.6</v>
      </c>
      <c r="AJ19" s="21">
        <f t="shared" si="11"/>
        <v>0.59541984732824427</v>
      </c>
      <c r="AK19" s="21">
        <f t="shared" si="12"/>
        <v>0.60852713178294571</v>
      </c>
      <c r="AL19" s="21">
        <f t="shared" si="13"/>
        <v>0.61264822134387353</v>
      </c>
      <c r="AM19" s="21">
        <f t="shared" si="14"/>
        <v>0.58396946564885499</v>
      </c>
      <c r="AN19" s="22">
        <f t="shared" si="15"/>
        <v>0.59215686274509804</v>
      </c>
    </row>
    <row r="20" spans="2:40" ht="15" customHeight="1">
      <c r="B20" s="93"/>
      <c r="C20" s="98" t="s">
        <v>7</v>
      </c>
      <c r="D20" s="4">
        <v>0.25</v>
      </c>
      <c r="E20" s="24">
        <v>28</v>
      </c>
      <c r="F20" s="25">
        <v>23</v>
      </c>
      <c r="G20" s="25">
        <v>22</v>
      </c>
      <c r="H20" s="25">
        <v>23</v>
      </c>
      <c r="I20" s="25">
        <v>26</v>
      </c>
      <c r="J20" s="25">
        <v>434</v>
      </c>
      <c r="K20" s="25">
        <v>828</v>
      </c>
      <c r="L20" s="26">
        <v>2640</v>
      </c>
      <c r="M20" s="24">
        <v>23</v>
      </c>
      <c r="N20" s="25">
        <v>22</v>
      </c>
      <c r="O20" s="25">
        <v>22</v>
      </c>
      <c r="P20" s="25">
        <v>24</v>
      </c>
      <c r="Q20" s="25">
        <v>28</v>
      </c>
      <c r="R20" s="25">
        <v>270</v>
      </c>
      <c r="S20" s="25">
        <v>588</v>
      </c>
      <c r="T20" s="26">
        <v>1848</v>
      </c>
      <c r="V20" s="87"/>
      <c r="W20" s="98" t="s">
        <v>7</v>
      </c>
      <c r="X20" s="4">
        <v>0.25</v>
      </c>
      <c r="Y20" s="15">
        <f t="shared" ref="Y20:AM27" si="16">E47/E20</f>
        <v>0.7142857142857143</v>
      </c>
      <c r="Z20" s="16">
        <f t="shared" si="16"/>
        <v>0.86956521739130432</v>
      </c>
      <c r="AA20" s="16">
        <f t="shared" si="16"/>
        <v>1</v>
      </c>
      <c r="AB20" s="16">
        <f t="shared" si="16"/>
        <v>1</v>
      </c>
      <c r="AC20" s="16">
        <f t="shared" si="16"/>
        <v>1</v>
      </c>
      <c r="AD20" s="16">
        <f t="shared" si="16"/>
        <v>7.6036866359447008E-2</v>
      </c>
      <c r="AE20" s="16">
        <f t="shared" si="16"/>
        <v>0.37439613526570048</v>
      </c>
      <c r="AF20" s="17">
        <f t="shared" si="16"/>
        <v>0.24696969696969698</v>
      </c>
      <c r="AG20" s="15">
        <f t="shared" si="16"/>
        <v>0.86956521739130432</v>
      </c>
      <c r="AH20" s="16">
        <f t="shared" si="16"/>
        <v>0.95454545454545459</v>
      </c>
      <c r="AI20" s="16">
        <f t="shared" si="16"/>
        <v>1</v>
      </c>
      <c r="AJ20" s="16">
        <f t="shared" si="16"/>
        <v>1</v>
      </c>
      <c r="AK20" s="16">
        <f t="shared" si="16"/>
        <v>1.0714285714285714</v>
      </c>
      <c r="AL20" s="16">
        <f t="shared" si="16"/>
        <v>0.18148148148148149</v>
      </c>
      <c r="AM20" s="16">
        <f t="shared" si="16"/>
        <v>0.20748299319727892</v>
      </c>
      <c r="AN20" s="17">
        <f t="shared" ref="AN20:AN27" si="17">T47/T20</f>
        <v>0.32251082251082253</v>
      </c>
    </row>
    <row r="21" spans="2:40" ht="15" customHeight="1">
      <c r="B21" s="93"/>
      <c r="C21" s="96"/>
      <c r="D21" s="5">
        <v>0.5</v>
      </c>
      <c r="E21" s="27">
        <v>26</v>
      </c>
      <c r="F21" s="28">
        <v>24</v>
      </c>
      <c r="G21" s="28">
        <v>22</v>
      </c>
      <c r="H21" s="28">
        <v>23</v>
      </c>
      <c r="I21" s="28">
        <v>274</v>
      </c>
      <c r="J21" s="28">
        <v>612</v>
      </c>
      <c r="K21" s="28">
        <v>1272</v>
      </c>
      <c r="L21" s="29">
        <v>4320</v>
      </c>
      <c r="M21" s="27">
        <v>23</v>
      </c>
      <c r="N21" s="28">
        <v>23</v>
      </c>
      <c r="O21" s="28">
        <v>23</v>
      </c>
      <c r="P21" s="28">
        <v>24</v>
      </c>
      <c r="Q21" s="28">
        <v>207</v>
      </c>
      <c r="R21" s="28">
        <v>474</v>
      </c>
      <c r="S21" s="28">
        <v>1004</v>
      </c>
      <c r="T21" s="29">
        <v>3408</v>
      </c>
      <c r="V21" s="87"/>
      <c r="W21" s="96"/>
      <c r="X21" s="5">
        <v>0.5</v>
      </c>
      <c r="Y21" s="18">
        <f t="shared" si="16"/>
        <v>0.76923076923076927</v>
      </c>
      <c r="Z21" s="12">
        <f t="shared" si="16"/>
        <v>0.875</v>
      </c>
      <c r="AA21" s="12">
        <f t="shared" si="16"/>
        <v>1</v>
      </c>
      <c r="AB21" s="12">
        <f t="shared" si="16"/>
        <v>1</v>
      </c>
      <c r="AC21" s="12">
        <f t="shared" si="16"/>
        <v>0.85766423357664234</v>
      </c>
      <c r="AD21" s="12">
        <f t="shared" si="16"/>
        <v>0.90849673202614378</v>
      </c>
      <c r="AE21" s="12">
        <f t="shared" si="16"/>
        <v>0.94968553459119498</v>
      </c>
      <c r="AF21" s="19">
        <f t="shared" si="16"/>
        <v>0.9555555555555556</v>
      </c>
      <c r="AG21" s="18">
        <f t="shared" si="16"/>
        <v>0.86956521739130432</v>
      </c>
      <c r="AH21" s="12">
        <f t="shared" si="16"/>
        <v>0.91304347826086951</v>
      </c>
      <c r="AI21" s="12">
        <f t="shared" si="16"/>
        <v>0.95652173913043481</v>
      </c>
      <c r="AJ21" s="12">
        <f t="shared" si="16"/>
        <v>1.0416666666666667</v>
      </c>
      <c r="AK21" s="12">
        <f t="shared" si="16"/>
        <v>0.85507246376811596</v>
      </c>
      <c r="AL21" s="12">
        <f t="shared" si="16"/>
        <v>0.83122362869198307</v>
      </c>
      <c r="AM21" s="12">
        <f t="shared" si="16"/>
        <v>0.80079681274900394</v>
      </c>
      <c r="AN21" s="19">
        <f t="shared" si="17"/>
        <v>0.91549295774647887</v>
      </c>
    </row>
    <row r="22" spans="2:40" ht="15" customHeight="1">
      <c r="B22" s="93"/>
      <c r="C22" s="96"/>
      <c r="D22" s="5">
        <v>0.75</v>
      </c>
      <c r="E22" s="27">
        <v>26</v>
      </c>
      <c r="F22" s="28">
        <v>25</v>
      </c>
      <c r="G22" s="28">
        <v>23</v>
      </c>
      <c r="H22" s="28">
        <v>153</v>
      </c>
      <c r="I22" s="28">
        <v>322</v>
      </c>
      <c r="J22" s="28">
        <v>636</v>
      </c>
      <c r="K22" s="28">
        <v>1272</v>
      </c>
      <c r="L22" s="29">
        <v>5856</v>
      </c>
      <c r="M22" s="27">
        <v>24</v>
      </c>
      <c r="N22" s="28">
        <v>25</v>
      </c>
      <c r="O22" s="28">
        <v>24</v>
      </c>
      <c r="P22" s="28">
        <v>125</v>
      </c>
      <c r="Q22" s="28">
        <v>262</v>
      </c>
      <c r="R22" s="28">
        <v>516</v>
      </c>
      <c r="S22" s="28">
        <v>1048</v>
      </c>
      <c r="T22" s="29">
        <v>4768</v>
      </c>
      <c r="V22" s="87"/>
      <c r="W22" s="96"/>
      <c r="X22" s="5">
        <v>0.75</v>
      </c>
      <c r="Y22" s="18">
        <f t="shared" si="16"/>
        <v>0.76923076923076927</v>
      </c>
      <c r="Z22" s="12">
        <f t="shared" si="16"/>
        <v>0.84</v>
      </c>
      <c r="AA22" s="12">
        <f t="shared" si="16"/>
        <v>0.95652173913043481</v>
      </c>
      <c r="AB22" s="12">
        <f t="shared" si="16"/>
        <v>0.86928104575163401</v>
      </c>
      <c r="AC22" s="12">
        <f t="shared" si="16"/>
        <v>0.83850931677018636</v>
      </c>
      <c r="AD22" s="12">
        <f t="shared" si="16"/>
        <v>0.84905660377358494</v>
      </c>
      <c r="AE22" s="12">
        <f t="shared" si="16"/>
        <v>0.83647798742138368</v>
      </c>
      <c r="AF22" s="19">
        <f t="shared" si="16"/>
        <v>0.70491803278688525</v>
      </c>
      <c r="AG22" s="18">
        <f t="shared" si="16"/>
        <v>0.83333333333333337</v>
      </c>
      <c r="AH22" s="12">
        <f t="shared" si="16"/>
        <v>0.88</v>
      </c>
      <c r="AI22" s="12">
        <f t="shared" si="16"/>
        <v>0.95833333333333337</v>
      </c>
      <c r="AJ22" s="12">
        <f t="shared" si="16"/>
        <v>0.83199999999999996</v>
      </c>
      <c r="AK22" s="12">
        <f t="shared" si="16"/>
        <v>0.79770992366412219</v>
      </c>
      <c r="AL22" s="12">
        <f t="shared" si="16"/>
        <v>0.81007751937984496</v>
      </c>
      <c r="AM22" s="12">
        <f t="shared" si="16"/>
        <v>0.79007633587786263</v>
      </c>
      <c r="AN22" s="19">
        <f t="shared" si="17"/>
        <v>0.68120805369127513</v>
      </c>
    </row>
    <row r="23" spans="2:40" ht="15" customHeight="1" thickBot="1">
      <c r="B23" s="93"/>
      <c r="C23" s="97"/>
      <c r="D23" s="6">
        <v>1</v>
      </c>
      <c r="E23" s="30">
        <v>29</v>
      </c>
      <c r="F23" s="31">
        <v>44</v>
      </c>
      <c r="G23" s="31">
        <v>81</v>
      </c>
      <c r="H23" s="31">
        <v>159</v>
      </c>
      <c r="I23" s="31">
        <v>314</v>
      </c>
      <c r="J23" s="31">
        <v>628</v>
      </c>
      <c r="K23" s="31">
        <v>1256</v>
      </c>
      <c r="L23" s="32">
        <v>7136</v>
      </c>
      <c r="M23" s="30">
        <v>27</v>
      </c>
      <c r="N23" s="31">
        <v>40</v>
      </c>
      <c r="O23" s="31">
        <v>72</v>
      </c>
      <c r="P23" s="31">
        <v>137</v>
      </c>
      <c r="Q23" s="31">
        <v>262</v>
      </c>
      <c r="R23" s="31">
        <v>516</v>
      </c>
      <c r="S23" s="31">
        <v>1048</v>
      </c>
      <c r="T23" s="32">
        <v>6304</v>
      </c>
      <c r="V23" s="87"/>
      <c r="W23" s="97"/>
      <c r="X23" s="6">
        <v>1</v>
      </c>
      <c r="Y23" s="20">
        <f t="shared" si="16"/>
        <v>0.72413793103448276</v>
      </c>
      <c r="Z23" s="21">
        <f t="shared" si="16"/>
        <v>0.79545454545454541</v>
      </c>
      <c r="AA23" s="21">
        <f t="shared" si="16"/>
        <v>0.77777777777777779</v>
      </c>
      <c r="AB23" s="21">
        <f t="shared" si="16"/>
        <v>0.82389937106918243</v>
      </c>
      <c r="AC23" s="21">
        <f t="shared" si="16"/>
        <v>0.83439490445859876</v>
      </c>
      <c r="AD23" s="21">
        <f t="shared" si="16"/>
        <v>0.83439490445859876</v>
      </c>
      <c r="AE23" s="21">
        <f t="shared" si="16"/>
        <v>0.71656050955414008</v>
      </c>
      <c r="AF23" s="22">
        <f t="shared" si="16"/>
        <v>0.50448430493273544</v>
      </c>
      <c r="AG23" s="20">
        <f t="shared" si="16"/>
        <v>0.7407407407407407</v>
      </c>
      <c r="AH23" s="21">
        <f t="shared" si="16"/>
        <v>0.82499999999999996</v>
      </c>
      <c r="AI23" s="21">
        <f t="shared" si="16"/>
        <v>0.65277777777777779</v>
      </c>
      <c r="AJ23" s="21">
        <f t="shared" si="16"/>
        <v>0.62773722627737227</v>
      </c>
      <c r="AK23" s="21">
        <f t="shared" si="16"/>
        <v>0.62977099236641221</v>
      </c>
      <c r="AL23" s="21">
        <f t="shared" si="16"/>
        <v>0.61627906976744184</v>
      </c>
      <c r="AM23" s="21">
        <f t="shared" si="16"/>
        <v>0.59160305343511455</v>
      </c>
      <c r="AN23" s="22">
        <f t="shared" si="17"/>
        <v>0.3883248730964467</v>
      </c>
    </row>
    <row r="24" spans="2:40" ht="15" customHeight="1">
      <c r="B24" s="93"/>
      <c r="C24" s="95" t="s">
        <v>8</v>
      </c>
      <c r="D24" s="7">
        <v>0.25</v>
      </c>
      <c r="E24" s="33">
        <v>3751</v>
      </c>
      <c r="F24" s="34">
        <v>6974</v>
      </c>
      <c r="G24" s="34">
        <v>12035</v>
      </c>
      <c r="H24" s="34">
        <v>19412</v>
      </c>
      <c r="I24" s="34">
        <v>28994</v>
      </c>
      <c r="J24" s="34">
        <v>33679</v>
      </c>
      <c r="K24" s="34">
        <v>33735</v>
      </c>
      <c r="L24" s="35">
        <v>33762</v>
      </c>
      <c r="M24" s="33">
        <v>3944</v>
      </c>
      <c r="N24" s="34">
        <v>7541</v>
      </c>
      <c r="O24" s="34">
        <v>13488</v>
      </c>
      <c r="P24" s="34">
        <v>22631</v>
      </c>
      <c r="Q24" s="34">
        <v>35506</v>
      </c>
      <c r="R24" s="34">
        <v>46007</v>
      </c>
      <c r="S24" s="34">
        <v>45805</v>
      </c>
      <c r="T24" s="35">
        <v>45935</v>
      </c>
      <c r="V24" s="87"/>
      <c r="W24" s="89" t="s">
        <v>8</v>
      </c>
      <c r="X24" s="4">
        <v>0.25</v>
      </c>
      <c r="Y24" s="15">
        <f t="shared" si="16"/>
        <v>1.1530258597707279</v>
      </c>
      <c r="Z24" s="16">
        <f t="shared" si="16"/>
        <v>1.1858330943504445</v>
      </c>
      <c r="AA24" s="16">
        <f t="shared" si="16"/>
        <v>1.2521811383464894</v>
      </c>
      <c r="AB24" s="16">
        <f t="shared" si="16"/>
        <v>1.2562847723057902</v>
      </c>
      <c r="AC24" s="16">
        <f t="shared" si="16"/>
        <v>1.2482582603297234</v>
      </c>
      <c r="AD24" s="16">
        <f t="shared" si="16"/>
        <v>1.2233439235131685</v>
      </c>
      <c r="AE24" s="16">
        <f t="shared" si="16"/>
        <v>1.2208981769675411</v>
      </c>
      <c r="AF24" s="17">
        <f t="shared" si="16"/>
        <v>1.221195426811208</v>
      </c>
      <c r="AG24" s="15">
        <f t="shared" si="16"/>
        <v>1.1812880324543611</v>
      </c>
      <c r="AH24" s="16">
        <f t="shared" si="16"/>
        <v>1.1896300225434293</v>
      </c>
      <c r="AI24" s="16">
        <f t="shared" si="16"/>
        <v>1.2477758007117439</v>
      </c>
      <c r="AJ24" s="16">
        <f t="shared" si="16"/>
        <v>1.3208430913348945</v>
      </c>
      <c r="AK24" s="16">
        <f t="shared" si="16"/>
        <v>1.3093843294091139</v>
      </c>
      <c r="AL24" s="16">
        <f t="shared" si="16"/>
        <v>1.2840002608298737</v>
      </c>
      <c r="AM24" s="16">
        <f t="shared" si="16"/>
        <v>1.3480842702761706</v>
      </c>
      <c r="AN24" s="17">
        <f t="shared" si="17"/>
        <v>1.3618373789049745</v>
      </c>
    </row>
    <row r="25" spans="2:40" ht="15" customHeight="1">
      <c r="B25" s="93"/>
      <c r="C25" s="96"/>
      <c r="D25" s="5">
        <v>0.5</v>
      </c>
      <c r="E25" s="27">
        <v>9002</v>
      </c>
      <c r="F25" s="28">
        <v>15804</v>
      </c>
      <c r="G25" s="28">
        <v>25540</v>
      </c>
      <c r="H25" s="28">
        <v>38854</v>
      </c>
      <c r="I25" s="28">
        <v>44162</v>
      </c>
      <c r="J25" s="28">
        <v>44342</v>
      </c>
      <c r="K25" s="28">
        <v>44753</v>
      </c>
      <c r="L25" s="29">
        <v>44858</v>
      </c>
      <c r="M25" s="27">
        <v>9795</v>
      </c>
      <c r="N25" s="28">
        <v>17817</v>
      </c>
      <c r="O25" s="28">
        <v>30089</v>
      </c>
      <c r="P25" s="28">
        <v>47899</v>
      </c>
      <c r="Q25" s="28">
        <v>57220</v>
      </c>
      <c r="R25" s="28">
        <v>57112</v>
      </c>
      <c r="S25" s="28">
        <v>57277</v>
      </c>
      <c r="T25" s="29">
        <v>57323</v>
      </c>
      <c r="V25" s="87"/>
      <c r="W25" s="90"/>
      <c r="X25" s="5">
        <v>0.5</v>
      </c>
      <c r="Y25" s="18">
        <f t="shared" si="16"/>
        <v>1.2431681848478116</v>
      </c>
      <c r="Z25" s="12">
        <f t="shared" si="16"/>
        <v>1.3048595292331056</v>
      </c>
      <c r="AA25" s="12">
        <f t="shared" si="16"/>
        <v>1.3588880187940486</v>
      </c>
      <c r="AB25" s="12">
        <f t="shared" si="16"/>
        <v>1.2980130745869152</v>
      </c>
      <c r="AC25" s="12">
        <f t="shared" si="16"/>
        <v>1.3063040623160183</v>
      </c>
      <c r="AD25" s="12">
        <f t="shared" si="16"/>
        <v>1.3054666005141853</v>
      </c>
      <c r="AE25" s="12">
        <f t="shared" si="16"/>
        <v>1.2922262194713203</v>
      </c>
      <c r="AF25" s="19">
        <f t="shared" si="16"/>
        <v>1.4101832449061482</v>
      </c>
      <c r="AG25" s="18">
        <f t="shared" si="16"/>
        <v>1.245635528330781</v>
      </c>
      <c r="AH25" s="12">
        <f t="shared" si="16"/>
        <v>1.2870292417354212</v>
      </c>
      <c r="AI25" s="12">
        <f t="shared" si="16"/>
        <v>1.3484329821529462</v>
      </c>
      <c r="AJ25" s="12">
        <f t="shared" si="16"/>
        <v>1.340132361844715</v>
      </c>
      <c r="AK25" s="12">
        <f t="shared" si="16"/>
        <v>1.500838867528836</v>
      </c>
      <c r="AL25" s="12">
        <f t="shared" si="16"/>
        <v>1.4945020310967922</v>
      </c>
      <c r="AM25" s="12">
        <f t="shared" si="16"/>
        <v>1.4903189762033626</v>
      </c>
      <c r="AN25" s="19">
        <f t="shared" si="17"/>
        <v>1.6680215620257139</v>
      </c>
    </row>
    <row r="26" spans="2:40" ht="15" customHeight="1">
      <c r="B26" s="93"/>
      <c r="C26" s="96"/>
      <c r="D26" s="5">
        <v>0.75</v>
      </c>
      <c r="E26" s="27">
        <v>18249</v>
      </c>
      <c r="F26" s="28">
        <v>30547</v>
      </c>
      <c r="G26" s="28">
        <v>47942</v>
      </c>
      <c r="H26" s="28">
        <v>50891</v>
      </c>
      <c r="I26" s="28">
        <v>50885</v>
      </c>
      <c r="J26" s="28">
        <v>51023</v>
      </c>
      <c r="K26" s="28">
        <v>51242</v>
      </c>
      <c r="L26" s="29">
        <v>51299</v>
      </c>
      <c r="M26" s="27">
        <v>20483</v>
      </c>
      <c r="N26" s="28">
        <v>35812</v>
      </c>
      <c r="O26" s="28">
        <v>58465</v>
      </c>
      <c r="P26" s="28">
        <v>62732</v>
      </c>
      <c r="Q26" s="28">
        <v>62501</v>
      </c>
      <c r="R26" s="28">
        <v>62757</v>
      </c>
      <c r="S26" s="28">
        <v>62665</v>
      </c>
      <c r="T26" s="29">
        <v>62557</v>
      </c>
      <c r="V26" s="87"/>
      <c r="W26" s="90"/>
      <c r="X26" s="5">
        <v>0.75</v>
      </c>
      <c r="Y26" s="18">
        <f t="shared" si="16"/>
        <v>1.3394158584032001</v>
      </c>
      <c r="Z26" s="12">
        <f t="shared" si="16"/>
        <v>1.3763708383802009</v>
      </c>
      <c r="AA26" s="12">
        <f t="shared" si="16"/>
        <v>1.3656501606107381</v>
      </c>
      <c r="AB26" s="12">
        <f t="shared" si="16"/>
        <v>1.3513391365860368</v>
      </c>
      <c r="AC26" s="12">
        <f t="shared" si="16"/>
        <v>1.3532278667583768</v>
      </c>
      <c r="AD26" s="12">
        <f t="shared" si="16"/>
        <v>1.3511357623032749</v>
      </c>
      <c r="AE26" s="12">
        <f t="shared" si="16"/>
        <v>1.3439170992545177</v>
      </c>
      <c r="AF26" s="19">
        <f t="shared" si="16"/>
        <v>1.3934774557008909</v>
      </c>
      <c r="AG26" s="18">
        <f t="shared" si="16"/>
        <v>1.2932675877556998</v>
      </c>
      <c r="AH26" s="12">
        <f t="shared" si="16"/>
        <v>1.3161230872333296</v>
      </c>
      <c r="AI26" s="12">
        <f t="shared" si="16"/>
        <v>1.3092961600957838</v>
      </c>
      <c r="AJ26" s="12">
        <f t="shared" si="16"/>
        <v>1.6090990244213479</v>
      </c>
      <c r="AK26" s="12">
        <f t="shared" si="16"/>
        <v>1.6097982432281084</v>
      </c>
      <c r="AL26" s="12">
        <f t="shared" si="16"/>
        <v>1.6020682951702598</v>
      </c>
      <c r="AM26" s="12">
        <f t="shared" si="16"/>
        <v>1.603063911274236</v>
      </c>
      <c r="AN26" s="19">
        <f t="shared" si="17"/>
        <v>1.7061719711623</v>
      </c>
    </row>
    <row r="27" spans="2:40" ht="15" customHeight="1" thickBot="1">
      <c r="B27" s="94"/>
      <c r="C27" s="97"/>
      <c r="D27" s="6">
        <v>1</v>
      </c>
      <c r="E27" s="30">
        <v>56614</v>
      </c>
      <c r="F27" s="31">
        <v>57046</v>
      </c>
      <c r="G27" s="31">
        <v>57104</v>
      </c>
      <c r="H27" s="31">
        <v>57069</v>
      </c>
      <c r="I27" s="31">
        <v>57058</v>
      </c>
      <c r="J27" s="31">
        <v>57088</v>
      </c>
      <c r="K27" s="31">
        <v>57021</v>
      </c>
      <c r="L27" s="32">
        <v>57061</v>
      </c>
      <c r="M27" s="30">
        <v>63354</v>
      </c>
      <c r="N27" s="31">
        <v>63564</v>
      </c>
      <c r="O27" s="31">
        <v>63525</v>
      </c>
      <c r="P27" s="31">
        <v>63523</v>
      </c>
      <c r="Q27" s="31">
        <v>63524</v>
      </c>
      <c r="R27" s="31">
        <v>63522</v>
      </c>
      <c r="S27" s="31">
        <v>63545</v>
      </c>
      <c r="T27" s="32">
        <v>63542</v>
      </c>
      <c r="V27" s="88"/>
      <c r="W27" s="91"/>
      <c r="X27" s="6">
        <v>1</v>
      </c>
      <c r="Y27" s="20">
        <f t="shared" si="16"/>
        <v>1.2609425230508355</v>
      </c>
      <c r="Z27" s="21">
        <f t="shared" si="16"/>
        <v>1.2521123304000281</v>
      </c>
      <c r="AA27" s="21">
        <f t="shared" si="16"/>
        <v>1.2508405715886803</v>
      </c>
      <c r="AB27" s="21">
        <f t="shared" si="16"/>
        <v>1.2513974311798</v>
      </c>
      <c r="AC27" s="21">
        <f t="shared" si="16"/>
        <v>1.2517263135756598</v>
      </c>
      <c r="AD27" s="21">
        <f t="shared" si="16"/>
        <v>1.2511210762331839</v>
      </c>
      <c r="AE27" s="21">
        <f t="shared" si="16"/>
        <v>1.2526437628242226</v>
      </c>
      <c r="AF27" s="22">
        <f t="shared" si="16"/>
        <v>1.2517656542997844</v>
      </c>
      <c r="AG27" s="20">
        <f t="shared" si="16"/>
        <v>1.2831865391293367</v>
      </c>
      <c r="AH27" s="21">
        <f t="shared" si="16"/>
        <v>1.6639764646655339</v>
      </c>
      <c r="AI27" s="21">
        <f t="shared" si="16"/>
        <v>1.6649980322707596</v>
      </c>
      <c r="AJ27" s="21">
        <f t="shared" si="16"/>
        <v>1.6650504541662074</v>
      </c>
      <c r="AK27" s="21">
        <f t="shared" si="16"/>
        <v>1.6650242428058686</v>
      </c>
      <c r="AL27" s="21">
        <f t="shared" si="16"/>
        <v>1.6650766663518151</v>
      </c>
      <c r="AM27" s="21">
        <f t="shared" si="16"/>
        <v>1.6644739948068299</v>
      </c>
      <c r="AN27" s="22">
        <f t="shared" si="17"/>
        <v>1.6645525793963047</v>
      </c>
    </row>
    <row r="28" spans="2:40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2:40" ht="15" customHeight="1" thickBot="1">
      <c r="B29" s="112" t="s">
        <v>34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5"/>
      <c r="M29" s="83" t="s">
        <v>24</v>
      </c>
      <c r="N29" s="84"/>
      <c r="O29" s="84"/>
      <c r="P29" s="84"/>
      <c r="Q29" s="84"/>
      <c r="R29" s="84"/>
      <c r="S29" s="84"/>
      <c r="T29" s="85"/>
      <c r="V29" s="13" t="s">
        <v>20</v>
      </c>
      <c r="W29" s="14">
        <f>(COUNTIF(Y4:AN11,"&lt;1.1")+COUNTIF(Y16:AN23,"&lt;1.1"))/(COUNT(Y4:AN11)+COUNT(Y16:AN23))</f>
        <v>0.98828125</v>
      </c>
      <c r="X29" s="109" t="s">
        <v>19</v>
      </c>
      <c r="Y29" s="110"/>
      <c r="Z29" s="110"/>
      <c r="AA29" s="110"/>
      <c r="AB29" s="111"/>
    </row>
    <row r="30" spans="2:40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3" t="s">
        <v>17</v>
      </c>
      <c r="M30" s="1" t="s">
        <v>0</v>
      </c>
      <c r="N30" s="2" t="s">
        <v>1</v>
      </c>
      <c r="O30" s="2" t="s">
        <v>2</v>
      </c>
      <c r="P30" s="2" t="s">
        <v>3</v>
      </c>
      <c r="Q30" s="2" t="s">
        <v>4</v>
      </c>
      <c r="R30" s="2" t="s">
        <v>18</v>
      </c>
      <c r="S30" s="2" t="s">
        <v>16</v>
      </c>
      <c r="T30" s="3" t="s">
        <v>17</v>
      </c>
      <c r="V30" s="13" t="s">
        <v>21</v>
      </c>
      <c r="W30" s="23">
        <f>(COUNTIF(Y4:AN11,"&lt;1.1"))/(COUNT(Y4:AN11))</f>
        <v>0.9921875</v>
      </c>
      <c r="X30" s="109" t="s">
        <v>19</v>
      </c>
      <c r="Y30" s="110"/>
      <c r="Z30" s="110"/>
      <c r="AA30" s="110"/>
      <c r="AB30" s="111"/>
    </row>
    <row r="31" spans="2:40" ht="15" customHeight="1" thickBot="1">
      <c r="B31" s="92" t="s">
        <v>5</v>
      </c>
      <c r="C31" s="98" t="s">
        <v>6</v>
      </c>
      <c r="D31" s="4">
        <v>0.25</v>
      </c>
      <c r="E31" s="36">
        <v>253</v>
      </c>
      <c r="F31" s="37">
        <v>318</v>
      </c>
      <c r="G31" s="37">
        <v>366</v>
      </c>
      <c r="H31" s="37">
        <v>406</v>
      </c>
      <c r="I31" s="37">
        <v>406</v>
      </c>
      <c r="J31" s="37">
        <v>406</v>
      </c>
      <c r="K31" s="37">
        <v>406</v>
      </c>
      <c r="L31" s="38">
        <v>2160</v>
      </c>
      <c r="M31" s="36">
        <v>286</v>
      </c>
      <c r="N31" s="37">
        <v>370</v>
      </c>
      <c r="O31" s="37">
        <v>474</v>
      </c>
      <c r="P31" s="37">
        <v>588</v>
      </c>
      <c r="Q31" s="37">
        <v>636</v>
      </c>
      <c r="R31" s="37">
        <v>660</v>
      </c>
      <c r="S31" s="37">
        <v>676</v>
      </c>
      <c r="T31" s="38">
        <v>1688</v>
      </c>
      <c r="V31" s="13" t="s">
        <v>22</v>
      </c>
      <c r="W31" s="23">
        <f>COUNTIF(Y16:AN23,"&lt;1.1")/+COUNT(Y16:AN23)</f>
        <v>0.984375</v>
      </c>
      <c r="X31" s="109" t="s">
        <v>19</v>
      </c>
      <c r="Y31" s="110"/>
      <c r="Z31" s="110"/>
      <c r="AA31" s="110"/>
      <c r="AB31" s="111"/>
    </row>
    <row r="32" spans="2:40" ht="15" customHeight="1">
      <c r="B32" s="93"/>
      <c r="C32" s="96"/>
      <c r="D32" s="5">
        <v>0.5</v>
      </c>
      <c r="E32" s="39">
        <v>201</v>
      </c>
      <c r="F32" s="40">
        <v>251</v>
      </c>
      <c r="G32" s="40">
        <v>306</v>
      </c>
      <c r="H32" s="40">
        <v>370</v>
      </c>
      <c r="I32" s="40">
        <v>442</v>
      </c>
      <c r="J32" s="40">
        <v>430</v>
      </c>
      <c r="K32" s="40">
        <v>572</v>
      </c>
      <c r="L32" s="41">
        <v>2192</v>
      </c>
      <c r="M32" s="39">
        <v>189</v>
      </c>
      <c r="N32" s="40">
        <v>266</v>
      </c>
      <c r="O32" s="40">
        <v>338</v>
      </c>
      <c r="P32" s="40">
        <v>434</v>
      </c>
      <c r="Q32" s="40">
        <v>556</v>
      </c>
      <c r="R32" s="40">
        <v>620</v>
      </c>
      <c r="S32" s="40">
        <v>684</v>
      </c>
      <c r="T32" s="41">
        <v>1704</v>
      </c>
    </row>
    <row r="33" spans="2:20" ht="15" customHeight="1">
      <c r="B33" s="93"/>
      <c r="C33" s="96"/>
      <c r="D33" s="5">
        <v>0.75</v>
      </c>
      <c r="E33" s="39">
        <v>123</v>
      </c>
      <c r="F33" s="40">
        <v>191</v>
      </c>
      <c r="G33" s="40">
        <v>253</v>
      </c>
      <c r="H33" s="40">
        <v>310</v>
      </c>
      <c r="I33" s="40">
        <v>378</v>
      </c>
      <c r="J33" s="40">
        <v>510</v>
      </c>
      <c r="K33" s="40">
        <v>788</v>
      </c>
      <c r="L33" s="41">
        <v>2448</v>
      </c>
      <c r="M33" s="39">
        <v>106</v>
      </c>
      <c r="N33" s="40">
        <v>151</v>
      </c>
      <c r="O33" s="40">
        <v>247</v>
      </c>
      <c r="P33" s="40">
        <v>310</v>
      </c>
      <c r="Q33" s="40">
        <v>406</v>
      </c>
      <c r="R33" s="40">
        <v>532</v>
      </c>
      <c r="S33" s="40">
        <v>772</v>
      </c>
      <c r="T33" s="41">
        <v>1928</v>
      </c>
    </row>
    <row r="34" spans="2:20" ht="15" customHeight="1" thickBot="1">
      <c r="B34" s="93"/>
      <c r="C34" s="97"/>
      <c r="D34" s="6">
        <v>1</v>
      </c>
      <c r="E34" s="42">
        <v>69</v>
      </c>
      <c r="F34" s="43">
        <v>89</v>
      </c>
      <c r="G34" s="43">
        <v>105</v>
      </c>
      <c r="H34" s="43">
        <v>119</v>
      </c>
      <c r="I34" s="43">
        <v>157</v>
      </c>
      <c r="J34" s="43">
        <v>237</v>
      </c>
      <c r="K34" s="43">
        <v>390</v>
      </c>
      <c r="L34" s="44">
        <v>836</v>
      </c>
      <c r="M34" s="42">
        <v>69</v>
      </c>
      <c r="N34" s="43">
        <v>75</v>
      </c>
      <c r="O34" s="43">
        <v>97</v>
      </c>
      <c r="P34" s="43">
        <v>108</v>
      </c>
      <c r="Q34" s="43">
        <v>124</v>
      </c>
      <c r="R34" s="43">
        <v>165</v>
      </c>
      <c r="S34" s="43">
        <v>241</v>
      </c>
      <c r="T34" s="44">
        <v>708</v>
      </c>
    </row>
    <row r="35" spans="2:20" ht="15" customHeight="1">
      <c r="B35" s="93"/>
      <c r="C35" s="98" t="s">
        <v>7</v>
      </c>
      <c r="D35" s="4">
        <v>0.25</v>
      </c>
      <c r="E35" s="36">
        <v>548</v>
      </c>
      <c r="F35" s="37">
        <v>876</v>
      </c>
      <c r="G35" s="37">
        <v>892</v>
      </c>
      <c r="H35" s="37">
        <v>948</v>
      </c>
      <c r="I35" s="37">
        <v>996</v>
      </c>
      <c r="J35" s="37">
        <v>1012</v>
      </c>
      <c r="K35" s="37">
        <v>1004</v>
      </c>
      <c r="L35" s="38">
        <v>2448</v>
      </c>
      <c r="M35" s="36">
        <v>700</v>
      </c>
      <c r="N35" s="37">
        <v>820</v>
      </c>
      <c r="O35" s="37">
        <v>884</v>
      </c>
      <c r="P35" s="37">
        <v>956</v>
      </c>
      <c r="Q35" s="37">
        <v>1048</v>
      </c>
      <c r="R35" s="37">
        <v>1112</v>
      </c>
      <c r="S35" s="37">
        <v>1128</v>
      </c>
      <c r="T35" s="38">
        <v>1944</v>
      </c>
    </row>
    <row r="36" spans="2:20" ht="15" customHeight="1">
      <c r="B36" s="93"/>
      <c r="C36" s="96"/>
      <c r="D36" s="5">
        <v>0.5</v>
      </c>
      <c r="E36" s="39">
        <v>498</v>
      </c>
      <c r="F36" s="40">
        <v>548</v>
      </c>
      <c r="G36" s="40">
        <v>868</v>
      </c>
      <c r="H36" s="40">
        <v>892</v>
      </c>
      <c r="I36" s="40">
        <v>972</v>
      </c>
      <c r="J36" s="40">
        <v>1416</v>
      </c>
      <c r="K36" s="40">
        <v>1560</v>
      </c>
      <c r="L36" s="41">
        <v>2960</v>
      </c>
      <c r="M36" s="39">
        <v>668</v>
      </c>
      <c r="N36" s="40">
        <v>692</v>
      </c>
      <c r="O36" s="40">
        <v>788</v>
      </c>
      <c r="P36" s="40">
        <v>876</v>
      </c>
      <c r="Q36" s="40">
        <v>956</v>
      </c>
      <c r="R36" s="40">
        <v>1112</v>
      </c>
      <c r="S36" s="40">
        <v>1512</v>
      </c>
      <c r="T36" s="41">
        <v>2224</v>
      </c>
    </row>
    <row r="37" spans="2:20" ht="15" customHeight="1">
      <c r="B37" s="93"/>
      <c r="C37" s="96"/>
      <c r="D37" s="5">
        <v>0.75</v>
      </c>
      <c r="E37" s="39">
        <v>466</v>
      </c>
      <c r="F37" s="40">
        <v>498</v>
      </c>
      <c r="G37" s="40">
        <v>540</v>
      </c>
      <c r="H37" s="40">
        <v>844</v>
      </c>
      <c r="I37" s="40">
        <v>892</v>
      </c>
      <c r="J37" s="40">
        <v>1020</v>
      </c>
      <c r="K37" s="40">
        <v>1624</v>
      </c>
      <c r="L37" s="41">
        <v>3728</v>
      </c>
      <c r="M37" s="39">
        <v>588</v>
      </c>
      <c r="N37" s="40">
        <v>644</v>
      </c>
      <c r="O37" s="40">
        <v>692</v>
      </c>
      <c r="P37" s="40">
        <v>740</v>
      </c>
      <c r="Q37" s="40">
        <v>876</v>
      </c>
      <c r="R37" s="40">
        <v>972</v>
      </c>
      <c r="S37" s="40">
        <v>1272</v>
      </c>
      <c r="T37" s="41">
        <v>2960</v>
      </c>
    </row>
    <row r="38" spans="2:20" ht="15" customHeight="1" thickBot="1">
      <c r="B38" s="93"/>
      <c r="C38" s="97"/>
      <c r="D38" s="6">
        <v>1</v>
      </c>
      <c r="E38" s="42">
        <v>91</v>
      </c>
      <c r="F38" s="43">
        <v>120</v>
      </c>
      <c r="G38" s="43">
        <v>153</v>
      </c>
      <c r="H38" s="43">
        <v>191</v>
      </c>
      <c r="I38" s="43">
        <v>262</v>
      </c>
      <c r="J38" s="43">
        <v>430</v>
      </c>
      <c r="K38" s="43">
        <v>716</v>
      </c>
      <c r="L38" s="44">
        <v>1176</v>
      </c>
      <c r="M38" s="42">
        <v>77</v>
      </c>
      <c r="N38" s="43">
        <v>118</v>
      </c>
      <c r="O38" s="43">
        <v>137</v>
      </c>
      <c r="P38" s="43">
        <v>161</v>
      </c>
      <c r="Q38" s="43">
        <v>201</v>
      </c>
      <c r="R38" s="43">
        <v>278</v>
      </c>
      <c r="S38" s="43">
        <v>370</v>
      </c>
      <c r="T38" s="44">
        <v>836</v>
      </c>
    </row>
    <row r="39" spans="2:20" ht="15" customHeight="1">
      <c r="B39" s="93"/>
      <c r="C39" s="98" t="s">
        <v>8</v>
      </c>
      <c r="D39" s="4">
        <v>0.25</v>
      </c>
      <c r="E39" s="36">
        <v>8143</v>
      </c>
      <c r="F39" s="37">
        <v>14014</v>
      </c>
      <c r="G39" s="37">
        <v>21817</v>
      </c>
      <c r="H39" s="37">
        <v>22922</v>
      </c>
      <c r="I39" s="37">
        <v>22959</v>
      </c>
      <c r="J39" s="37">
        <v>22971</v>
      </c>
      <c r="K39" s="37">
        <v>22953</v>
      </c>
      <c r="L39" s="38">
        <v>23832</v>
      </c>
      <c r="M39" s="36">
        <v>8835</v>
      </c>
      <c r="N39" s="37">
        <v>15711</v>
      </c>
      <c r="O39" s="37">
        <v>25524</v>
      </c>
      <c r="P39" s="37">
        <v>33664</v>
      </c>
      <c r="Q39" s="37">
        <v>33544</v>
      </c>
      <c r="R39" s="37">
        <v>33515</v>
      </c>
      <c r="S39" s="37">
        <v>33492</v>
      </c>
      <c r="T39" s="38">
        <v>35572</v>
      </c>
    </row>
    <row r="40" spans="2:20" ht="15" customHeight="1">
      <c r="B40" s="93"/>
      <c r="C40" s="96"/>
      <c r="D40" s="5">
        <v>0.5</v>
      </c>
      <c r="E40" s="39">
        <v>11196</v>
      </c>
      <c r="F40" s="40">
        <v>20615</v>
      </c>
      <c r="G40" s="40">
        <v>34725</v>
      </c>
      <c r="H40" s="40">
        <v>50439</v>
      </c>
      <c r="I40" s="40">
        <v>57694</v>
      </c>
      <c r="J40" s="40">
        <v>57889</v>
      </c>
      <c r="K40" s="40">
        <v>57839</v>
      </c>
      <c r="L40" s="41">
        <v>63272</v>
      </c>
      <c r="M40" s="39">
        <v>12187</v>
      </c>
      <c r="N40" s="40">
        <v>22926</v>
      </c>
      <c r="O40" s="40">
        <v>40585</v>
      </c>
      <c r="P40" s="40">
        <v>64197</v>
      </c>
      <c r="Q40" s="40">
        <v>85873</v>
      </c>
      <c r="R40" s="40">
        <v>85358</v>
      </c>
      <c r="S40" s="40">
        <v>85392</v>
      </c>
      <c r="T40" s="41">
        <v>95594</v>
      </c>
    </row>
    <row r="41" spans="2:20" ht="15" customHeight="1">
      <c r="B41" s="93"/>
      <c r="C41" s="96"/>
      <c r="D41" s="5">
        <v>0.75</v>
      </c>
      <c r="E41" s="39">
        <v>12977</v>
      </c>
      <c r="F41" s="40">
        <v>24804</v>
      </c>
      <c r="G41" s="40">
        <v>45208</v>
      </c>
      <c r="H41" s="40">
        <v>73160</v>
      </c>
      <c r="I41" s="40">
        <v>108567</v>
      </c>
      <c r="J41" s="40">
        <v>123601</v>
      </c>
      <c r="K41" s="40">
        <v>123596</v>
      </c>
      <c r="L41" s="41">
        <v>123706</v>
      </c>
      <c r="M41" s="39">
        <v>13973</v>
      </c>
      <c r="N41" s="40">
        <v>26942</v>
      </c>
      <c r="O41" s="40">
        <v>50484</v>
      </c>
      <c r="P41" s="40">
        <v>89650</v>
      </c>
      <c r="Q41" s="40">
        <v>139453</v>
      </c>
      <c r="R41" s="40">
        <v>177190</v>
      </c>
      <c r="S41" s="40">
        <v>185167</v>
      </c>
      <c r="T41" s="41">
        <v>187659</v>
      </c>
    </row>
    <row r="42" spans="2:20" ht="15" customHeight="1" thickBot="1">
      <c r="B42" s="94"/>
      <c r="C42" s="97"/>
      <c r="D42" s="6">
        <v>1</v>
      </c>
      <c r="E42" s="42">
        <v>15981</v>
      </c>
      <c r="F42" s="43">
        <v>31585</v>
      </c>
      <c r="G42" s="43">
        <v>61588</v>
      </c>
      <c r="H42" s="43">
        <v>117152</v>
      </c>
      <c r="I42" s="43">
        <v>210786</v>
      </c>
      <c r="J42" s="43">
        <v>339796</v>
      </c>
      <c r="K42" s="43">
        <v>433364</v>
      </c>
      <c r="L42" s="44">
        <v>436915</v>
      </c>
      <c r="M42" s="42">
        <v>15944</v>
      </c>
      <c r="N42" s="43">
        <v>31669</v>
      </c>
      <c r="O42" s="43">
        <v>62344</v>
      </c>
      <c r="P42" s="43">
        <v>120939</v>
      </c>
      <c r="Q42" s="43">
        <v>226495</v>
      </c>
      <c r="R42" s="43">
        <v>389461</v>
      </c>
      <c r="S42" s="43">
        <v>429983</v>
      </c>
      <c r="T42" s="44">
        <v>415516</v>
      </c>
    </row>
    <row r="43" spans="2:20" ht="15" customHeight="1">
      <c r="B43" s="83" t="s">
        <v>9</v>
      </c>
      <c r="C43" s="98" t="s">
        <v>6</v>
      </c>
      <c r="D43" s="4">
        <v>0.25</v>
      </c>
      <c r="E43" s="36">
        <v>12</v>
      </c>
      <c r="F43" s="37">
        <v>13</v>
      </c>
      <c r="G43" s="37">
        <v>14</v>
      </c>
      <c r="H43" s="37">
        <v>15</v>
      </c>
      <c r="I43" s="37">
        <v>18</v>
      </c>
      <c r="J43" s="37">
        <v>19</v>
      </c>
      <c r="K43" s="37">
        <v>135</v>
      </c>
      <c r="L43" s="38">
        <v>149</v>
      </c>
      <c r="M43" s="36">
        <v>13</v>
      </c>
      <c r="N43" s="37">
        <v>13</v>
      </c>
      <c r="O43" s="37">
        <v>14</v>
      </c>
      <c r="P43" s="37">
        <v>17</v>
      </c>
      <c r="Q43" s="37">
        <v>21</v>
      </c>
      <c r="R43" s="37">
        <v>31</v>
      </c>
      <c r="S43" s="37">
        <v>69</v>
      </c>
      <c r="T43" s="38">
        <v>171</v>
      </c>
    </row>
    <row r="44" spans="2:20" ht="15" customHeight="1">
      <c r="B44" s="93"/>
      <c r="C44" s="96"/>
      <c r="D44" s="5">
        <v>0.5</v>
      </c>
      <c r="E44" s="39">
        <v>12</v>
      </c>
      <c r="F44" s="40">
        <v>13</v>
      </c>
      <c r="G44" s="40">
        <v>14</v>
      </c>
      <c r="H44" s="40">
        <v>16</v>
      </c>
      <c r="I44" s="40">
        <v>183</v>
      </c>
      <c r="J44" s="40">
        <v>510</v>
      </c>
      <c r="K44" s="40">
        <v>1160</v>
      </c>
      <c r="L44" s="41">
        <v>3824</v>
      </c>
      <c r="M44" s="39">
        <v>13</v>
      </c>
      <c r="N44" s="40">
        <v>13</v>
      </c>
      <c r="O44" s="40">
        <v>15</v>
      </c>
      <c r="P44" s="40">
        <v>18</v>
      </c>
      <c r="Q44" s="40">
        <v>116</v>
      </c>
      <c r="R44" s="40">
        <v>350</v>
      </c>
      <c r="S44" s="40">
        <v>764</v>
      </c>
      <c r="T44" s="41">
        <v>2768</v>
      </c>
    </row>
    <row r="45" spans="2:20" ht="15" customHeight="1">
      <c r="B45" s="93"/>
      <c r="C45" s="96"/>
      <c r="D45" s="5">
        <v>0.75</v>
      </c>
      <c r="E45" s="39">
        <v>12</v>
      </c>
      <c r="F45" s="40">
        <v>13</v>
      </c>
      <c r="G45" s="40">
        <v>14</v>
      </c>
      <c r="H45" s="40">
        <v>131</v>
      </c>
      <c r="I45" s="40">
        <v>266</v>
      </c>
      <c r="J45" s="40">
        <v>532</v>
      </c>
      <c r="K45" s="40">
        <v>1064</v>
      </c>
      <c r="L45" s="41">
        <v>3952</v>
      </c>
      <c r="M45" s="39">
        <v>13</v>
      </c>
      <c r="N45" s="40">
        <v>14</v>
      </c>
      <c r="O45" s="40">
        <v>15</v>
      </c>
      <c r="P45" s="40">
        <v>90</v>
      </c>
      <c r="Q45" s="40">
        <v>205</v>
      </c>
      <c r="R45" s="40">
        <v>410</v>
      </c>
      <c r="S45" s="40">
        <v>820</v>
      </c>
      <c r="T45" s="41">
        <v>2736</v>
      </c>
    </row>
    <row r="46" spans="2:20" ht="15" customHeight="1" thickBot="1">
      <c r="B46" s="93"/>
      <c r="C46" s="97"/>
      <c r="D46" s="6">
        <v>1</v>
      </c>
      <c r="E46" s="42">
        <v>14</v>
      </c>
      <c r="F46" s="43">
        <v>28</v>
      </c>
      <c r="G46" s="43">
        <v>56</v>
      </c>
      <c r="H46" s="43">
        <v>113</v>
      </c>
      <c r="I46" s="43">
        <v>225</v>
      </c>
      <c r="J46" s="43">
        <v>450</v>
      </c>
      <c r="K46" s="43">
        <v>892</v>
      </c>
      <c r="L46" s="44">
        <v>3568</v>
      </c>
      <c r="M46" s="42">
        <v>13</v>
      </c>
      <c r="N46" s="43">
        <v>25</v>
      </c>
      <c r="O46" s="43">
        <v>39</v>
      </c>
      <c r="P46" s="43">
        <v>78</v>
      </c>
      <c r="Q46" s="43">
        <v>157</v>
      </c>
      <c r="R46" s="43">
        <v>310</v>
      </c>
      <c r="S46" s="43">
        <v>612</v>
      </c>
      <c r="T46" s="44">
        <v>2416</v>
      </c>
    </row>
    <row r="47" spans="2:20" ht="15" customHeight="1">
      <c r="B47" s="93"/>
      <c r="C47" s="98" t="s">
        <v>7</v>
      </c>
      <c r="D47" s="4">
        <v>0.25</v>
      </c>
      <c r="E47" s="36">
        <v>20</v>
      </c>
      <c r="F47" s="37">
        <v>20</v>
      </c>
      <c r="G47" s="37">
        <v>22</v>
      </c>
      <c r="H47" s="37">
        <v>23</v>
      </c>
      <c r="I47" s="37">
        <v>26</v>
      </c>
      <c r="J47" s="37">
        <v>33</v>
      </c>
      <c r="K47" s="37">
        <v>310</v>
      </c>
      <c r="L47" s="38">
        <v>652</v>
      </c>
      <c r="M47" s="36">
        <v>20</v>
      </c>
      <c r="N47" s="37">
        <v>21</v>
      </c>
      <c r="O47" s="37">
        <v>22</v>
      </c>
      <c r="P47" s="37">
        <v>24</v>
      </c>
      <c r="Q47" s="37">
        <v>30</v>
      </c>
      <c r="R47" s="37">
        <v>49</v>
      </c>
      <c r="S47" s="37">
        <v>122</v>
      </c>
      <c r="T47" s="38">
        <v>596</v>
      </c>
    </row>
    <row r="48" spans="2:20" ht="15" customHeight="1">
      <c r="B48" s="93"/>
      <c r="C48" s="96"/>
      <c r="D48" s="5">
        <v>0.5</v>
      </c>
      <c r="E48" s="39">
        <v>20</v>
      </c>
      <c r="F48" s="40">
        <v>21</v>
      </c>
      <c r="G48" s="40">
        <v>22</v>
      </c>
      <c r="H48" s="40">
        <v>23</v>
      </c>
      <c r="I48" s="40">
        <v>235</v>
      </c>
      <c r="J48" s="40">
        <v>556</v>
      </c>
      <c r="K48" s="40">
        <v>1208</v>
      </c>
      <c r="L48" s="41">
        <v>4128</v>
      </c>
      <c r="M48" s="39">
        <v>20</v>
      </c>
      <c r="N48" s="40">
        <v>21</v>
      </c>
      <c r="O48" s="40">
        <v>22</v>
      </c>
      <c r="P48" s="40">
        <v>25</v>
      </c>
      <c r="Q48" s="40">
        <v>177</v>
      </c>
      <c r="R48" s="40">
        <v>394</v>
      </c>
      <c r="S48" s="40">
        <v>804</v>
      </c>
      <c r="T48" s="41">
        <v>3120</v>
      </c>
    </row>
    <row r="49" spans="2:20" ht="15" customHeight="1">
      <c r="B49" s="93"/>
      <c r="C49" s="96"/>
      <c r="D49" s="5">
        <v>0.75</v>
      </c>
      <c r="E49" s="39">
        <v>20</v>
      </c>
      <c r="F49" s="40">
        <v>21</v>
      </c>
      <c r="G49" s="40">
        <v>22</v>
      </c>
      <c r="H49" s="40">
        <v>133</v>
      </c>
      <c r="I49" s="40">
        <v>270</v>
      </c>
      <c r="J49" s="40">
        <v>540</v>
      </c>
      <c r="K49" s="40">
        <v>1064</v>
      </c>
      <c r="L49" s="41">
        <v>4128</v>
      </c>
      <c r="M49" s="39">
        <v>20</v>
      </c>
      <c r="N49" s="40">
        <v>22</v>
      </c>
      <c r="O49" s="40">
        <v>23</v>
      </c>
      <c r="P49" s="40">
        <v>104</v>
      </c>
      <c r="Q49" s="40">
        <v>209</v>
      </c>
      <c r="R49" s="40">
        <v>418</v>
      </c>
      <c r="S49" s="40">
        <v>828</v>
      </c>
      <c r="T49" s="41">
        <v>3248</v>
      </c>
    </row>
    <row r="50" spans="2:20" ht="15" customHeight="1" thickBot="1">
      <c r="B50" s="93"/>
      <c r="C50" s="97"/>
      <c r="D50" s="6">
        <v>1</v>
      </c>
      <c r="E50" s="42">
        <v>21</v>
      </c>
      <c r="F50" s="43">
        <v>35</v>
      </c>
      <c r="G50" s="43">
        <v>63</v>
      </c>
      <c r="H50" s="43">
        <v>131</v>
      </c>
      <c r="I50" s="43">
        <v>262</v>
      </c>
      <c r="J50" s="43">
        <v>524</v>
      </c>
      <c r="K50" s="43">
        <v>900</v>
      </c>
      <c r="L50" s="44">
        <v>3600</v>
      </c>
      <c r="M50" s="42">
        <v>20</v>
      </c>
      <c r="N50" s="43">
        <v>33</v>
      </c>
      <c r="O50" s="43">
        <v>47</v>
      </c>
      <c r="P50" s="43">
        <v>86</v>
      </c>
      <c r="Q50" s="43">
        <v>165</v>
      </c>
      <c r="R50" s="43">
        <v>318</v>
      </c>
      <c r="S50" s="43">
        <v>620</v>
      </c>
      <c r="T50" s="44">
        <v>2448</v>
      </c>
    </row>
    <row r="51" spans="2:20" ht="15" customHeight="1">
      <c r="B51" s="93"/>
      <c r="C51" s="98" t="s">
        <v>8</v>
      </c>
      <c r="D51" s="4">
        <v>0.25</v>
      </c>
      <c r="E51" s="24">
        <v>4325</v>
      </c>
      <c r="F51" s="25">
        <v>8270</v>
      </c>
      <c r="G51" s="25">
        <v>15070</v>
      </c>
      <c r="H51" s="25">
        <v>24387</v>
      </c>
      <c r="I51" s="25">
        <v>36192</v>
      </c>
      <c r="J51" s="25">
        <v>41201</v>
      </c>
      <c r="K51" s="25">
        <v>41187</v>
      </c>
      <c r="L51" s="26">
        <v>41230</v>
      </c>
      <c r="M51" s="24">
        <v>4659</v>
      </c>
      <c r="N51" s="25">
        <v>8971</v>
      </c>
      <c r="O51" s="25">
        <v>16830</v>
      </c>
      <c r="P51" s="25">
        <v>29892</v>
      </c>
      <c r="Q51" s="25">
        <v>46491</v>
      </c>
      <c r="R51" s="25">
        <v>59073</v>
      </c>
      <c r="S51" s="25">
        <v>61749</v>
      </c>
      <c r="T51" s="26">
        <v>62556</v>
      </c>
    </row>
    <row r="52" spans="2:20" ht="15" customHeight="1">
      <c r="B52" s="93"/>
      <c r="C52" s="96"/>
      <c r="D52" s="5">
        <v>0.5</v>
      </c>
      <c r="E52" s="27">
        <v>11191</v>
      </c>
      <c r="F52" s="28">
        <v>20622</v>
      </c>
      <c r="G52" s="28">
        <v>34706</v>
      </c>
      <c r="H52" s="28">
        <v>50433</v>
      </c>
      <c r="I52" s="28">
        <v>57689</v>
      </c>
      <c r="J52" s="28">
        <v>57887</v>
      </c>
      <c r="K52" s="28">
        <v>57831</v>
      </c>
      <c r="L52" s="29">
        <v>63258</v>
      </c>
      <c r="M52" s="27">
        <v>12201</v>
      </c>
      <c r="N52" s="28">
        <v>22931</v>
      </c>
      <c r="O52" s="28">
        <v>40573</v>
      </c>
      <c r="P52" s="28">
        <v>64191</v>
      </c>
      <c r="Q52" s="28">
        <v>85878</v>
      </c>
      <c r="R52" s="28">
        <v>85354</v>
      </c>
      <c r="S52" s="28">
        <v>85361</v>
      </c>
      <c r="T52" s="29">
        <v>95616</v>
      </c>
    </row>
    <row r="53" spans="2:20" ht="15" customHeight="1">
      <c r="B53" s="93"/>
      <c r="C53" s="96"/>
      <c r="D53" s="5">
        <v>0.75</v>
      </c>
      <c r="E53" s="27">
        <v>24443</v>
      </c>
      <c r="F53" s="28">
        <v>42044</v>
      </c>
      <c r="G53" s="28">
        <v>65472</v>
      </c>
      <c r="H53" s="28">
        <v>68771</v>
      </c>
      <c r="I53" s="28">
        <v>68859</v>
      </c>
      <c r="J53" s="28">
        <v>68939</v>
      </c>
      <c r="K53" s="28">
        <v>68865</v>
      </c>
      <c r="L53" s="29">
        <v>71484</v>
      </c>
      <c r="M53" s="27">
        <v>26490</v>
      </c>
      <c r="N53" s="28">
        <v>47133</v>
      </c>
      <c r="O53" s="28">
        <v>76548</v>
      </c>
      <c r="P53" s="28">
        <v>100942</v>
      </c>
      <c r="Q53" s="28">
        <v>100614</v>
      </c>
      <c r="R53" s="28">
        <v>100541</v>
      </c>
      <c r="S53" s="28">
        <v>100456</v>
      </c>
      <c r="T53" s="29">
        <v>106733</v>
      </c>
    </row>
    <row r="54" spans="2:20" ht="15" customHeight="1" thickBot="1">
      <c r="B54" s="94"/>
      <c r="C54" s="97"/>
      <c r="D54" s="6">
        <v>1</v>
      </c>
      <c r="E54" s="30">
        <v>71387</v>
      </c>
      <c r="F54" s="31">
        <v>71428</v>
      </c>
      <c r="G54" s="31">
        <v>71428</v>
      </c>
      <c r="H54" s="31">
        <v>71416</v>
      </c>
      <c r="I54" s="31">
        <v>71421</v>
      </c>
      <c r="J54" s="31">
        <v>71424</v>
      </c>
      <c r="K54" s="31">
        <v>71427</v>
      </c>
      <c r="L54" s="32">
        <v>71427</v>
      </c>
      <c r="M54" s="30">
        <v>81295</v>
      </c>
      <c r="N54" s="31">
        <v>105769</v>
      </c>
      <c r="O54" s="31">
        <v>105769</v>
      </c>
      <c r="P54" s="31">
        <v>105769</v>
      </c>
      <c r="Q54" s="31">
        <v>105769</v>
      </c>
      <c r="R54" s="31">
        <v>105769</v>
      </c>
      <c r="S54" s="31">
        <v>105769</v>
      </c>
      <c r="T54" s="32">
        <v>105769</v>
      </c>
    </row>
  </sheetData>
  <mergeCells count="36">
    <mergeCell ref="B43:B54"/>
    <mergeCell ref="C43:C46"/>
    <mergeCell ref="C47:C50"/>
    <mergeCell ref="C51:C54"/>
    <mergeCell ref="B31:B42"/>
    <mergeCell ref="C31:C34"/>
    <mergeCell ref="E29:L29"/>
    <mergeCell ref="M29:T29"/>
    <mergeCell ref="X31:AB31"/>
    <mergeCell ref="C35:C38"/>
    <mergeCell ref="C39:C42"/>
    <mergeCell ref="X29:AB29"/>
    <mergeCell ref="X30:AB30"/>
    <mergeCell ref="B29:D30"/>
    <mergeCell ref="B16:B27"/>
    <mergeCell ref="C16:C19"/>
    <mergeCell ref="V16:V27"/>
    <mergeCell ref="W16:W19"/>
    <mergeCell ref="C20:C23"/>
    <mergeCell ref="W20:W23"/>
    <mergeCell ref="C24:C27"/>
    <mergeCell ref="W24:W27"/>
    <mergeCell ref="AG2:AN2"/>
    <mergeCell ref="B4:B15"/>
    <mergeCell ref="C4:C7"/>
    <mergeCell ref="V4:V15"/>
    <mergeCell ref="W4:W7"/>
    <mergeCell ref="C8:C11"/>
    <mergeCell ref="W8:W11"/>
    <mergeCell ref="C12:C15"/>
    <mergeCell ref="W12:W15"/>
    <mergeCell ref="B2:D3"/>
    <mergeCell ref="E2:L2"/>
    <mergeCell ref="M2:T2"/>
    <mergeCell ref="V2:X3"/>
    <mergeCell ref="Y2:AF2"/>
  </mergeCells>
  <phoneticPr fontId="1" type="noConversion"/>
  <conditionalFormatting sqref="W29">
    <cfRule type="cellIs" dxfId="336" priority="42" operator="lessThan">
      <formula>0.8</formula>
    </cfRule>
  </conditionalFormatting>
  <conditionalFormatting sqref="W30:W31">
    <cfRule type="cellIs" dxfId="335" priority="41" operator="lessThan">
      <formula>0.8</formula>
    </cfRule>
  </conditionalFormatting>
  <conditionalFormatting sqref="AN16:AN23 AN4:AN11 AG4:AL11 AG22:AL23 AK21:AL21 AG20:AI21 AL20 AG19:AL19 AJ18:AL18 AG16:AH18 AK17:AL17 AL16">
    <cfRule type="cellIs" dxfId="334" priority="29" operator="greaterThan">
      <formula>1.1</formula>
    </cfRule>
    <cfRule type="cellIs" dxfId="333" priority="30" operator="lessThan">
      <formula>0.9</formula>
    </cfRule>
  </conditionalFormatting>
  <conditionalFormatting sqref="AN24:AN27 AN12:AN15 AG12:AL15 AG24:AL27">
    <cfRule type="cellIs" dxfId="332" priority="27" operator="lessThan">
      <formula>0.9</formula>
    </cfRule>
    <cfRule type="cellIs" dxfId="331" priority="28" operator="greaterThan">
      <formula>1.1</formula>
    </cfRule>
  </conditionalFormatting>
  <conditionalFormatting sqref="AN4:AN27 AG4:AL15 AG22:AL27 AK21:AL21 AG20:AI21 AL20 AG19:AL19 AJ18:AL18 AK17:AL17 AG16:AH18 AL16">
    <cfRule type="cellIs" dxfId="330" priority="26" operator="greaterThan">
      <formula>10</formula>
    </cfRule>
  </conditionalFormatting>
  <conditionalFormatting sqref="AM16:AM23 AM4:AM11">
    <cfRule type="cellIs" dxfId="329" priority="24" operator="greaterThan">
      <formula>1.1</formula>
    </cfRule>
    <cfRule type="cellIs" dxfId="328" priority="25" operator="lessThan">
      <formula>0.9</formula>
    </cfRule>
  </conditionalFormatting>
  <conditionalFormatting sqref="AM24:AM27 AM12:AM15">
    <cfRule type="cellIs" dxfId="327" priority="22" operator="lessThan">
      <formula>0.9</formula>
    </cfRule>
    <cfRule type="cellIs" dxfId="326" priority="23" operator="greaterThan">
      <formula>1.1</formula>
    </cfRule>
  </conditionalFormatting>
  <conditionalFormatting sqref="AM4:AM27">
    <cfRule type="cellIs" dxfId="325" priority="21" operator="greaterThan">
      <formula>10</formula>
    </cfRule>
  </conditionalFormatting>
  <conditionalFormatting sqref="AF16:AF23 AF4:AF11 Y4:AD11 Y23:AD23 Y22:Z22 AB22:AD22 Y20:AD21 AB18:AD19 Y16:Z19 AC17 AD16">
    <cfRule type="cellIs" dxfId="324" priority="19" operator="greaterThan">
      <formula>1.1</formula>
    </cfRule>
    <cfRule type="cellIs" dxfId="323" priority="20" operator="lessThan">
      <formula>0.9</formula>
    </cfRule>
  </conditionalFormatting>
  <conditionalFormatting sqref="AF24:AF27 AF12:AF15 Y12:AD15 Y24:AD27">
    <cfRule type="cellIs" dxfId="322" priority="17" operator="lessThan">
      <formula>0.9</formula>
    </cfRule>
    <cfRule type="cellIs" dxfId="321" priority="18" operator="greaterThan">
      <formula>1.1</formula>
    </cfRule>
  </conditionalFormatting>
  <conditionalFormatting sqref="AF4:AF27 Y4:AD15 Y23:AD27 Y22:Z22 AB22:AD22 Y20:AD21 AB18:AD19 AC17 Y16:Z19 AD16">
    <cfRule type="cellIs" dxfId="320" priority="16" operator="greaterThan">
      <formula>10</formula>
    </cfRule>
  </conditionalFormatting>
  <conditionalFormatting sqref="AE16:AE23 AE4:AE11">
    <cfRule type="cellIs" dxfId="319" priority="14" operator="greaterThan">
      <formula>1.1</formula>
    </cfRule>
    <cfRule type="cellIs" dxfId="318" priority="15" operator="lessThan">
      <formula>0.9</formula>
    </cfRule>
  </conditionalFormatting>
  <conditionalFormatting sqref="AE24:AE27 AE12:AE15">
    <cfRule type="cellIs" dxfId="317" priority="12" operator="lessThan">
      <formula>0.9</formula>
    </cfRule>
    <cfRule type="cellIs" dxfId="316" priority="13" operator="greaterThan">
      <formula>1.1</formula>
    </cfRule>
  </conditionalFormatting>
  <conditionalFormatting sqref="AE4:AE27">
    <cfRule type="cellIs" dxfId="315" priority="11" operator="greaterThan">
      <formula>10</formula>
    </cfRule>
  </conditionalFormatting>
  <conditionalFormatting sqref="E19:N21 L17:N17 E16:F18 J18:N18 J16:N16 E23:T23 E22:F22 H22:T22 E4:T11 M22:R23 M16:N21 R16:T21">
    <cfRule type="expression" dxfId="314" priority="9">
      <formula>Y4&gt;1.1</formula>
    </cfRule>
  </conditionalFormatting>
  <conditionalFormatting sqref="K16 K18:K23">
    <cfRule type="expression" dxfId="313" priority="8">
      <formula>AD16&gt;1.1</formula>
    </cfRule>
  </conditionalFormatting>
  <conditionalFormatting sqref="K4:K11">
    <cfRule type="expression" dxfId="312" priority="7">
      <formula>AD4&gt;1.1</formula>
    </cfRule>
  </conditionalFormatting>
  <conditionalFormatting sqref="L16:L23">
    <cfRule type="expression" dxfId="311" priority="10">
      <formula>AF16&gt;1.1</formula>
    </cfRule>
  </conditionalFormatting>
  <conditionalFormatting sqref="M49:T50 M43:N48 R43:T48 E31:T38 E43:F45 J43:L43 E50:L50 E49:F49 H49:L49 J45:L45 K44:L44">
    <cfRule type="expression" dxfId="310" priority="6">
      <formula>Y4&gt;1.1</formula>
    </cfRule>
  </conditionalFormatting>
  <conditionalFormatting sqref="E46:L48">
    <cfRule type="expression" dxfId="309" priority="5">
      <formula>Y19&gt;1.1</formula>
    </cfRule>
  </conditionalFormatting>
  <conditionalFormatting sqref="T4:T11">
    <cfRule type="expression" dxfId="308" priority="3">
      <formula>AN4&gt;1.1</formula>
    </cfRule>
  </conditionalFormatting>
  <conditionalFormatting sqref="S16:S23">
    <cfRule type="expression" dxfId="307" priority="2">
      <formula>AL16&gt;1.1</formula>
    </cfRule>
  </conditionalFormatting>
  <conditionalFormatting sqref="S4:S11">
    <cfRule type="expression" dxfId="306" priority="1">
      <formula>AL4&gt;1.1</formula>
    </cfRule>
  </conditionalFormatting>
  <conditionalFormatting sqref="T16:T23">
    <cfRule type="expression" dxfId="305" priority="4">
      <formula>AN16&gt;1.1</formula>
    </cfRule>
  </conditionalFormatting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/>
  <dimension ref="B1:AR54"/>
  <sheetViews>
    <sheetView showGridLines="0" zoomScale="70" zoomScaleNormal="70" workbookViewId="0">
      <selection activeCell="E4" sqref="E4:V27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1.69921875" style="11" customWidth="1"/>
    <col min="5" max="22" width="6.59765625" style="11" customWidth="1"/>
    <col min="23" max="23" width="3.09765625" style="11" customWidth="1"/>
    <col min="24" max="24" width="15.69921875" style="11" customWidth="1"/>
    <col min="25" max="25" width="11" style="11" bestFit="1" customWidth="1"/>
    <col min="26" max="26" width="11.5" style="11" customWidth="1"/>
    <col min="27" max="44" width="6.59765625" style="11" customWidth="1"/>
    <col min="45" max="16384" width="9" style="11"/>
  </cols>
  <sheetData>
    <row r="1" spans="2:44" ht="15" customHeight="1" thickBot="1"/>
    <row r="2" spans="2:44" ht="15" customHeight="1">
      <c r="B2" s="99" t="s">
        <v>27</v>
      </c>
      <c r="C2" s="118"/>
      <c r="D2" s="119"/>
      <c r="E2" s="83" t="s">
        <v>14</v>
      </c>
      <c r="F2" s="84"/>
      <c r="G2" s="84"/>
      <c r="H2" s="84"/>
      <c r="I2" s="84"/>
      <c r="J2" s="84"/>
      <c r="K2" s="84"/>
      <c r="L2" s="84"/>
      <c r="M2" s="85"/>
      <c r="N2" s="83" t="s">
        <v>24</v>
      </c>
      <c r="O2" s="84"/>
      <c r="P2" s="84"/>
      <c r="Q2" s="84"/>
      <c r="R2" s="84"/>
      <c r="S2" s="84"/>
      <c r="T2" s="84"/>
      <c r="U2" s="84"/>
      <c r="V2" s="85"/>
      <c r="X2" s="105" t="s">
        <v>31</v>
      </c>
      <c r="Y2" s="106"/>
      <c r="Z2" s="106"/>
      <c r="AA2" s="98" t="s">
        <v>32</v>
      </c>
      <c r="AB2" s="116"/>
      <c r="AC2" s="116"/>
      <c r="AD2" s="116"/>
      <c r="AE2" s="116"/>
      <c r="AF2" s="116"/>
      <c r="AG2" s="116"/>
      <c r="AH2" s="116"/>
      <c r="AI2" s="117"/>
      <c r="AJ2" s="98" t="s">
        <v>33</v>
      </c>
      <c r="AK2" s="116"/>
      <c r="AL2" s="116"/>
      <c r="AM2" s="116"/>
      <c r="AN2" s="116"/>
      <c r="AO2" s="116"/>
      <c r="AP2" s="116"/>
      <c r="AQ2" s="116"/>
      <c r="AR2" s="117"/>
    </row>
    <row r="3" spans="2:44" ht="20.25" customHeight="1" thickBot="1">
      <c r="B3" s="120"/>
      <c r="C3" s="121"/>
      <c r="D3" s="122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2" t="s">
        <v>23</v>
      </c>
      <c r="M3" s="3" t="s">
        <v>17</v>
      </c>
      <c r="N3" s="1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18</v>
      </c>
      <c r="T3" s="2" t="s">
        <v>16</v>
      </c>
      <c r="U3" s="2" t="s">
        <v>23</v>
      </c>
      <c r="V3" s="3" t="s">
        <v>17</v>
      </c>
      <c r="X3" s="107"/>
      <c r="Y3" s="108"/>
      <c r="Z3" s="108"/>
      <c r="AA3" s="1" t="s">
        <v>0</v>
      </c>
      <c r="AB3" s="2" t="s">
        <v>1</v>
      </c>
      <c r="AC3" s="2" t="s">
        <v>2</v>
      </c>
      <c r="AD3" s="2" t="s">
        <v>3</v>
      </c>
      <c r="AE3" s="2" t="s">
        <v>4</v>
      </c>
      <c r="AF3" s="2" t="s">
        <v>18</v>
      </c>
      <c r="AG3" s="2" t="s">
        <v>16</v>
      </c>
      <c r="AH3" s="2" t="s">
        <v>23</v>
      </c>
      <c r="AI3" s="3" t="s">
        <v>17</v>
      </c>
      <c r="AJ3" s="1" t="s">
        <v>0</v>
      </c>
      <c r="AK3" s="2" t="s">
        <v>1</v>
      </c>
      <c r="AL3" s="2" t="s">
        <v>2</v>
      </c>
      <c r="AM3" s="2" t="s">
        <v>3</v>
      </c>
      <c r="AN3" s="2" t="s">
        <v>4</v>
      </c>
      <c r="AO3" s="2" t="s">
        <v>18</v>
      </c>
      <c r="AP3" s="2" t="s">
        <v>16</v>
      </c>
      <c r="AQ3" s="2" t="s">
        <v>23</v>
      </c>
      <c r="AR3" s="3" t="s">
        <v>17</v>
      </c>
    </row>
    <row r="4" spans="2:44" ht="15" customHeight="1">
      <c r="B4" s="92" t="s">
        <v>5</v>
      </c>
      <c r="C4" s="98" t="s">
        <v>6</v>
      </c>
      <c r="D4" s="4">
        <v>0.25</v>
      </c>
      <c r="E4" s="24">
        <v>684</v>
      </c>
      <c r="F4" s="25">
        <v>772</v>
      </c>
      <c r="G4" s="25">
        <v>836</v>
      </c>
      <c r="H4" s="25">
        <v>1032</v>
      </c>
      <c r="I4" s="25">
        <v>1464</v>
      </c>
      <c r="J4" s="25">
        <v>2512</v>
      </c>
      <c r="K4" s="25">
        <v>4448</v>
      </c>
      <c r="L4" s="25">
        <v>8384</v>
      </c>
      <c r="M4" s="26">
        <v>16192</v>
      </c>
      <c r="N4" s="24">
        <v>628</v>
      </c>
      <c r="O4" s="25">
        <v>596</v>
      </c>
      <c r="P4" s="25">
        <v>636</v>
      </c>
      <c r="Q4" s="25">
        <v>788</v>
      </c>
      <c r="R4" s="25">
        <v>1144</v>
      </c>
      <c r="S4" s="25">
        <v>2024</v>
      </c>
      <c r="T4" s="25">
        <v>3568</v>
      </c>
      <c r="U4" s="25">
        <v>6880</v>
      </c>
      <c r="V4" s="26">
        <v>13248</v>
      </c>
      <c r="X4" s="92" t="s">
        <v>5</v>
      </c>
      <c r="Y4" s="95" t="s">
        <v>6</v>
      </c>
      <c r="Z4" s="7">
        <v>0.25</v>
      </c>
      <c r="AA4" s="15">
        <f t="shared" ref="AA4:AA27" si="0">E31/E4</f>
        <v>0.53508771929824561</v>
      </c>
      <c r="AB4" s="16">
        <f t="shared" ref="AB4:AB27" si="1">F31/F4</f>
        <v>0.52590673575129532</v>
      </c>
      <c r="AC4" s="16">
        <f t="shared" ref="AC4:AC27" si="2">G31/G4</f>
        <v>0.48086124401913877</v>
      </c>
      <c r="AD4" s="16">
        <f t="shared" ref="AD4:AD27" si="3">H31/H4</f>
        <v>0.38953488372093026</v>
      </c>
      <c r="AE4" s="16">
        <f t="shared" ref="AE4:AE27" si="4">I31/I4</f>
        <v>0.27459016393442626</v>
      </c>
      <c r="AF4" s="16">
        <f t="shared" ref="AF4:AF27" si="5">J31/J4</f>
        <v>0.3359872611464968</v>
      </c>
      <c r="AG4" s="16">
        <f t="shared" ref="AG4:AG27" si="6">K31/K4</f>
        <v>0.48561151079136688</v>
      </c>
      <c r="AH4" s="16">
        <f t="shared" ref="AH4:AH27" si="7">L31/L4</f>
        <v>0.6145038167938931</v>
      </c>
      <c r="AI4" s="17">
        <f t="shared" ref="AI4:AI27" si="8">M31/M4</f>
        <v>0.6837944664031621</v>
      </c>
      <c r="AJ4" s="15">
        <f t="shared" ref="AJ4:AJ27" si="9">N31/N4</f>
        <v>0.75477707006369432</v>
      </c>
      <c r="AK4" s="16">
        <f t="shared" ref="AK4:AK27" si="10">O31/O4</f>
        <v>0.98657718120805371</v>
      </c>
      <c r="AL4" s="16">
        <f t="shared" ref="AL4:AL27" si="11">P31/P4</f>
        <v>1</v>
      </c>
      <c r="AM4" s="16">
        <f t="shared" ref="AM4:AM27" si="12">Q31/Q4</f>
        <v>0.82741116751269039</v>
      </c>
      <c r="AN4" s="16">
        <f t="shared" ref="AN4:AN27" si="13">R31/R4</f>
        <v>0.58391608391608396</v>
      </c>
      <c r="AO4" s="16">
        <f t="shared" ref="AO4:AO27" si="14">S31/S4</f>
        <v>0.34980237154150196</v>
      </c>
      <c r="AP4" s="16">
        <f t="shared" ref="AP4:AP27" si="15">T31/T4</f>
        <v>0.47309417040358742</v>
      </c>
      <c r="AQ4" s="16">
        <f t="shared" ref="AQ4:AQ27" si="16">U31/U4</f>
        <v>0.53255813953488373</v>
      </c>
      <c r="AR4" s="17">
        <f t="shared" ref="AR4:AR27" si="17">V31/V4</f>
        <v>0.57246376811594202</v>
      </c>
    </row>
    <row r="5" spans="2:44" ht="15" customHeight="1">
      <c r="B5" s="93"/>
      <c r="C5" s="96"/>
      <c r="D5" s="5">
        <v>0.5</v>
      </c>
      <c r="E5" s="27">
        <v>556</v>
      </c>
      <c r="F5" s="28">
        <v>636</v>
      </c>
      <c r="G5" s="28">
        <v>764</v>
      </c>
      <c r="H5" s="28">
        <v>932</v>
      </c>
      <c r="I5" s="28">
        <v>1416</v>
      </c>
      <c r="J5" s="28">
        <v>2192</v>
      </c>
      <c r="K5" s="28">
        <v>3728</v>
      </c>
      <c r="L5" s="28">
        <v>6752</v>
      </c>
      <c r="M5" s="29">
        <v>12736</v>
      </c>
      <c r="N5" s="27">
        <v>564</v>
      </c>
      <c r="O5" s="28">
        <v>572</v>
      </c>
      <c r="P5" s="28">
        <v>580</v>
      </c>
      <c r="Q5" s="28">
        <v>700</v>
      </c>
      <c r="R5" s="28">
        <v>1064</v>
      </c>
      <c r="S5" s="28">
        <v>1672</v>
      </c>
      <c r="T5" s="28">
        <v>2864</v>
      </c>
      <c r="U5" s="28">
        <v>5280</v>
      </c>
      <c r="V5" s="29">
        <v>9920</v>
      </c>
      <c r="X5" s="93"/>
      <c r="Y5" s="96"/>
      <c r="Z5" s="5">
        <v>0.5</v>
      </c>
      <c r="AA5" s="18">
        <f t="shared" si="0"/>
        <v>0.55035971223021585</v>
      </c>
      <c r="AB5" s="12">
        <f t="shared" si="1"/>
        <v>0.58176100628930816</v>
      </c>
      <c r="AC5" s="12">
        <f t="shared" si="2"/>
        <v>0.57853403141361259</v>
      </c>
      <c r="AD5" s="12">
        <f t="shared" si="3"/>
        <v>0.46995708154506438</v>
      </c>
      <c r="AE5" s="12">
        <f t="shared" si="4"/>
        <v>0.4096045197740113</v>
      </c>
      <c r="AF5" s="12">
        <f t="shared" si="5"/>
        <v>0.43978102189781021</v>
      </c>
      <c r="AG5" s="12">
        <f t="shared" si="6"/>
        <v>0.58798283261802575</v>
      </c>
      <c r="AH5" s="12">
        <f t="shared" si="7"/>
        <v>0.65876777251184837</v>
      </c>
      <c r="AI5" s="19">
        <f t="shared" si="8"/>
        <v>0.67839195979899503</v>
      </c>
      <c r="AJ5" s="18">
        <f t="shared" si="9"/>
        <v>0.599290780141844</v>
      </c>
      <c r="AK5" s="12">
        <f t="shared" si="10"/>
        <v>0.75874125874125875</v>
      </c>
      <c r="AL5" s="12">
        <f t="shared" si="11"/>
        <v>0.95862068965517244</v>
      </c>
      <c r="AM5" s="12">
        <f t="shared" si="12"/>
        <v>0.88571428571428568</v>
      </c>
      <c r="AN5" s="12">
        <f t="shared" si="13"/>
        <v>0.6428571428571429</v>
      </c>
      <c r="AO5" s="12">
        <f t="shared" si="14"/>
        <v>0.5430622009569378</v>
      </c>
      <c r="AP5" s="12">
        <f t="shared" si="15"/>
        <v>0.5949720670391061</v>
      </c>
      <c r="AQ5" s="12">
        <f t="shared" si="16"/>
        <v>0.61515151515151512</v>
      </c>
      <c r="AR5" s="19">
        <f t="shared" si="17"/>
        <v>0.6225806451612903</v>
      </c>
    </row>
    <row r="6" spans="2:44" ht="15" customHeight="1">
      <c r="B6" s="93"/>
      <c r="C6" s="96"/>
      <c r="D6" s="5">
        <v>0.75</v>
      </c>
      <c r="E6" s="27">
        <v>470</v>
      </c>
      <c r="F6" s="28">
        <v>532</v>
      </c>
      <c r="G6" s="28">
        <v>588</v>
      </c>
      <c r="H6" s="28">
        <v>764</v>
      </c>
      <c r="I6" s="28">
        <v>1032</v>
      </c>
      <c r="J6" s="28">
        <v>1560</v>
      </c>
      <c r="K6" s="28">
        <v>2608</v>
      </c>
      <c r="L6" s="28">
        <v>4640</v>
      </c>
      <c r="M6" s="29">
        <v>8768</v>
      </c>
      <c r="N6" s="27">
        <v>394</v>
      </c>
      <c r="O6" s="28">
        <v>498</v>
      </c>
      <c r="P6" s="28">
        <v>564</v>
      </c>
      <c r="Q6" s="28">
        <v>588</v>
      </c>
      <c r="R6" s="28">
        <v>780</v>
      </c>
      <c r="S6" s="28">
        <v>1160</v>
      </c>
      <c r="T6" s="28">
        <v>1912</v>
      </c>
      <c r="U6" s="28">
        <v>3408</v>
      </c>
      <c r="V6" s="29">
        <v>6432</v>
      </c>
      <c r="X6" s="93"/>
      <c r="Y6" s="96"/>
      <c r="Z6" s="5">
        <v>0.75</v>
      </c>
      <c r="AA6" s="18">
        <f t="shared" si="0"/>
        <v>0.53829787234042559</v>
      </c>
      <c r="AB6" s="12">
        <f t="shared" si="1"/>
        <v>0.58270676691729328</v>
      </c>
      <c r="AC6" s="12">
        <f t="shared" si="2"/>
        <v>0.6428571428571429</v>
      </c>
      <c r="AD6" s="12">
        <f t="shared" si="3"/>
        <v>0.66753926701570676</v>
      </c>
      <c r="AE6" s="12">
        <f t="shared" si="4"/>
        <v>0.76356589147286824</v>
      </c>
      <c r="AF6" s="12">
        <f t="shared" si="5"/>
        <v>0.85641025641025637</v>
      </c>
      <c r="AG6" s="12">
        <f t="shared" si="6"/>
        <v>0.93865030674846628</v>
      </c>
      <c r="AH6" s="12">
        <f t="shared" si="7"/>
        <v>0.91724137931034477</v>
      </c>
      <c r="AI6" s="19">
        <f t="shared" si="8"/>
        <v>0.87956204379562042</v>
      </c>
      <c r="AJ6" s="18">
        <f t="shared" si="9"/>
        <v>0.62690355329949243</v>
      </c>
      <c r="AK6" s="12">
        <f t="shared" si="10"/>
        <v>0.6224899598393574</v>
      </c>
      <c r="AL6" s="12">
        <f t="shared" si="11"/>
        <v>0.71985815602836878</v>
      </c>
      <c r="AM6" s="12">
        <f t="shared" si="12"/>
        <v>0.90476190476190477</v>
      </c>
      <c r="AN6" s="12">
        <f t="shared" si="13"/>
        <v>0.98974358974358978</v>
      </c>
      <c r="AO6" s="12">
        <f t="shared" si="14"/>
        <v>1.0413793103448277</v>
      </c>
      <c r="AP6" s="12">
        <f t="shared" si="15"/>
        <v>1.00836820083682</v>
      </c>
      <c r="AQ6" s="12">
        <f t="shared" si="16"/>
        <v>0.88732394366197187</v>
      </c>
      <c r="AR6" s="19">
        <f t="shared" si="17"/>
        <v>0.82089552238805974</v>
      </c>
    </row>
    <row r="7" spans="2:44" ht="15" customHeight="1" thickBot="1">
      <c r="B7" s="93"/>
      <c r="C7" s="97"/>
      <c r="D7" s="6">
        <v>1</v>
      </c>
      <c r="E7" s="30">
        <v>129</v>
      </c>
      <c r="F7" s="31">
        <v>149</v>
      </c>
      <c r="G7" s="31">
        <v>191</v>
      </c>
      <c r="H7" s="31">
        <v>286</v>
      </c>
      <c r="I7" s="31">
        <v>506</v>
      </c>
      <c r="J7" s="31">
        <v>956</v>
      </c>
      <c r="K7" s="31">
        <v>1256</v>
      </c>
      <c r="L7" s="31">
        <v>1832</v>
      </c>
      <c r="M7" s="32">
        <v>3024</v>
      </c>
      <c r="N7" s="30">
        <v>116</v>
      </c>
      <c r="O7" s="31">
        <v>131</v>
      </c>
      <c r="P7" s="31">
        <v>153</v>
      </c>
      <c r="Q7" s="31">
        <v>203</v>
      </c>
      <c r="R7" s="31">
        <v>310</v>
      </c>
      <c r="S7" s="31">
        <v>596</v>
      </c>
      <c r="T7" s="31">
        <v>828</v>
      </c>
      <c r="U7" s="31">
        <v>1288</v>
      </c>
      <c r="V7" s="32">
        <v>2192</v>
      </c>
      <c r="X7" s="93"/>
      <c r="Y7" s="97"/>
      <c r="Z7" s="6">
        <v>1</v>
      </c>
      <c r="AA7" s="20">
        <f t="shared" si="0"/>
        <v>0.81395348837209303</v>
      </c>
      <c r="AB7" s="21">
        <f t="shared" si="1"/>
        <v>0.79865771812080533</v>
      </c>
      <c r="AC7" s="21">
        <f t="shared" si="2"/>
        <v>0.82198952879581155</v>
      </c>
      <c r="AD7" s="21">
        <f t="shared" si="3"/>
        <v>0.83566433566433562</v>
      </c>
      <c r="AE7" s="21">
        <f t="shared" si="4"/>
        <v>0.86561264822134387</v>
      </c>
      <c r="AF7" s="21">
        <f t="shared" si="5"/>
        <v>0.90794979079497906</v>
      </c>
      <c r="AG7" s="21">
        <f t="shared" si="6"/>
        <v>1.3057324840764331</v>
      </c>
      <c r="AH7" s="21">
        <f t="shared" si="7"/>
        <v>1.1441048034934498</v>
      </c>
      <c r="AI7" s="22">
        <f t="shared" si="8"/>
        <v>0.97883597883597884</v>
      </c>
      <c r="AJ7" s="20">
        <f t="shared" si="9"/>
        <v>0.83620689655172409</v>
      </c>
      <c r="AK7" s="21">
        <f t="shared" si="10"/>
        <v>0.82442748091603058</v>
      </c>
      <c r="AL7" s="21">
        <f t="shared" si="11"/>
        <v>0.81045751633986929</v>
      </c>
      <c r="AM7" s="21">
        <f t="shared" si="12"/>
        <v>0.81280788177339902</v>
      </c>
      <c r="AN7" s="21">
        <f t="shared" si="13"/>
        <v>0.83225806451612905</v>
      </c>
      <c r="AO7" s="21">
        <f t="shared" si="14"/>
        <v>0.78187919463087252</v>
      </c>
      <c r="AP7" s="21">
        <f t="shared" si="15"/>
        <v>0.75845410628019327</v>
      </c>
      <c r="AQ7" s="21">
        <f t="shared" si="16"/>
        <v>1.3726708074534162</v>
      </c>
      <c r="AR7" s="22">
        <f t="shared" si="17"/>
        <v>1.5693430656934306</v>
      </c>
    </row>
    <row r="8" spans="2:44" ht="15" customHeight="1">
      <c r="B8" s="93"/>
      <c r="C8" s="98" t="s">
        <v>7</v>
      </c>
      <c r="D8" s="4">
        <v>0.25</v>
      </c>
      <c r="E8" s="24">
        <v>1336</v>
      </c>
      <c r="F8" s="25">
        <v>1704</v>
      </c>
      <c r="G8" s="25">
        <v>1784</v>
      </c>
      <c r="H8" s="25">
        <v>1928</v>
      </c>
      <c r="I8" s="25">
        <v>2384</v>
      </c>
      <c r="J8" s="25">
        <v>3248</v>
      </c>
      <c r="K8" s="25">
        <v>5216</v>
      </c>
      <c r="L8" s="25">
        <v>9664</v>
      </c>
      <c r="M8" s="26">
        <v>19072</v>
      </c>
      <c r="N8" s="24">
        <v>1080</v>
      </c>
      <c r="O8" s="25">
        <v>1096</v>
      </c>
      <c r="P8" s="25">
        <v>1144</v>
      </c>
      <c r="Q8" s="25">
        <v>1304</v>
      </c>
      <c r="R8" s="25">
        <v>1656</v>
      </c>
      <c r="S8" s="25">
        <v>2544</v>
      </c>
      <c r="T8" s="25">
        <v>4128</v>
      </c>
      <c r="U8" s="25">
        <v>7840</v>
      </c>
      <c r="V8" s="26">
        <v>15680</v>
      </c>
      <c r="X8" s="93"/>
      <c r="Y8" s="98" t="s">
        <v>7</v>
      </c>
      <c r="Z8" s="4">
        <v>0.25</v>
      </c>
      <c r="AA8" s="15">
        <f t="shared" si="0"/>
        <v>0.66766467065868262</v>
      </c>
      <c r="AB8" s="16">
        <f t="shared" si="1"/>
        <v>0.55164319248826288</v>
      </c>
      <c r="AC8" s="16">
        <f t="shared" si="2"/>
        <v>0.55829596412556048</v>
      </c>
      <c r="AD8" s="16">
        <f t="shared" si="3"/>
        <v>0.524896265560166</v>
      </c>
      <c r="AE8" s="16">
        <f t="shared" si="4"/>
        <v>0.42114093959731541</v>
      </c>
      <c r="AF8" s="16">
        <f t="shared" si="5"/>
        <v>0.33251231527093594</v>
      </c>
      <c r="AG8" s="16">
        <f t="shared" si="6"/>
        <v>0.46932515337423314</v>
      </c>
      <c r="AH8" s="16">
        <f t="shared" si="7"/>
        <v>0.59933774834437081</v>
      </c>
      <c r="AI8" s="17">
        <f t="shared" si="8"/>
        <v>0.69463087248322153</v>
      </c>
      <c r="AJ8" s="15">
        <f t="shared" si="9"/>
        <v>0.81851851851851853</v>
      </c>
      <c r="AK8" s="16">
        <f t="shared" si="10"/>
        <v>0.87226277372262773</v>
      </c>
      <c r="AL8" s="16">
        <f t="shared" si="11"/>
        <v>0.91608391608391604</v>
      </c>
      <c r="AM8" s="16">
        <f t="shared" si="12"/>
        <v>0.8404907975460123</v>
      </c>
      <c r="AN8" s="16">
        <f t="shared" si="13"/>
        <v>0.6908212560386473</v>
      </c>
      <c r="AO8" s="16">
        <f t="shared" si="14"/>
        <v>0.51886792452830188</v>
      </c>
      <c r="AP8" s="16">
        <f t="shared" si="15"/>
        <v>0.47093023255813954</v>
      </c>
      <c r="AQ8" s="16">
        <f t="shared" si="16"/>
        <v>0.52653061224489794</v>
      </c>
      <c r="AR8" s="17">
        <f t="shared" si="17"/>
        <v>0.5591836734693878</v>
      </c>
    </row>
    <row r="9" spans="2:44" ht="15" customHeight="1">
      <c r="B9" s="93"/>
      <c r="C9" s="96"/>
      <c r="D9" s="5">
        <v>0.5</v>
      </c>
      <c r="E9" s="27">
        <v>932</v>
      </c>
      <c r="F9" s="28">
        <v>1160</v>
      </c>
      <c r="G9" s="28">
        <v>1656</v>
      </c>
      <c r="H9" s="28">
        <v>1864</v>
      </c>
      <c r="I9" s="28">
        <v>2224</v>
      </c>
      <c r="J9" s="28">
        <v>3024</v>
      </c>
      <c r="K9" s="28">
        <v>4448</v>
      </c>
      <c r="L9" s="28">
        <v>7648</v>
      </c>
      <c r="M9" s="29">
        <v>15296</v>
      </c>
      <c r="N9" s="27">
        <v>1020</v>
      </c>
      <c r="O9" s="28">
        <v>1064</v>
      </c>
      <c r="P9" s="28">
        <v>1064</v>
      </c>
      <c r="Q9" s="28">
        <v>1192</v>
      </c>
      <c r="R9" s="28">
        <v>1544</v>
      </c>
      <c r="S9" s="28">
        <v>2192</v>
      </c>
      <c r="T9" s="28">
        <v>3376</v>
      </c>
      <c r="U9" s="28">
        <v>5920</v>
      </c>
      <c r="V9" s="29">
        <v>11712</v>
      </c>
      <c r="X9" s="93"/>
      <c r="Y9" s="96"/>
      <c r="Z9" s="5">
        <v>0.5</v>
      </c>
      <c r="AA9" s="18">
        <f t="shared" si="0"/>
        <v>0.93133047210300424</v>
      </c>
      <c r="AB9" s="12">
        <f t="shared" si="1"/>
        <v>0.76896551724137929</v>
      </c>
      <c r="AC9" s="12">
        <f t="shared" si="2"/>
        <v>0.58695652173913049</v>
      </c>
      <c r="AD9" s="12">
        <f t="shared" si="3"/>
        <v>0.75965665236051505</v>
      </c>
      <c r="AE9" s="12">
        <f t="shared" si="4"/>
        <v>0.73741007194244601</v>
      </c>
      <c r="AF9" s="12">
        <f t="shared" si="5"/>
        <v>0.96825396825396826</v>
      </c>
      <c r="AG9" s="12">
        <f t="shared" si="6"/>
        <v>0.66546762589928055</v>
      </c>
      <c r="AH9" s="12">
        <f t="shared" si="7"/>
        <v>0.69037656903765687</v>
      </c>
      <c r="AI9" s="19">
        <f t="shared" si="8"/>
        <v>0.64853556485355646</v>
      </c>
      <c r="AJ9" s="18">
        <f t="shared" si="9"/>
        <v>0.7803921568627451</v>
      </c>
      <c r="AK9" s="12">
        <f t="shared" si="10"/>
        <v>0.82330827067669177</v>
      </c>
      <c r="AL9" s="12">
        <f t="shared" si="11"/>
        <v>0.90601503759398494</v>
      </c>
      <c r="AM9" s="12">
        <f t="shared" si="12"/>
        <v>0.94630872483221473</v>
      </c>
      <c r="AN9" s="12">
        <f t="shared" si="13"/>
        <v>0.98963730569948183</v>
      </c>
      <c r="AO9" s="12">
        <f t="shared" si="14"/>
        <v>0.82116788321167888</v>
      </c>
      <c r="AP9" s="12">
        <f t="shared" si="15"/>
        <v>0.62085308056872035</v>
      </c>
      <c r="AQ9" s="12">
        <f t="shared" si="16"/>
        <v>0.6459459459459459</v>
      </c>
      <c r="AR9" s="19">
        <f t="shared" si="17"/>
        <v>0.59289617486338797</v>
      </c>
    </row>
    <row r="10" spans="2:44" ht="15" customHeight="1">
      <c r="B10" s="93"/>
      <c r="C10" s="96"/>
      <c r="D10" s="5">
        <v>0.75</v>
      </c>
      <c r="E10" s="27">
        <v>844</v>
      </c>
      <c r="F10" s="28">
        <v>892</v>
      </c>
      <c r="G10" s="28">
        <v>1048</v>
      </c>
      <c r="H10" s="28">
        <v>1704</v>
      </c>
      <c r="I10" s="28">
        <v>2064</v>
      </c>
      <c r="J10" s="28">
        <v>2608</v>
      </c>
      <c r="K10" s="28">
        <v>3600</v>
      </c>
      <c r="L10" s="28">
        <v>5600</v>
      </c>
      <c r="M10" s="29">
        <v>10176</v>
      </c>
      <c r="N10" s="27">
        <v>996</v>
      </c>
      <c r="O10" s="28">
        <v>1032</v>
      </c>
      <c r="P10" s="28">
        <v>1096</v>
      </c>
      <c r="Q10" s="28">
        <v>1096</v>
      </c>
      <c r="R10" s="28">
        <v>1288</v>
      </c>
      <c r="S10" s="28">
        <v>1656</v>
      </c>
      <c r="T10" s="28">
        <v>2416</v>
      </c>
      <c r="U10" s="28">
        <v>3952</v>
      </c>
      <c r="V10" s="29">
        <v>7456</v>
      </c>
      <c r="X10" s="93"/>
      <c r="Y10" s="96"/>
      <c r="Z10" s="5">
        <v>0.75</v>
      </c>
      <c r="AA10" s="18">
        <f t="shared" si="0"/>
        <v>0.6398104265402843</v>
      </c>
      <c r="AB10" s="12">
        <f t="shared" si="1"/>
        <v>0.94618834080717484</v>
      </c>
      <c r="AC10" s="12">
        <f t="shared" si="2"/>
        <v>0.85114503816793896</v>
      </c>
      <c r="AD10" s="12">
        <f t="shared" si="3"/>
        <v>0.59859154929577463</v>
      </c>
      <c r="AE10" s="12">
        <f t="shared" si="4"/>
        <v>0.78682170542635654</v>
      </c>
      <c r="AF10" s="12">
        <f t="shared" si="5"/>
        <v>0.98773006134969321</v>
      </c>
      <c r="AG10" s="12">
        <f t="shared" si="6"/>
        <v>1.0266666666666666</v>
      </c>
      <c r="AH10" s="12">
        <f t="shared" si="7"/>
        <v>0.94285714285714284</v>
      </c>
      <c r="AI10" s="19">
        <f t="shared" si="8"/>
        <v>0.86163522012578619</v>
      </c>
      <c r="AJ10" s="18">
        <f t="shared" si="9"/>
        <v>0.68674698795180722</v>
      </c>
      <c r="AK10" s="12">
        <f t="shared" si="10"/>
        <v>0.71705426356589153</v>
      </c>
      <c r="AL10" s="12">
        <f t="shared" si="11"/>
        <v>0.7992700729927007</v>
      </c>
      <c r="AM10" s="12">
        <f t="shared" si="12"/>
        <v>0.87956204379562042</v>
      </c>
      <c r="AN10" s="12">
        <f t="shared" si="13"/>
        <v>1</v>
      </c>
      <c r="AO10" s="12">
        <f t="shared" si="14"/>
        <v>1.0966183574879227</v>
      </c>
      <c r="AP10" s="12">
        <f t="shared" si="15"/>
        <v>1.2649006622516556</v>
      </c>
      <c r="AQ10" s="12">
        <f t="shared" si="16"/>
        <v>1.0445344129554657</v>
      </c>
      <c r="AR10" s="19">
        <f t="shared" si="17"/>
        <v>0.871244635193133</v>
      </c>
    </row>
    <row r="11" spans="2:44" ht="15" customHeight="1" thickBot="1">
      <c r="B11" s="93"/>
      <c r="C11" s="97"/>
      <c r="D11" s="6">
        <v>1</v>
      </c>
      <c r="E11" s="30">
        <v>189</v>
      </c>
      <c r="F11" s="31">
        <v>237</v>
      </c>
      <c r="G11" s="31">
        <v>318</v>
      </c>
      <c r="H11" s="31">
        <v>494</v>
      </c>
      <c r="I11" s="31">
        <v>900</v>
      </c>
      <c r="J11" s="31">
        <v>1672</v>
      </c>
      <c r="K11" s="45">
        <v>1992</v>
      </c>
      <c r="L11" s="31">
        <v>2608</v>
      </c>
      <c r="M11" s="32">
        <v>3792</v>
      </c>
      <c r="N11" s="30">
        <v>173</v>
      </c>
      <c r="O11" s="31">
        <v>201</v>
      </c>
      <c r="P11" s="31">
        <v>247</v>
      </c>
      <c r="Q11" s="31">
        <v>338</v>
      </c>
      <c r="R11" s="31">
        <v>532</v>
      </c>
      <c r="S11" s="31">
        <v>908</v>
      </c>
      <c r="T11" s="31">
        <v>1144</v>
      </c>
      <c r="U11" s="31">
        <v>1608</v>
      </c>
      <c r="V11" s="32">
        <v>2544</v>
      </c>
      <c r="X11" s="93"/>
      <c r="Y11" s="97"/>
      <c r="Z11" s="6">
        <v>1</v>
      </c>
      <c r="AA11" s="20">
        <f t="shared" si="0"/>
        <v>0.80952380952380953</v>
      </c>
      <c r="AB11" s="21">
        <f t="shared" si="1"/>
        <v>0.80590717299578063</v>
      </c>
      <c r="AC11" s="21">
        <f t="shared" si="2"/>
        <v>0.83647798742138368</v>
      </c>
      <c r="AD11" s="21">
        <f t="shared" si="3"/>
        <v>0.87854251012145745</v>
      </c>
      <c r="AE11" s="21">
        <f t="shared" si="4"/>
        <v>0.88444444444444448</v>
      </c>
      <c r="AF11" s="21">
        <f t="shared" si="5"/>
        <v>0.95215311004784686</v>
      </c>
      <c r="AG11" s="21">
        <f t="shared" si="6"/>
        <v>1.4538152610441768</v>
      </c>
      <c r="AH11" s="21">
        <f t="shared" si="7"/>
        <v>1.294478527607362</v>
      </c>
      <c r="AI11" s="22">
        <f t="shared" si="8"/>
        <v>1.1223628691983123</v>
      </c>
      <c r="AJ11" s="20">
        <f t="shared" si="9"/>
        <v>0.79190751445086704</v>
      </c>
      <c r="AK11" s="21">
        <f t="shared" si="10"/>
        <v>0.80099502487562191</v>
      </c>
      <c r="AL11" s="21">
        <f t="shared" si="11"/>
        <v>0.81376518218623484</v>
      </c>
      <c r="AM11" s="21">
        <f t="shared" si="12"/>
        <v>0.83431952662721898</v>
      </c>
      <c r="AN11" s="21">
        <f t="shared" si="13"/>
        <v>0.89097744360902253</v>
      </c>
      <c r="AO11" s="21">
        <f t="shared" si="14"/>
        <v>0.97356828193832601</v>
      </c>
      <c r="AP11" s="21">
        <f t="shared" si="15"/>
        <v>0.91608391608391604</v>
      </c>
      <c r="AQ11" s="21">
        <f t="shared" si="16"/>
        <v>1.3631840796019901</v>
      </c>
      <c r="AR11" s="22">
        <f t="shared" si="17"/>
        <v>1.5157232704402517</v>
      </c>
    </row>
    <row r="12" spans="2:44" ht="15" customHeight="1">
      <c r="B12" s="93"/>
      <c r="C12" s="98" t="s">
        <v>8</v>
      </c>
      <c r="D12" s="4">
        <v>0.25</v>
      </c>
      <c r="E12" s="24">
        <v>15774</v>
      </c>
      <c r="F12" s="25">
        <v>16960</v>
      </c>
      <c r="G12" s="25">
        <v>16995</v>
      </c>
      <c r="H12" s="25">
        <v>16999</v>
      </c>
      <c r="I12" s="25">
        <v>17081</v>
      </c>
      <c r="J12" s="25">
        <v>17117</v>
      </c>
      <c r="K12" s="25">
        <v>17117</v>
      </c>
      <c r="L12" s="25">
        <v>17101</v>
      </c>
      <c r="M12" s="26">
        <v>17102</v>
      </c>
      <c r="N12" s="24">
        <v>19507</v>
      </c>
      <c r="O12" s="25">
        <v>20841</v>
      </c>
      <c r="P12" s="25">
        <v>21014</v>
      </c>
      <c r="Q12" s="25">
        <v>20903</v>
      </c>
      <c r="R12" s="25">
        <v>21010</v>
      </c>
      <c r="S12" s="25">
        <v>20898</v>
      </c>
      <c r="T12" s="25">
        <v>20991</v>
      </c>
      <c r="U12" s="25">
        <v>20889</v>
      </c>
      <c r="V12" s="26">
        <v>21060</v>
      </c>
      <c r="X12" s="93"/>
      <c r="Y12" s="98" t="s">
        <v>8</v>
      </c>
      <c r="Z12" s="4">
        <v>0.25</v>
      </c>
      <c r="AA12" s="15">
        <f t="shared" si="0"/>
        <v>1.3884239888423988</v>
      </c>
      <c r="AB12" s="16">
        <f t="shared" si="1"/>
        <v>1.3526533018867926</v>
      </c>
      <c r="AC12" s="16">
        <f t="shared" si="2"/>
        <v>1.3503383348043543</v>
      </c>
      <c r="AD12" s="16">
        <f t="shared" si="3"/>
        <v>1.3501382434260838</v>
      </c>
      <c r="AE12" s="16">
        <f t="shared" si="4"/>
        <v>1.3462912007493706</v>
      </c>
      <c r="AF12" s="16">
        <f t="shared" si="5"/>
        <v>1.3378512589822984</v>
      </c>
      <c r="AG12" s="16">
        <f t="shared" si="6"/>
        <v>1.3921832096745925</v>
      </c>
      <c r="AH12" s="16">
        <f t="shared" si="7"/>
        <v>1.3919653821413953</v>
      </c>
      <c r="AI12" s="17">
        <f t="shared" si="8"/>
        <v>1.3925271898023623</v>
      </c>
      <c r="AJ12" s="15">
        <f t="shared" si="9"/>
        <v>1.3206028605116111</v>
      </c>
      <c r="AK12" s="16">
        <f t="shared" si="10"/>
        <v>1.614941701453865</v>
      </c>
      <c r="AL12" s="16">
        <f t="shared" si="11"/>
        <v>1.5964595031883506</v>
      </c>
      <c r="AM12" s="16">
        <f t="shared" si="12"/>
        <v>1.6052241305075827</v>
      </c>
      <c r="AN12" s="16">
        <f t="shared" si="13"/>
        <v>1.5967634459781057</v>
      </c>
      <c r="AO12" s="16">
        <f t="shared" si="14"/>
        <v>1.6046511627906976</v>
      </c>
      <c r="AP12" s="16">
        <f t="shared" si="15"/>
        <v>1.6946786718117288</v>
      </c>
      <c r="AQ12" s="16">
        <f t="shared" si="16"/>
        <v>1.7030494518646178</v>
      </c>
      <c r="AR12" s="17">
        <f t="shared" si="17"/>
        <v>1.6891737891737892</v>
      </c>
    </row>
    <row r="13" spans="2:44" ht="15" customHeight="1">
      <c r="B13" s="93"/>
      <c r="C13" s="96"/>
      <c r="D13" s="5">
        <v>0.5</v>
      </c>
      <c r="E13" s="27">
        <v>25789</v>
      </c>
      <c r="F13" s="28">
        <v>38716</v>
      </c>
      <c r="G13" s="28">
        <v>44173</v>
      </c>
      <c r="H13" s="28">
        <v>44340</v>
      </c>
      <c r="I13" s="28">
        <v>44785</v>
      </c>
      <c r="J13" s="28">
        <v>44889</v>
      </c>
      <c r="K13" s="28">
        <v>44880</v>
      </c>
      <c r="L13" s="28">
        <v>44858</v>
      </c>
      <c r="M13" s="29">
        <v>44896</v>
      </c>
      <c r="N13" s="27">
        <v>30215</v>
      </c>
      <c r="O13" s="28">
        <v>48037</v>
      </c>
      <c r="P13" s="28">
        <v>57252</v>
      </c>
      <c r="Q13" s="28">
        <v>57249</v>
      </c>
      <c r="R13" s="28">
        <v>57265</v>
      </c>
      <c r="S13" s="28">
        <v>57213</v>
      </c>
      <c r="T13" s="28">
        <v>57479</v>
      </c>
      <c r="U13" s="28">
        <v>57267</v>
      </c>
      <c r="V13" s="29">
        <v>57354</v>
      </c>
      <c r="X13" s="93"/>
      <c r="Y13" s="96"/>
      <c r="Z13" s="5">
        <v>0.5</v>
      </c>
      <c r="AA13" s="18">
        <f t="shared" si="0"/>
        <v>1.3498778548993757</v>
      </c>
      <c r="AB13" s="12">
        <f t="shared" si="1"/>
        <v>1.3054292798842855</v>
      </c>
      <c r="AC13" s="12">
        <f t="shared" si="2"/>
        <v>1.3072012315215176</v>
      </c>
      <c r="AD13" s="12">
        <f t="shared" si="3"/>
        <v>1.303360396932792</v>
      </c>
      <c r="AE13" s="12">
        <f t="shared" si="4"/>
        <v>1.2919281009266494</v>
      </c>
      <c r="AF13" s="12">
        <f t="shared" si="5"/>
        <v>1.3195660406781171</v>
      </c>
      <c r="AG13" s="12">
        <f t="shared" si="6"/>
        <v>1.4111853832442067</v>
      </c>
      <c r="AH13" s="12">
        <f t="shared" si="7"/>
        <v>1.4124347942396005</v>
      </c>
      <c r="AI13" s="19">
        <f t="shared" si="8"/>
        <v>1.4110833927298645</v>
      </c>
      <c r="AJ13" s="18">
        <f t="shared" si="9"/>
        <v>1.3491312262121462</v>
      </c>
      <c r="AK13" s="12">
        <f t="shared" si="10"/>
        <v>1.3454004205091907</v>
      </c>
      <c r="AL13" s="12">
        <f t="shared" si="11"/>
        <v>1.5013623978201636</v>
      </c>
      <c r="AM13" s="12">
        <f t="shared" si="12"/>
        <v>1.4930391797236633</v>
      </c>
      <c r="AN13" s="12">
        <f t="shared" si="13"/>
        <v>1.4916790360604208</v>
      </c>
      <c r="AO13" s="12">
        <f t="shared" si="14"/>
        <v>1.4924929648856029</v>
      </c>
      <c r="AP13" s="12">
        <f t="shared" si="15"/>
        <v>1.6629725638929</v>
      </c>
      <c r="AQ13" s="12">
        <f t="shared" si="16"/>
        <v>1.6701416173363368</v>
      </c>
      <c r="AR13" s="19">
        <f t="shared" si="17"/>
        <v>1.667433831990794</v>
      </c>
    </row>
    <row r="14" spans="2:44" ht="15" customHeight="1">
      <c r="B14" s="93"/>
      <c r="C14" s="96"/>
      <c r="D14" s="5">
        <v>0.75</v>
      </c>
      <c r="E14" s="27">
        <v>36053</v>
      </c>
      <c r="F14" s="28">
        <v>57970</v>
      </c>
      <c r="G14" s="28">
        <v>87222</v>
      </c>
      <c r="H14" s="28">
        <v>100960</v>
      </c>
      <c r="I14" s="28">
        <v>101275</v>
      </c>
      <c r="J14" s="28">
        <v>101304</v>
      </c>
      <c r="K14" s="28">
        <v>101305</v>
      </c>
      <c r="L14" s="28">
        <v>101234</v>
      </c>
      <c r="M14" s="29">
        <v>101267</v>
      </c>
      <c r="N14" s="27">
        <v>40671</v>
      </c>
      <c r="O14" s="28">
        <v>68537</v>
      </c>
      <c r="P14" s="28">
        <v>107358</v>
      </c>
      <c r="Q14" s="28">
        <v>138102</v>
      </c>
      <c r="R14" s="28">
        <v>136861</v>
      </c>
      <c r="S14" s="28">
        <v>137840</v>
      </c>
      <c r="T14" s="28">
        <v>137430</v>
      </c>
      <c r="U14" s="28">
        <v>137371</v>
      </c>
      <c r="V14" s="29">
        <v>137833</v>
      </c>
      <c r="X14" s="93"/>
      <c r="Y14" s="96"/>
      <c r="Z14" s="5">
        <v>0.75</v>
      </c>
      <c r="AA14" s="18">
        <f t="shared" si="0"/>
        <v>1.2554017696169528</v>
      </c>
      <c r="AB14" s="12">
        <f t="shared" si="1"/>
        <v>1.2643953769190961</v>
      </c>
      <c r="AC14" s="12">
        <f t="shared" si="2"/>
        <v>1.2489509527412808</v>
      </c>
      <c r="AD14" s="12">
        <f t="shared" si="3"/>
        <v>1.2243264659270998</v>
      </c>
      <c r="AE14" s="12">
        <f t="shared" si="4"/>
        <v>1.220469019995063</v>
      </c>
      <c r="AF14" s="12">
        <f t="shared" si="5"/>
        <v>1.2213831635473427</v>
      </c>
      <c r="AG14" s="12">
        <f t="shared" si="6"/>
        <v>1.2208676768175313</v>
      </c>
      <c r="AH14" s="12">
        <f t="shared" si="7"/>
        <v>1.221635023806231</v>
      </c>
      <c r="AI14" s="19">
        <f t="shared" si="8"/>
        <v>1.2225601627381082</v>
      </c>
      <c r="AJ14" s="18">
        <f t="shared" si="9"/>
        <v>1.2434412726512749</v>
      </c>
      <c r="AK14" s="12">
        <f t="shared" si="10"/>
        <v>1.3149539664706655</v>
      </c>
      <c r="AL14" s="12">
        <f t="shared" si="11"/>
        <v>1.3113787514670541</v>
      </c>
      <c r="AM14" s="12">
        <f t="shared" si="12"/>
        <v>1.2894382412999088</v>
      </c>
      <c r="AN14" s="12">
        <f t="shared" si="13"/>
        <v>1.3537676913072387</v>
      </c>
      <c r="AO14" s="12">
        <f t="shared" si="14"/>
        <v>1.3482733604178758</v>
      </c>
      <c r="AP14" s="12">
        <f t="shared" si="15"/>
        <v>1.3668849596158044</v>
      </c>
      <c r="AQ14" s="12">
        <f t="shared" si="16"/>
        <v>1.3678505652575872</v>
      </c>
      <c r="AR14" s="19">
        <f t="shared" si="17"/>
        <v>1.3626707682485326</v>
      </c>
    </row>
    <row r="15" spans="2:44" ht="15" customHeight="1" thickBot="1">
      <c r="B15" s="94"/>
      <c r="C15" s="97"/>
      <c r="D15" s="6">
        <v>1</v>
      </c>
      <c r="E15" s="30">
        <v>51232</v>
      </c>
      <c r="F15" s="31">
        <v>96865</v>
      </c>
      <c r="G15" s="31">
        <v>173254</v>
      </c>
      <c r="H15" s="31">
        <v>279350</v>
      </c>
      <c r="I15" s="31">
        <v>381646</v>
      </c>
      <c r="J15" s="31">
        <v>442723</v>
      </c>
      <c r="K15" s="31">
        <v>443055</v>
      </c>
      <c r="L15" s="31">
        <v>443066</v>
      </c>
      <c r="M15" s="32">
        <v>443077</v>
      </c>
      <c r="N15" s="30">
        <v>52988</v>
      </c>
      <c r="O15" s="31">
        <v>101999</v>
      </c>
      <c r="P15" s="31">
        <v>189595</v>
      </c>
      <c r="Q15" s="31">
        <v>328988</v>
      </c>
      <c r="R15" s="31">
        <v>492502</v>
      </c>
      <c r="S15" s="31">
        <v>573185</v>
      </c>
      <c r="T15" s="31">
        <v>573620</v>
      </c>
      <c r="U15" s="31">
        <v>573574</v>
      </c>
      <c r="V15" s="32">
        <v>573592</v>
      </c>
      <c r="X15" s="94"/>
      <c r="Y15" s="97"/>
      <c r="Z15" s="6">
        <v>1</v>
      </c>
      <c r="AA15" s="20">
        <f t="shared" si="0"/>
        <v>1.203408026233604</v>
      </c>
      <c r="AB15" s="21">
        <f t="shared" si="1"/>
        <v>1.212378051927941</v>
      </c>
      <c r="AC15" s="21">
        <f t="shared" si="2"/>
        <v>1.2267653272074526</v>
      </c>
      <c r="AD15" s="21">
        <f t="shared" si="3"/>
        <v>1.2355038482190801</v>
      </c>
      <c r="AE15" s="21">
        <f t="shared" si="4"/>
        <v>1.2338318756124786</v>
      </c>
      <c r="AF15" s="21">
        <f t="shared" si="5"/>
        <v>1.2411327172972717</v>
      </c>
      <c r="AG15" s="21">
        <f t="shared" si="6"/>
        <v>1.3214409046280935</v>
      </c>
      <c r="AH15" s="21">
        <f t="shared" si="7"/>
        <v>1.3215841432201973</v>
      </c>
      <c r="AI15" s="22">
        <f t="shared" si="8"/>
        <v>1.3215513330640047</v>
      </c>
      <c r="AJ15" s="20">
        <f t="shared" si="9"/>
        <v>1.1770212123499659</v>
      </c>
      <c r="AK15" s="21">
        <f t="shared" si="10"/>
        <v>1.189992058745674</v>
      </c>
      <c r="AL15" s="21">
        <f t="shared" si="11"/>
        <v>1.2099527941137689</v>
      </c>
      <c r="AM15" s="21">
        <f t="shared" si="12"/>
        <v>1.2418811628387663</v>
      </c>
      <c r="AN15" s="21">
        <f t="shared" si="13"/>
        <v>1.2984597016864907</v>
      </c>
      <c r="AO15" s="21">
        <f t="shared" si="14"/>
        <v>1.4240236572834251</v>
      </c>
      <c r="AP15" s="21">
        <f t="shared" si="15"/>
        <v>1.4248195669607058</v>
      </c>
      <c r="AQ15" s="21">
        <f t="shared" si="16"/>
        <v>1.4249355793672656</v>
      </c>
      <c r="AR15" s="22">
        <f t="shared" si="17"/>
        <v>1.4248873763929761</v>
      </c>
    </row>
    <row r="16" spans="2:44" ht="15" customHeight="1">
      <c r="B16" s="83" t="s">
        <v>9</v>
      </c>
      <c r="C16" s="98" t="s">
        <v>6</v>
      </c>
      <c r="D16" s="4">
        <v>0.25</v>
      </c>
      <c r="E16" s="24">
        <v>19</v>
      </c>
      <c r="F16" s="25">
        <v>13</v>
      </c>
      <c r="G16" s="25">
        <v>15</v>
      </c>
      <c r="H16" s="25">
        <v>298</v>
      </c>
      <c r="I16" s="25">
        <v>628</v>
      </c>
      <c r="J16" s="25">
        <v>1208</v>
      </c>
      <c r="K16" s="25">
        <v>2256</v>
      </c>
      <c r="L16" s="25">
        <v>4384</v>
      </c>
      <c r="M16" s="26">
        <v>8512</v>
      </c>
      <c r="N16" s="24">
        <v>14</v>
      </c>
      <c r="O16" s="25">
        <v>14</v>
      </c>
      <c r="P16" s="25">
        <v>15</v>
      </c>
      <c r="Q16" s="25">
        <v>181</v>
      </c>
      <c r="R16" s="25">
        <v>450</v>
      </c>
      <c r="S16" s="25">
        <v>860</v>
      </c>
      <c r="T16" s="25">
        <v>1656</v>
      </c>
      <c r="U16" s="25">
        <v>3216</v>
      </c>
      <c r="V16" s="26">
        <v>6240</v>
      </c>
      <c r="X16" s="83" t="s">
        <v>9</v>
      </c>
      <c r="Y16" s="98" t="s">
        <v>6</v>
      </c>
      <c r="Z16" s="4">
        <v>0.25</v>
      </c>
      <c r="AA16" s="15">
        <f t="shared" si="0"/>
        <v>0.68421052631578949</v>
      </c>
      <c r="AB16" s="16">
        <f t="shared" si="1"/>
        <v>1</v>
      </c>
      <c r="AC16" s="16">
        <f t="shared" si="2"/>
        <v>0.93333333333333335</v>
      </c>
      <c r="AD16" s="16">
        <f t="shared" si="3"/>
        <v>5.0335570469798654E-2</v>
      </c>
      <c r="AE16" s="16">
        <f t="shared" si="4"/>
        <v>0.21496815286624205</v>
      </c>
      <c r="AF16" s="16">
        <f t="shared" si="5"/>
        <v>0.12003311258278146</v>
      </c>
      <c r="AG16" s="16">
        <f t="shared" si="6"/>
        <v>6.515957446808511E-2</v>
      </c>
      <c r="AH16" s="16">
        <f t="shared" si="7"/>
        <v>0.4470802919708029</v>
      </c>
      <c r="AI16" s="17">
        <f t="shared" si="8"/>
        <v>0.6428571428571429</v>
      </c>
      <c r="AJ16" s="15">
        <f t="shared" si="9"/>
        <v>0.9285714285714286</v>
      </c>
      <c r="AK16" s="16">
        <f t="shared" si="10"/>
        <v>1</v>
      </c>
      <c r="AL16" s="16">
        <f t="shared" si="11"/>
        <v>1.0666666666666667</v>
      </c>
      <c r="AM16" s="16">
        <f t="shared" si="12"/>
        <v>9.3922651933701654E-2</v>
      </c>
      <c r="AN16" s="16">
        <f t="shared" si="13"/>
        <v>3.7777777777777778E-2</v>
      </c>
      <c r="AO16" s="16">
        <f t="shared" si="14"/>
        <v>1.9767441860465116E-2</v>
      </c>
      <c r="AP16" s="16">
        <f t="shared" si="15"/>
        <v>6.280193236714976E-2</v>
      </c>
      <c r="AQ16" s="16">
        <f t="shared" si="16"/>
        <v>0.46019900497512439</v>
      </c>
      <c r="AR16" s="17">
        <f t="shared" si="17"/>
        <v>0.59743589743589742</v>
      </c>
    </row>
    <row r="17" spans="2:44" ht="15" customHeight="1">
      <c r="B17" s="93"/>
      <c r="C17" s="96"/>
      <c r="D17" s="5">
        <v>0.5</v>
      </c>
      <c r="E17" s="27">
        <v>17</v>
      </c>
      <c r="F17" s="28">
        <v>14</v>
      </c>
      <c r="G17" s="28">
        <v>209</v>
      </c>
      <c r="H17" s="28">
        <v>516</v>
      </c>
      <c r="I17" s="28">
        <v>1128</v>
      </c>
      <c r="J17" s="28">
        <v>2192</v>
      </c>
      <c r="K17" s="28">
        <v>3696</v>
      </c>
      <c r="L17" s="28">
        <v>6816</v>
      </c>
      <c r="M17" s="29">
        <v>12992</v>
      </c>
      <c r="N17" s="27">
        <v>14</v>
      </c>
      <c r="O17" s="28">
        <v>14</v>
      </c>
      <c r="P17" s="28">
        <v>159</v>
      </c>
      <c r="Q17" s="28">
        <v>398</v>
      </c>
      <c r="R17" s="28">
        <v>884</v>
      </c>
      <c r="S17" s="28">
        <v>1736</v>
      </c>
      <c r="T17" s="28">
        <v>2896</v>
      </c>
      <c r="U17" s="28">
        <v>5344</v>
      </c>
      <c r="V17" s="29">
        <v>10176</v>
      </c>
      <c r="X17" s="93"/>
      <c r="Y17" s="96"/>
      <c r="Z17" s="5">
        <v>0.5</v>
      </c>
      <c r="AA17" s="18">
        <f t="shared" si="0"/>
        <v>0.76470588235294112</v>
      </c>
      <c r="AB17" s="12">
        <f t="shared" si="1"/>
        <v>1</v>
      </c>
      <c r="AC17" s="12">
        <f t="shared" si="2"/>
        <v>0.87559808612440193</v>
      </c>
      <c r="AD17" s="12">
        <f t="shared" si="3"/>
        <v>0.98837209302325579</v>
      </c>
      <c r="AE17" s="12">
        <f t="shared" si="4"/>
        <v>1.0283687943262412</v>
      </c>
      <c r="AF17" s="12">
        <f t="shared" si="5"/>
        <v>0.98540145985401462</v>
      </c>
      <c r="AG17" s="12">
        <f t="shared" si="6"/>
        <v>1.0346320346320346</v>
      </c>
      <c r="AH17" s="12">
        <f t="shared" si="7"/>
        <v>0.8779342723004695</v>
      </c>
      <c r="AI17" s="19">
        <f t="shared" si="8"/>
        <v>0.7931034482758621</v>
      </c>
      <c r="AJ17" s="18">
        <f t="shared" si="9"/>
        <v>0.9285714285714286</v>
      </c>
      <c r="AK17" s="12">
        <f t="shared" si="10"/>
        <v>1</v>
      </c>
      <c r="AL17" s="12">
        <f t="shared" si="11"/>
        <v>0.77987421383647804</v>
      </c>
      <c r="AM17" s="12">
        <f t="shared" si="12"/>
        <v>0.87939698492462315</v>
      </c>
      <c r="AN17" s="12">
        <f t="shared" si="13"/>
        <v>0.86425339366515841</v>
      </c>
      <c r="AO17" s="12">
        <f t="shared" si="14"/>
        <v>0.91705069124423966</v>
      </c>
      <c r="AP17" s="12">
        <f t="shared" si="15"/>
        <v>0.95580110497237569</v>
      </c>
      <c r="AQ17" s="12">
        <f t="shared" si="16"/>
        <v>0.80838323353293418</v>
      </c>
      <c r="AR17" s="19">
        <f t="shared" si="17"/>
        <v>0.72012578616352196</v>
      </c>
    </row>
    <row r="18" spans="2:44" ht="15" customHeight="1">
      <c r="B18" s="93"/>
      <c r="C18" s="96"/>
      <c r="D18" s="5">
        <v>0.75</v>
      </c>
      <c r="E18" s="27">
        <v>16</v>
      </c>
      <c r="F18" s="28">
        <v>131</v>
      </c>
      <c r="G18" s="28">
        <v>286</v>
      </c>
      <c r="H18" s="28">
        <v>580</v>
      </c>
      <c r="I18" s="28">
        <v>1176</v>
      </c>
      <c r="J18" s="28">
        <v>2416</v>
      </c>
      <c r="K18" s="28">
        <v>4448</v>
      </c>
      <c r="L18" s="28">
        <v>8512</v>
      </c>
      <c r="M18" s="29">
        <v>16320</v>
      </c>
      <c r="N18" s="27">
        <v>15</v>
      </c>
      <c r="O18" s="28">
        <v>111</v>
      </c>
      <c r="P18" s="28">
        <v>231</v>
      </c>
      <c r="Q18" s="28">
        <v>474</v>
      </c>
      <c r="R18" s="28">
        <v>956</v>
      </c>
      <c r="S18" s="28">
        <v>1976</v>
      </c>
      <c r="T18" s="28">
        <v>3600</v>
      </c>
      <c r="U18" s="28">
        <v>6944</v>
      </c>
      <c r="V18" s="29">
        <v>13376</v>
      </c>
      <c r="X18" s="93"/>
      <c r="Y18" s="96"/>
      <c r="Z18" s="5">
        <v>0.75</v>
      </c>
      <c r="AA18" s="18">
        <f t="shared" si="0"/>
        <v>0.8125</v>
      </c>
      <c r="AB18" s="12">
        <f t="shared" si="1"/>
        <v>1</v>
      </c>
      <c r="AC18" s="12">
        <f t="shared" si="2"/>
        <v>0.93006993006993011</v>
      </c>
      <c r="AD18" s="12">
        <f t="shared" si="3"/>
        <v>0.91724137931034477</v>
      </c>
      <c r="AE18" s="12">
        <f t="shared" si="4"/>
        <v>0.90476190476190477</v>
      </c>
      <c r="AF18" s="12">
        <f t="shared" si="5"/>
        <v>0.85430463576158944</v>
      </c>
      <c r="AG18" s="12">
        <f t="shared" si="6"/>
        <v>0.88848920863309355</v>
      </c>
      <c r="AH18" s="12">
        <f t="shared" si="7"/>
        <v>0.83082706766917291</v>
      </c>
      <c r="AI18" s="19">
        <f t="shared" si="8"/>
        <v>0.80392156862745101</v>
      </c>
      <c r="AJ18" s="18">
        <f t="shared" si="9"/>
        <v>0.8666666666666667</v>
      </c>
      <c r="AK18" s="12">
        <f t="shared" si="10"/>
        <v>0.80180180180180183</v>
      </c>
      <c r="AL18" s="12">
        <f t="shared" si="11"/>
        <v>0.88744588744588748</v>
      </c>
      <c r="AM18" s="12">
        <f t="shared" si="12"/>
        <v>0.86497890295358648</v>
      </c>
      <c r="AN18" s="12">
        <f t="shared" si="13"/>
        <v>0.85774058577405854</v>
      </c>
      <c r="AO18" s="12">
        <f t="shared" si="14"/>
        <v>0.82186234817813764</v>
      </c>
      <c r="AP18" s="12">
        <f t="shared" si="15"/>
        <v>0.75111111111111106</v>
      </c>
      <c r="AQ18" s="12">
        <f t="shared" si="16"/>
        <v>0.69585253456221197</v>
      </c>
      <c r="AR18" s="19">
        <f t="shared" si="17"/>
        <v>0.67464114832535882</v>
      </c>
    </row>
    <row r="19" spans="2:44" ht="15" customHeight="1" thickBot="1">
      <c r="B19" s="93"/>
      <c r="C19" s="97"/>
      <c r="D19" s="6">
        <v>1</v>
      </c>
      <c r="E19" s="30">
        <v>74</v>
      </c>
      <c r="F19" s="31">
        <v>149</v>
      </c>
      <c r="G19" s="31">
        <v>298</v>
      </c>
      <c r="H19" s="31">
        <v>596</v>
      </c>
      <c r="I19" s="31">
        <v>1192</v>
      </c>
      <c r="J19" s="31">
        <v>2576</v>
      </c>
      <c r="K19" s="31">
        <v>4896</v>
      </c>
      <c r="L19" s="31">
        <v>9536</v>
      </c>
      <c r="M19" s="32">
        <v>19072</v>
      </c>
      <c r="N19" s="30">
        <v>65</v>
      </c>
      <c r="O19" s="31">
        <v>131</v>
      </c>
      <c r="P19" s="31">
        <v>262</v>
      </c>
      <c r="Q19" s="31">
        <v>506</v>
      </c>
      <c r="R19" s="31">
        <v>1048</v>
      </c>
      <c r="S19" s="31">
        <v>2256</v>
      </c>
      <c r="T19" s="31">
        <v>4320</v>
      </c>
      <c r="U19" s="31">
        <v>8256</v>
      </c>
      <c r="V19" s="32">
        <v>18304</v>
      </c>
      <c r="X19" s="93"/>
      <c r="Y19" s="97"/>
      <c r="Z19" s="6">
        <v>1</v>
      </c>
      <c r="AA19" s="20">
        <f t="shared" si="0"/>
        <v>0.7567567567567568</v>
      </c>
      <c r="AB19" s="21">
        <f t="shared" si="1"/>
        <v>0.75167785234899331</v>
      </c>
      <c r="AC19" s="21">
        <f t="shared" si="2"/>
        <v>0.75503355704697983</v>
      </c>
      <c r="AD19" s="21">
        <f t="shared" si="3"/>
        <v>0.75503355704697983</v>
      </c>
      <c r="AE19" s="21">
        <f t="shared" si="4"/>
        <v>0.75503355704697983</v>
      </c>
      <c r="AF19" s="21">
        <f t="shared" si="5"/>
        <v>0.69875776397515532</v>
      </c>
      <c r="AG19" s="21">
        <f t="shared" si="6"/>
        <v>0.72875816993464049</v>
      </c>
      <c r="AH19" s="21">
        <f t="shared" si="7"/>
        <v>1.1208053691275168</v>
      </c>
      <c r="AI19" s="22">
        <f t="shared" si="8"/>
        <v>1.1208053691275168</v>
      </c>
      <c r="AJ19" s="20">
        <f t="shared" si="9"/>
        <v>0.6</v>
      </c>
      <c r="AK19" s="21">
        <f t="shared" si="10"/>
        <v>0.59541984732824427</v>
      </c>
      <c r="AL19" s="21">
        <f t="shared" si="11"/>
        <v>0.5992366412213741</v>
      </c>
      <c r="AM19" s="21">
        <f t="shared" si="12"/>
        <v>0.61264822134387353</v>
      </c>
      <c r="AN19" s="21">
        <f t="shared" si="13"/>
        <v>0.58396946564885499</v>
      </c>
      <c r="AO19" s="21">
        <f t="shared" si="14"/>
        <v>0.54255319148936165</v>
      </c>
      <c r="AP19" s="21">
        <f t="shared" si="15"/>
        <v>0.55925925925925923</v>
      </c>
      <c r="AQ19" s="21">
        <f t="shared" si="16"/>
        <v>0.87984496124031009</v>
      </c>
      <c r="AR19" s="22">
        <f t="shared" si="17"/>
        <v>0.57692307692307687</v>
      </c>
    </row>
    <row r="20" spans="2:44" ht="15" customHeight="1">
      <c r="B20" s="93"/>
      <c r="C20" s="98" t="s">
        <v>7</v>
      </c>
      <c r="D20" s="4">
        <v>0.25</v>
      </c>
      <c r="E20" s="24">
        <v>38</v>
      </c>
      <c r="F20" s="25">
        <v>28</v>
      </c>
      <c r="G20" s="25">
        <v>23</v>
      </c>
      <c r="H20" s="25">
        <v>434</v>
      </c>
      <c r="I20" s="25">
        <v>828</v>
      </c>
      <c r="J20" s="25">
        <v>1464</v>
      </c>
      <c r="K20" s="25">
        <v>2608</v>
      </c>
      <c r="L20" s="25">
        <v>4960</v>
      </c>
      <c r="M20" s="26">
        <v>9920</v>
      </c>
      <c r="N20" s="24">
        <v>28</v>
      </c>
      <c r="O20" s="25">
        <v>23</v>
      </c>
      <c r="P20" s="25">
        <v>26</v>
      </c>
      <c r="Q20" s="25">
        <v>266</v>
      </c>
      <c r="R20" s="25">
        <v>596</v>
      </c>
      <c r="S20" s="25">
        <v>1048</v>
      </c>
      <c r="T20" s="25">
        <v>1896</v>
      </c>
      <c r="U20" s="25">
        <v>3600</v>
      </c>
      <c r="V20" s="26">
        <v>7328</v>
      </c>
      <c r="X20" s="93"/>
      <c r="Y20" s="98" t="s">
        <v>7</v>
      </c>
      <c r="Z20" s="4">
        <v>0.25</v>
      </c>
      <c r="AA20" s="15">
        <f t="shared" si="0"/>
        <v>0.63157894736842102</v>
      </c>
      <c r="AB20" s="16">
        <f t="shared" si="1"/>
        <v>0.7857142857142857</v>
      </c>
      <c r="AC20" s="16">
        <f t="shared" si="2"/>
        <v>1.0434782608695652</v>
      </c>
      <c r="AD20" s="16">
        <f t="shared" si="3"/>
        <v>5.9907834101382486E-2</v>
      </c>
      <c r="AE20" s="16">
        <f t="shared" si="4"/>
        <v>0.38405797101449274</v>
      </c>
      <c r="AF20" s="16">
        <f t="shared" si="5"/>
        <v>0.35792349726775957</v>
      </c>
      <c r="AG20" s="16">
        <f t="shared" si="6"/>
        <v>0.23159509202453987</v>
      </c>
      <c r="AH20" s="16">
        <f t="shared" si="7"/>
        <v>0.46129032258064517</v>
      </c>
      <c r="AI20" s="17">
        <f t="shared" si="8"/>
        <v>0.65483870967741931</v>
      </c>
      <c r="AJ20" s="15">
        <f t="shared" si="9"/>
        <v>0.9285714285714286</v>
      </c>
      <c r="AK20" s="16">
        <f t="shared" si="10"/>
        <v>1</v>
      </c>
      <c r="AL20" s="16">
        <f t="shared" si="11"/>
        <v>0.96153846153846156</v>
      </c>
      <c r="AM20" s="16">
        <f t="shared" si="12"/>
        <v>0.10150375939849623</v>
      </c>
      <c r="AN20" s="16">
        <f t="shared" si="13"/>
        <v>4.6979865771812082E-2</v>
      </c>
      <c r="AO20" s="16">
        <f t="shared" si="14"/>
        <v>2.6717557251908396E-2</v>
      </c>
      <c r="AP20" s="16">
        <f t="shared" si="15"/>
        <v>0.11339662447257384</v>
      </c>
      <c r="AQ20" s="16">
        <f t="shared" si="16"/>
        <v>0.47333333333333333</v>
      </c>
      <c r="AR20" s="17">
        <f t="shared" si="17"/>
        <v>0.60698689956331875</v>
      </c>
    </row>
    <row r="21" spans="2:44" ht="15" customHeight="1">
      <c r="B21" s="93"/>
      <c r="C21" s="96"/>
      <c r="D21" s="5">
        <v>0.5</v>
      </c>
      <c r="E21" s="27">
        <v>40</v>
      </c>
      <c r="F21" s="28">
        <v>27</v>
      </c>
      <c r="G21" s="28">
        <v>270</v>
      </c>
      <c r="H21" s="28">
        <v>612</v>
      </c>
      <c r="I21" s="28">
        <v>1272</v>
      </c>
      <c r="J21" s="28">
        <v>2480</v>
      </c>
      <c r="K21" s="28">
        <v>4128</v>
      </c>
      <c r="L21" s="28">
        <v>7712</v>
      </c>
      <c r="M21" s="29">
        <v>15552</v>
      </c>
      <c r="N21" s="27">
        <v>30</v>
      </c>
      <c r="O21" s="28">
        <v>21</v>
      </c>
      <c r="P21" s="28">
        <v>207</v>
      </c>
      <c r="Q21" s="28">
        <v>474</v>
      </c>
      <c r="R21" s="28">
        <v>1004</v>
      </c>
      <c r="S21" s="28">
        <v>1976</v>
      </c>
      <c r="T21" s="28">
        <v>3248</v>
      </c>
      <c r="U21" s="28">
        <v>5984</v>
      </c>
      <c r="V21" s="29">
        <v>12096</v>
      </c>
      <c r="X21" s="93"/>
      <c r="Y21" s="96"/>
      <c r="Z21" s="5">
        <v>0.5</v>
      </c>
      <c r="AA21" s="18">
        <f t="shared" si="0"/>
        <v>0.6</v>
      </c>
      <c r="AB21" s="12">
        <f t="shared" si="1"/>
        <v>0.77777777777777779</v>
      </c>
      <c r="AC21" s="12">
        <f t="shared" si="2"/>
        <v>0.87037037037037035</v>
      </c>
      <c r="AD21" s="12">
        <f t="shared" si="3"/>
        <v>0.90849673202614378</v>
      </c>
      <c r="AE21" s="12">
        <f t="shared" si="4"/>
        <v>0.94968553459119498</v>
      </c>
      <c r="AF21" s="12">
        <f t="shared" si="5"/>
        <v>0.94838709677419353</v>
      </c>
      <c r="AG21" s="12">
        <f t="shared" si="6"/>
        <v>1</v>
      </c>
      <c r="AH21" s="12">
        <f t="shared" si="7"/>
        <v>0.85062240663900412</v>
      </c>
      <c r="AI21" s="19">
        <f t="shared" si="8"/>
        <v>0.74485596707818935</v>
      </c>
      <c r="AJ21" s="18">
        <f t="shared" si="9"/>
        <v>0.8</v>
      </c>
      <c r="AK21" s="12">
        <f t="shared" si="10"/>
        <v>1.0952380952380953</v>
      </c>
      <c r="AL21" s="12">
        <f t="shared" si="11"/>
        <v>0.86473429951690817</v>
      </c>
      <c r="AM21" s="12">
        <f t="shared" si="12"/>
        <v>0.83122362869198307</v>
      </c>
      <c r="AN21" s="12">
        <f t="shared" si="13"/>
        <v>0.80079681274900394</v>
      </c>
      <c r="AO21" s="12">
        <f t="shared" si="14"/>
        <v>0.82186234817813764</v>
      </c>
      <c r="AP21" s="12">
        <f t="shared" si="15"/>
        <v>0.96059113300492616</v>
      </c>
      <c r="AQ21" s="12">
        <f t="shared" si="16"/>
        <v>0.80748663101604279</v>
      </c>
      <c r="AR21" s="19">
        <f t="shared" si="17"/>
        <v>0.68253968253968256</v>
      </c>
    </row>
    <row r="22" spans="2:44" ht="15" customHeight="1">
      <c r="B22" s="93"/>
      <c r="C22" s="96"/>
      <c r="D22" s="5">
        <v>0.75</v>
      </c>
      <c r="E22" s="27">
        <v>43</v>
      </c>
      <c r="F22" s="28">
        <v>151</v>
      </c>
      <c r="G22" s="28">
        <v>318</v>
      </c>
      <c r="H22" s="28">
        <v>636</v>
      </c>
      <c r="I22" s="28">
        <v>1272</v>
      </c>
      <c r="J22" s="28">
        <v>2704</v>
      </c>
      <c r="K22" s="28">
        <v>4896</v>
      </c>
      <c r="L22" s="28">
        <v>9664</v>
      </c>
      <c r="M22" s="29">
        <v>19328</v>
      </c>
      <c r="N22" s="27">
        <v>36</v>
      </c>
      <c r="O22" s="28">
        <v>126</v>
      </c>
      <c r="P22" s="28">
        <v>258</v>
      </c>
      <c r="Q22" s="28">
        <v>524</v>
      </c>
      <c r="R22" s="28">
        <v>1048</v>
      </c>
      <c r="S22" s="28">
        <v>2224</v>
      </c>
      <c r="T22" s="28">
        <v>3952</v>
      </c>
      <c r="U22" s="28">
        <v>7968</v>
      </c>
      <c r="V22" s="29">
        <v>15936</v>
      </c>
      <c r="X22" s="93"/>
      <c r="Y22" s="96"/>
      <c r="Z22" s="5">
        <v>0.75</v>
      </c>
      <c r="AA22" s="18">
        <f t="shared" si="0"/>
        <v>0.48837209302325579</v>
      </c>
      <c r="AB22" s="12">
        <f t="shared" si="1"/>
        <v>0.88079470198675491</v>
      </c>
      <c r="AC22" s="12">
        <f t="shared" si="2"/>
        <v>0.83647798742138368</v>
      </c>
      <c r="AD22" s="12">
        <f t="shared" si="3"/>
        <v>0.83647798742138368</v>
      </c>
      <c r="AE22" s="12">
        <f t="shared" si="4"/>
        <v>0.83647798742138368</v>
      </c>
      <c r="AF22" s="12">
        <f t="shared" si="5"/>
        <v>0.7751479289940828</v>
      </c>
      <c r="AG22" s="12">
        <f t="shared" si="6"/>
        <v>0.84313725490196079</v>
      </c>
      <c r="AH22" s="12">
        <f t="shared" si="7"/>
        <v>0.80463576158940397</v>
      </c>
      <c r="AI22" s="19">
        <f t="shared" si="8"/>
        <v>0.79801324503311255</v>
      </c>
      <c r="AJ22" s="18">
        <f t="shared" si="9"/>
        <v>0.58333333333333337</v>
      </c>
      <c r="AK22" s="12">
        <f t="shared" si="10"/>
        <v>0.81746031746031744</v>
      </c>
      <c r="AL22" s="12">
        <f t="shared" si="11"/>
        <v>0.80232558139534882</v>
      </c>
      <c r="AM22" s="12">
        <f t="shared" si="12"/>
        <v>0.79007633587786263</v>
      </c>
      <c r="AN22" s="12">
        <f t="shared" si="13"/>
        <v>0.79007633587786263</v>
      </c>
      <c r="AO22" s="12">
        <f t="shared" si="14"/>
        <v>0.73741007194244601</v>
      </c>
      <c r="AP22" s="12">
        <f t="shared" si="15"/>
        <v>0.82186234817813764</v>
      </c>
      <c r="AQ22" s="12">
        <f t="shared" si="16"/>
        <v>0.7269076305220884</v>
      </c>
      <c r="AR22" s="19">
        <f t="shared" si="17"/>
        <v>0.66265060240963858</v>
      </c>
    </row>
    <row r="23" spans="2:44" ht="15" customHeight="1" thickBot="1">
      <c r="B23" s="93"/>
      <c r="C23" s="97"/>
      <c r="D23" s="6">
        <v>1</v>
      </c>
      <c r="E23" s="30">
        <v>82</v>
      </c>
      <c r="F23" s="31">
        <v>157</v>
      </c>
      <c r="G23" s="31">
        <v>314</v>
      </c>
      <c r="H23" s="31">
        <v>620</v>
      </c>
      <c r="I23" s="31">
        <v>1272</v>
      </c>
      <c r="J23" s="31">
        <v>2736</v>
      </c>
      <c r="K23" s="31">
        <v>7136</v>
      </c>
      <c r="L23" s="31">
        <v>11200</v>
      </c>
      <c r="M23" s="32">
        <v>27520</v>
      </c>
      <c r="N23" s="30">
        <v>76</v>
      </c>
      <c r="O23" s="31">
        <v>139</v>
      </c>
      <c r="P23" s="31">
        <v>266</v>
      </c>
      <c r="Q23" s="31">
        <v>516</v>
      </c>
      <c r="R23" s="31">
        <v>1080</v>
      </c>
      <c r="S23" s="31">
        <v>2416</v>
      </c>
      <c r="T23" s="31">
        <v>4896</v>
      </c>
      <c r="U23" s="31">
        <v>9920</v>
      </c>
      <c r="V23" s="32">
        <v>26752</v>
      </c>
      <c r="X23" s="93"/>
      <c r="Y23" s="97"/>
      <c r="Z23" s="6">
        <v>1</v>
      </c>
      <c r="AA23" s="20">
        <f t="shared" si="0"/>
        <v>0.80487804878048785</v>
      </c>
      <c r="AB23" s="21">
        <f t="shared" si="1"/>
        <v>0.83439490445859876</v>
      </c>
      <c r="AC23" s="21">
        <f t="shared" si="2"/>
        <v>0.83439490445859876</v>
      </c>
      <c r="AD23" s="21">
        <f t="shared" si="3"/>
        <v>0.84516129032258069</v>
      </c>
      <c r="AE23" s="21">
        <f t="shared" si="4"/>
        <v>0.73899371069182385</v>
      </c>
      <c r="AF23" s="21">
        <f t="shared" si="5"/>
        <v>0.66374269005847952</v>
      </c>
      <c r="AG23" s="21">
        <f t="shared" si="6"/>
        <v>0.50448430493273544</v>
      </c>
      <c r="AH23" s="21">
        <f t="shared" si="7"/>
        <v>1.0114285714285713</v>
      </c>
      <c r="AI23" s="22">
        <f t="shared" si="8"/>
        <v>0.91627906976744189</v>
      </c>
      <c r="AJ23" s="20">
        <f t="shared" si="9"/>
        <v>0.64473684210526316</v>
      </c>
      <c r="AK23" s="21">
        <f t="shared" si="10"/>
        <v>0.63309352517985606</v>
      </c>
      <c r="AL23" s="21">
        <f t="shared" si="11"/>
        <v>0.62030075187969924</v>
      </c>
      <c r="AM23" s="21">
        <f t="shared" si="12"/>
        <v>0.61627906976744184</v>
      </c>
      <c r="AN23" s="21">
        <f t="shared" si="13"/>
        <v>0.57407407407407407</v>
      </c>
      <c r="AO23" s="21">
        <f t="shared" si="14"/>
        <v>0.50662251655629142</v>
      </c>
      <c r="AP23" s="21">
        <f t="shared" si="15"/>
        <v>0.5</v>
      </c>
      <c r="AQ23" s="21">
        <f t="shared" si="16"/>
        <v>0.73225806451612907</v>
      </c>
      <c r="AR23" s="22">
        <f t="shared" si="17"/>
        <v>0.5430622009569378</v>
      </c>
    </row>
    <row r="24" spans="2:44" ht="15" customHeight="1">
      <c r="B24" s="93"/>
      <c r="C24" s="95" t="s">
        <v>8</v>
      </c>
      <c r="D24" s="7">
        <v>0.25</v>
      </c>
      <c r="E24" s="33">
        <v>12016</v>
      </c>
      <c r="F24" s="34">
        <v>19319</v>
      </c>
      <c r="G24" s="34">
        <v>29057</v>
      </c>
      <c r="H24" s="34">
        <v>33650</v>
      </c>
      <c r="I24" s="34">
        <v>33769</v>
      </c>
      <c r="J24" s="34">
        <v>33757</v>
      </c>
      <c r="K24" s="34">
        <v>33765</v>
      </c>
      <c r="L24" s="34">
        <v>33739</v>
      </c>
      <c r="M24" s="35">
        <v>33754</v>
      </c>
      <c r="N24" s="33">
        <v>13548</v>
      </c>
      <c r="O24" s="34">
        <v>22850</v>
      </c>
      <c r="P24" s="34">
        <v>35775</v>
      </c>
      <c r="Q24" s="34">
        <v>46039</v>
      </c>
      <c r="R24" s="34">
        <v>45627</v>
      </c>
      <c r="S24" s="34">
        <v>45932</v>
      </c>
      <c r="T24" s="34">
        <v>45819</v>
      </c>
      <c r="U24" s="34">
        <v>45795</v>
      </c>
      <c r="V24" s="35">
        <v>45953</v>
      </c>
      <c r="X24" s="93"/>
      <c r="Y24" s="98" t="s">
        <v>8</v>
      </c>
      <c r="Z24" s="4">
        <v>0.25</v>
      </c>
      <c r="AA24" s="15">
        <f t="shared" si="0"/>
        <v>1.2551597869507323</v>
      </c>
      <c r="AB24" s="16">
        <f t="shared" si="1"/>
        <v>1.2641441068378281</v>
      </c>
      <c r="AC24" s="16">
        <f t="shared" si="2"/>
        <v>1.2498881508758646</v>
      </c>
      <c r="AD24" s="16">
        <f t="shared" si="3"/>
        <v>1.2243982169390788</v>
      </c>
      <c r="AE24" s="16">
        <f t="shared" si="4"/>
        <v>1.2199650567088158</v>
      </c>
      <c r="AF24" s="16">
        <f t="shared" si="5"/>
        <v>1.2214948010782949</v>
      </c>
      <c r="AG24" s="16">
        <f t="shared" si="6"/>
        <v>1.2210573078631719</v>
      </c>
      <c r="AH24" s="16">
        <f t="shared" si="7"/>
        <v>1.2213462165446516</v>
      </c>
      <c r="AI24" s="17">
        <f t="shared" si="8"/>
        <v>1.2224032707234698</v>
      </c>
      <c r="AJ24" s="15">
        <f t="shared" si="9"/>
        <v>1.2452760555063478</v>
      </c>
      <c r="AK24" s="16">
        <f t="shared" si="10"/>
        <v>1.314398249452954</v>
      </c>
      <c r="AL24" s="16">
        <f t="shared" si="11"/>
        <v>1.3122012578616353</v>
      </c>
      <c r="AM24" s="16">
        <f t="shared" si="12"/>
        <v>1.2895588522774171</v>
      </c>
      <c r="AN24" s="16">
        <f t="shared" si="13"/>
        <v>1.3539351699651523</v>
      </c>
      <c r="AO24" s="16">
        <f t="shared" si="14"/>
        <v>1.348667595576069</v>
      </c>
      <c r="AP24" s="16">
        <f t="shared" si="15"/>
        <v>1.3666382941574455</v>
      </c>
      <c r="AQ24" s="16">
        <f t="shared" si="16"/>
        <v>1.3676820613604106</v>
      </c>
      <c r="AR24" s="17">
        <f t="shared" si="17"/>
        <v>1.3625443387809284</v>
      </c>
    </row>
    <row r="25" spans="2:44" ht="15" customHeight="1">
      <c r="B25" s="93"/>
      <c r="C25" s="96"/>
      <c r="D25" s="5">
        <v>0.5</v>
      </c>
      <c r="E25" s="27">
        <v>25778</v>
      </c>
      <c r="F25" s="28">
        <v>38737</v>
      </c>
      <c r="G25" s="28">
        <v>44169</v>
      </c>
      <c r="H25" s="28">
        <v>44324</v>
      </c>
      <c r="I25" s="28">
        <v>44780</v>
      </c>
      <c r="J25" s="28">
        <v>44884</v>
      </c>
      <c r="K25" s="28">
        <v>44872</v>
      </c>
      <c r="L25" s="28">
        <v>44865</v>
      </c>
      <c r="M25" s="29">
        <v>44897</v>
      </c>
      <c r="N25" s="27">
        <v>30225</v>
      </c>
      <c r="O25" s="28">
        <v>48011</v>
      </c>
      <c r="P25" s="28">
        <v>57260</v>
      </c>
      <c r="Q25" s="28">
        <v>57251</v>
      </c>
      <c r="R25" s="28">
        <v>57281</v>
      </c>
      <c r="S25" s="28">
        <v>57228</v>
      </c>
      <c r="T25" s="28">
        <v>57468</v>
      </c>
      <c r="U25" s="28">
        <v>57284</v>
      </c>
      <c r="V25" s="29">
        <v>57372</v>
      </c>
      <c r="X25" s="93"/>
      <c r="Y25" s="96"/>
      <c r="Z25" s="5">
        <v>0.5</v>
      </c>
      <c r="AA25" s="18">
        <f t="shared" si="0"/>
        <v>1.3504150826285981</v>
      </c>
      <c r="AB25" s="12">
        <f t="shared" si="1"/>
        <v>1.3045150631179492</v>
      </c>
      <c r="AC25" s="12">
        <f t="shared" si="2"/>
        <v>1.3071837714233965</v>
      </c>
      <c r="AD25" s="12">
        <f t="shared" si="3"/>
        <v>1.3041016153776734</v>
      </c>
      <c r="AE25" s="12">
        <f t="shared" si="4"/>
        <v>1.2924073246985261</v>
      </c>
      <c r="AF25" s="12">
        <f t="shared" si="5"/>
        <v>1.3194902415114518</v>
      </c>
      <c r="AG25" s="12">
        <f t="shared" si="6"/>
        <v>1.4110358352647532</v>
      </c>
      <c r="AH25" s="12">
        <f t="shared" si="7"/>
        <v>1.4114120138192354</v>
      </c>
      <c r="AI25" s="19">
        <f t="shared" si="8"/>
        <v>1.410316947680246</v>
      </c>
      <c r="AJ25" s="18">
        <f t="shared" si="9"/>
        <v>1.3485525227460711</v>
      </c>
      <c r="AK25" s="12">
        <f t="shared" si="10"/>
        <v>1.3462331549020017</v>
      </c>
      <c r="AL25" s="12">
        <f t="shared" si="11"/>
        <v>1.5011526370939574</v>
      </c>
      <c r="AM25" s="12">
        <f t="shared" si="12"/>
        <v>1.4928123526226615</v>
      </c>
      <c r="AN25" s="12">
        <f t="shared" si="13"/>
        <v>1.4915591557409962</v>
      </c>
      <c r="AO25" s="12">
        <f t="shared" si="14"/>
        <v>1.4924861955686028</v>
      </c>
      <c r="AP25" s="12">
        <f t="shared" si="15"/>
        <v>1.6635344887589616</v>
      </c>
      <c r="AQ25" s="12">
        <f t="shared" si="16"/>
        <v>1.6695412331541093</v>
      </c>
      <c r="AR25" s="19">
        <f t="shared" si="17"/>
        <v>1.6667886774036116</v>
      </c>
    </row>
    <row r="26" spans="2:44" ht="15" customHeight="1">
      <c r="B26" s="93"/>
      <c r="C26" s="96"/>
      <c r="D26" s="5">
        <v>0.75</v>
      </c>
      <c r="E26" s="27">
        <v>47332</v>
      </c>
      <c r="F26" s="28">
        <v>50872</v>
      </c>
      <c r="G26" s="28">
        <v>50940</v>
      </c>
      <c r="H26" s="28">
        <v>51010</v>
      </c>
      <c r="I26" s="28">
        <v>51267</v>
      </c>
      <c r="J26" s="28">
        <v>51317</v>
      </c>
      <c r="K26" s="28">
        <v>51346</v>
      </c>
      <c r="L26" s="28">
        <v>51300</v>
      </c>
      <c r="M26" s="29">
        <v>51311</v>
      </c>
      <c r="N26" s="27">
        <v>58553</v>
      </c>
      <c r="O26" s="28">
        <v>62546</v>
      </c>
      <c r="P26" s="28">
        <v>63055</v>
      </c>
      <c r="Q26" s="28">
        <v>62707</v>
      </c>
      <c r="R26" s="28">
        <v>63062</v>
      </c>
      <c r="S26" s="28">
        <v>62697</v>
      </c>
      <c r="T26" s="28">
        <v>63007</v>
      </c>
      <c r="U26" s="28">
        <v>62652</v>
      </c>
      <c r="V26" s="29">
        <v>63188</v>
      </c>
      <c r="X26" s="93"/>
      <c r="Y26" s="96"/>
      <c r="Z26" s="5">
        <v>0.75</v>
      </c>
      <c r="AA26" s="18">
        <f t="shared" si="0"/>
        <v>1.3872221752725429</v>
      </c>
      <c r="AB26" s="12">
        <f t="shared" si="1"/>
        <v>1.3529446453844944</v>
      </c>
      <c r="AC26" s="12">
        <f t="shared" si="2"/>
        <v>1.3521986650961917</v>
      </c>
      <c r="AD26" s="12">
        <f t="shared" si="3"/>
        <v>1.3505391099784356</v>
      </c>
      <c r="AE26" s="12">
        <f t="shared" si="4"/>
        <v>1.3447636881424698</v>
      </c>
      <c r="AF26" s="12">
        <f t="shared" si="5"/>
        <v>1.3389909776487323</v>
      </c>
      <c r="AG26" s="12">
        <f t="shared" si="6"/>
        <v>1.3925524870486503</v>
      </c>
      <c r="AH26" s="12">
        <f t="shared" si="7"/>
        <v>1.3922417153996101</v>
      </c>
      <c r="AI26" s="19">
        <f t="shared" si="8"/>
        <v>1.3925474069887549</v>
      </c>
      <c r="AJ26" s="18">
        <f t="shared" si="9"/>
        <v>1.320154390039793</v>
      </c>
      <c r="AK26" s="12">
        <f t="shared" si="10"/>
        <v>1.6142519105938029</v>
      </c>
      <c r="AL26" s="12">
        <f t="shared" si="11"/>
        <v>1.5966854333518357</v>
      </c>
      <c r="AM26" s="12">
        <f t="shared" si="12"/>
        <v>1.6047012295278038</v>
      </c>
      <c r="AN26" s="12">
        <f t="shared" si="13"/>
        <v>1.5958263296438426</v>
      </c>
      <c r="AO26" s="12">
        <f t="shared" si="14"/>
        <v>1.6041756383878016</v>
      </c>
      <c r="AP26" s="12">
        <f t="shared" si="15"/>
        <v>1.6935896011554272</v>
      </c>
      <c r="AQ26" s="12">
        <f t="shared" si="16"/>
        <v>1.7036327651152396</v>
      </c>
      <c r="AR26" s="19">
        <f t="shared" si="17"/>
        <v>1.6884535038298412</v>
      </c>
    </row>
    <row r="27" spans="2:44" ht="15" customHeight="1" thickBot="1">
      <c r="B27" s="94"/>
      <c r="C27" s="97"/>
      <c r="D27" s="6">
        <v>1</v>
      </c>
      <c r="E27" s="30">
        <v>57126</v>
      </c>
      <c r="F27" s="31">
        <v>57116</v>
      </c>
      <c r="G27" s="31">
        <v>57103</v>
      </c>
      <c r="H27" s="31">
        <v>57077</v>
      </c>
      <c r="I27" s="31">
        <v>57137</v>
      </c>
      <c r="J27" s="31">
        <v>57086</v>
      </c>
      <c r="K27" s="31">
        <v>57029</v>
      </c>
      <c r="L27" s="31">
        <v>57089</v>
      </c>
      <c r="M27" s="32">
        <v>57049</v>
      </c>
      <c r="N27" s="30">
        <v>63528</v>
      </c>
      <c r="O27" s="31">
        <v>63532</v>
      </c>
      <c r="P27" s="31">
        <v>63527</v>
      </c>
      <c r="Q27" s="31">
        <v>63533</v>
      </c>
      <c r="R27" s="31">
        <v>63525</v>
      </c>
      <c r="S27" s="31">
        <v>63549</v>
      </c>
      <c r="T27" s="31">
        <v>63547</v>
      </c>
      <c r="U27" s="31">
        <v>63535</v>
      </c>
      <c r="V27" s="32">
        <v>63541</v>
      </c>
      <c r="X27" s="94"/>
      <c r="Y27" s="97"/>
      <c r="Z27" s="6">
        <v>1</v>
      </c>
      <c r="AA27" s="20">
        <f t="shared" si="0"/>
        <v>1.2503588558624794</v>
      </c>
      <c r="AB27" s="21">
        <f t="shared" si="1"/>
        <v>1.2504026892639541</v>
      </c>
      <c r="AC27" s="21">
        <f t="shared" si="2"/>
        <v>1.2506873544297148</v>
      </c>
      <c r="AD27" s="21">
        <f t="shared" si="3"/>
        <v>1.2513446747376351</v>
      </c>
      <c r="AE27" s="21">
        <f t="shared" si="4"/>
        <v>1.2501006353151198</v>
      </c>
      <c r="AF27" s="21">
        <f t="shared" si="5"/>
        <v>1.2512174613740672</v>
      </c>
      <c r="AG27" s="21">
        <f t="shared" si="6"/>
        <v>1.2524680425748302</v>
      </c>
      <c r="AH27" s="21">
        <f t="shared" si="7"/>
        <v>1.2511517104871341</v>
      </c>
      <c r="AI27" s="22">
        <f t="shared" si="8"/>
        <v>1.2520114287717576</v>
      </c>
      <c r="AJ27" s="20">
        <f t="shared" si="9"/>
        <v>1.6649194056164212</v>
      </c>
      <c r="AK27" s="21">
        <f t="shared" si="10"/>
        <v>1.6648145816281559</v>
      </c>
      <c r="AL27" s="21">
        <f t="shared" si="11"/>
        <v>1.6649456136760747</v>
      </c>
      <c r="AM27" s="21">
        <f t="shared" si="12"/>
        <v>1.6647883776934822</v>
      </c>
      <c r="AN27" s="21">
        <f t="shared" si="13"/>
        <v>1.6649980322707596</v>
      </c>
      <c r="AO27" s="21">
        <f t="shared" si="14"/>
        <v>1.6643692268957813</v>
      </c>
      <c r="AP27" s="21">
        <f t="shared" si="15"/>
        <v>1.6644216092026374</v>
      </c>
      <c r="AQ27" s="21">
        <f t="shared" si="16"/>
        <v>1.6647202329424726</v>
      </c>
      <c r="AR27" s="22">
        <f t="shared" si="17"/>
        <v>1.6645473001683952</v>
      </c>
    </row>
    <row r="28" spans="2:44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44" ht="15" customHeight="1" thickBot="1">
      <c r="B29" s="112" t="s">
        <v>29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4"/>
      <c r="M29" s="85"/>
      <c r="N29" s="83" t="s">
        <v>24</v>
      </c>
      <c r="O29" s="84"/>
      <c r="P29" s="84"/>
      <c r="Q29" s="84"/>
      <c r="R29" s="84"/>
      <c r="S29" s="84"/>
      <c r="T29" s="84"/>
      <c r="U29" s="84"/>
      <c r="V29" s="85"/>
      <c r="X29" s="13" t="s">
        <v>20</v>
      </c>
      <c r="Y29" s="14">
        <f>(COUNTIF(AA4:AR11,"&lt;1.1")+COUNTIF(AA16:AR23,"&lt;1.1"))/(COUNT(AA4:AR11)+COUNT(AA16:AR23))</f>
        <v>0.95833333333333337</v>
      </c>
      <c r="Z29" s="109" t="s">
        <v>19</v>
      </c>
      <c r="AA29" s="110"/>
      <c r="AB29" s="110"/>
      <c r="AC29" s="110"/>
      <c r="AD29" s="111"/>
    </row>
    <row r="30" spans="2:44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2" t="s">
        <v>23</v>
      </c>
      <c r="M30" s="3" t="s">
        <v>17</v>
      </c>
      <c r="N30" s="1" t="s">
        <v>0</v>
      </c>
      <c r="O30" s="2" t="s">
        <v>1</v>
      </c>
      <c r="P30" s="2" t="s">
        <v>2</v>
      </c>
      <c r="Q30" s="2" t="s">
        <v>3</v>
      </c>
      <c r="R30" s="2" t="s">
        <v>4</v>
      </c>
      <c r="S30" s="2" t="s">
        <v>18</v>
      </c>
      <c r="T30" s="2" t="s">
        <v>16</v>
      </c>
      <c r="U30" s="2" t="s">
        <v>23</v>
      </c>
      <c r="V30" s="3" t="s">
        <v>17</v>
      </c>
      <c r="X30" s="13" t="s">
        <v>21</v>
      </c>
      <c r="Y30" s="23">
        <f>(COUNTIF(AA4:AR11,"&lt;1.1"))/(COUNT(AA4:AR11))</f>
        <v>0.93055555555555558</v>
      </c>
      <c r="Z30" s="109" t="s">
        <v>19</v>
      </c>
      <c r="AA30" s="110"/>
      <c r="AB30" s="110"/>
      <c r="AC30" s="110"/>
      <c r="AD30" s="111"/>
    </row>
    <row r="31" spans="2:44" ht="15" customHeight="1" thickBot="1">
      <c r="B31" s="92" t="s">
        <v>5</v>
      </c>
      <c r="C31" s="98" t="s">
        <v>6</v>
      </c>
      <c r="D31" s="4">
        <v>0.25</v>
      </c>
      <c r="E31" s="36">
        <v>366</v>
      </c>
      <c r="F31" s="37">
        <v>406</v>
      </c>
      <c r="G31" s="37">
        <v>402</v>
      </c>
      <c r="H31" s="37">
        <v>402</v>
      </c>
      <c r="I31" s="37">
        <v>402</v>
      </c>
      <c r="J31" s="37">
        <v>844</v>
      </c>
      <c r="K31" s="37">
        <v>2160</v>
      </c>
      <c r="L31" s="37">
        <v>5152</v>
      </c>
      <c r="M31" s="38">
        <v>11072</v>
      </c>
      <c r="N31" s="36">
        <v>474</v>
      </c>
      <c r="O31" s="37">
        <v>588</v>
      </c>
      <c r="P31" s="37">
        <v>636</v>
      </c>
      <c r="Q31" s="37">
        <v>652</v>
      </c>
      <c r="R31" s="37">
        <v>668</v>
      </c>
      <c r="S31" s="37">
        <v>708</v>
      </c>
      <c r="T31" s="37">
        <v>1688</v>
      </c>
      <c r="U31" s="37">
        <v>3664</v>
      </c>
      <c r="V31" s="38">
        <v>7584</v>
      </c>
      <c r="X31" s="13" t="s">
        <v>22</v>
      </c>
      <c r="Y31" s="23">
        <f>COUNTIF(AA16:AR23,"&lt;1.1")/+COUNT(AA16:AR23)</f>
        <v>0.98611111111111116</v>
      </c>
      <c r="Z31" s="109" t="s">
        <v>19</v>
      </c>
      <c r="AA31" s="110"/>
      <c r="AB31" s="110"/>
      <c r="AC31" s="110"/>
      <c r="AD31" s="111"/>
    </row>
    <row r="32" spans="2:44" ht="15" customHeight="1">
      <c r="B32" s="93"/>
      <c r="C32" s="96"/>
      <c r="D32" s="5">
        <v>0.5</v>
      </c>
      <c r="E32" s="39">
        <v>306</v>
      </c>
      <c r="F32" s="40">
        <v>370</v>
      </c>
      <c r="G32" s="40">
        <v>442</v>
      </c>
      <c r="H32" s="40">
        <v>438</v>
      </c>
      <c r="I32" s="40">
        <v>580</v>
      </c>
      <c r="J32" s="40">
        <v>964</v>
      </c>
      <c r="K32" s="40">
        <v>2192</v>
      </c>
      <c r="L32" s="40">
        <v>4448</v>
      </c>
      <c r="M32" s="41">
        <v>8640</v>
      </c>
      <c r="N32" s="39">
        <v>338</v>
      </c>
      <c r="O32" s="40">
        <v>434</v>
      </c>
      <c r="P32" s="40">
        <v>556</v>
      </c>
      <c r="Q32" s="40">
        <v>620</v>
      </c>
      <c r="R32" s="40">
        <v>684</v>
      </c>
      <c r="S32" s="40">
        <v>908</v>
      </c>
      <c r="T32" s="40">
        <v>1704</v>
      </c>
      <c r="U32" s="40">
        <v>3248</v>
      </c>
      <c r="V32" s="41">
        <v>6176</v>
      </c>
    </row>
    <row r="33" spans="2:22" ht="15" customHeight="1">
      <c r="B33" s="93"/>
      <c r="C33" s="96"/>
      <c r="D33" s="5">
        <v>0.75</v>
      </c>
      <c r="E33" s="39">
        <v>253</v>
      </c>
      <c r="F33" s="40">
        <v>310</v>
      </c>
      <c r="G33" s="40">
        <v>378</v>
      </c>
      <c r="H33" s="40">
        <v>510</v>
      </c>
      <c r="I33" s="40">
        <v>788</v>
      </c>
      <c r="J33" s="40">
        <v>1336</v>
      </c>
      <c r="K33" s="40">
        <v>2448</v>
      </c>
      <c r="L33" s="40">
        <v>4256</v>
      </c>
      <c r="M33" s="41">
        <v>7712</v>
      </c>
      <c r="N33" s="39">
        <v>247</v>
      </c>
      <c r="O33" s="40">
        <v>310</v>
      </c>
      <c r="P33" s="40">
        <v>406</v>
      </c>
      <c r="Q33" s="40">
        <v>532</v>
      </c>
      <c r="R33" s="40">
        <v>772</v>
      </c>
      <c r="S33" s="40">
        <v>1208</v>
      </c>
      <c r="T33" s="40">
        <v>1928</v>
      </c>
      <c r="U33" s="40">
        <v>3024</v>
      </c>
      <c r="V33" s="41">
        <v>5280</v>
      </c>
    </row>
    <row r="34" spans="2:22" ht="15" customHeight="1" thickBot="1">
      <c r="B34" s="93"/>
      <c r="C34" s="97"/>
      <c r="D34" s="6">
        <v>1</v>
      </c>
      <c r="E34" s="42">
        <v>105</v>
      </c>
      <c r="F34" s="43">
        <v>119</v>
      </c>
      <c r="G34" s="43">
        <v>157</v>
      </c>
      <c r="H34" s="43">
        <v>239</v>
      </c>
      <c r="I34" s="43">
        <v>438</v>
      </c>
      <c r="J34" s="43">
        <v>868</v>
      </c>
      <c r="K34" s="43">
        <v>1640</v>
      </c>
      <c r="L34" s="43">
        <v>2096</v>
      </c>
      <c r="M34" s="44">
        <v>2960</v>
      </c>
      <c r="N34" s="42">
        <v>97</v>
      </c>
      <c r="O34" s="43">
        <v>108</v>
      </c>
      <c r="P34" s="43">
        <v>124</v>
      </c>
      <c r="Q34" s="43">
        <v>165</v>
      </c>
      <c r="R34" s="43">
        <v>258</v>
      </c>
      <c r="S34" s="43">
        <v>466</v>
      </c>
      <c r="T34" s="43">
        <v>628</v>
      </c>
      <c r="U34" s="43">
        <v>1768</v>
      </c>
      <c r="V34" s="44">
        <v>3440</v>
      </c>
    </row>
    <row r="35" spans="2:22" ht="15" customHeight="1">
      <c r="B35" s="93"/>
      <c r="C35" s="98" t="s">
        <v>7</v>
      </c>
      <c r="D35" s="4">
        <v>0.25</v>
      </c>
      <c r="E35" s="36">
        <v>892</v>
      </c>
      <c r="F35" s="37">
        <v>940</v>
      </c>
      <c r="G35" s="37">
        <v>996</v>
      </c>
      <c r="H35" s="37">
        <v>1012</v>
      </c>
      <c r="I35" s="37">
        <v>1004</v>
      </c>
      <c r="J35" s="37">
        <v>1080</v>
      </c>
      <c r="K35" s="37">
        <v>2448</v>
      </c>
      <c r="L35" s="37">
        <v>5792</v>
      </c>
      <c r="M35" s="38">
        <v>13248</v>
      </c>
      <c r="N35" s="36">
        <v>884</v>
      </c>
      <c r="O35" s="37">
        <v>956</v>
      </c>
      <c r="P35" s="37">
        <v>1048</v>
      </c>
      <c r="Q35" s="37">
        <v>1096</v>
      </c>
      <c r="R35" s="37">
        <v>1144</v>
      </c>
      <c r="S35" s="37">
        <v>1320</v>
      </c>
      <c r="T35" s="37">
        <v>1944</v>
      </c>
      <c r="U35" s="37">
        <v>4128</v>
      </c>
      <c r="V35" s="38">
        <v>8768</v>
      </c>
    </row>
    <row r="36" spans="2:22" ht="15" customHeight="1">
      <c r="B36" s="93"/>
      <c r="C36" s="96"/>
      <c r="D36" s="5">
        <v>0.5</v>
      </c>
      <c r="E36" s="39">
        <v>868</v>
      </c>
      <c r="F36" s="40">
        <v>892</v>
      </c>
      <c r="G36" s="40">
        <v>972</v>
      </c>
      <c r="H36" s="40">
        <v>1416</v>
      </c>
      <c r="I36" s="40">
        <v>1640</v>
      </c>
      <c r="J36" s="40">
        <v>2928</v>
      </c>
      <c r="K36" s="40">
        <v>2960</v>
      </c>
      <c r="L36" s="40">
        <v>5280</v>
      </c>
      <c r="M36" s="41">
        <v>9920</v>
      </c>
      <c r="N36" s="39">
        <v>796</v>
      </c>
      <c r="O36" s="40">
        <v>876</v>
      </c>
      <c r="P36" s="40">
        <v>964</v>
      </c>
      <c r="Q36" s="40">
        <v>1128</v>
      </c>
      <c r="R36" s="40">
        <v>1528</v>
      </c>
      <c r="S36" s="40">
        <v>1800</v>
      </c>
      <c r="T36" s="40">
        <v>2096</v>
      </c>
      <c r="U36" s="40">
        <v>3824</v>
      </c>
      <c r="V36" s="41">
        <v>6944</v>
      </c>
    </row>
    <row r="37" spans="2:22" ht="15" customHeight="1">
      <c r="B37" s="93"/>
      <c r="C37" s="96"/>
      <c r="D37" s="5">
        <v>0.75</v>
      </c>
      <c r="E37" s="39">
        <v>540</v>
      </c>
      <c r="F37" s="40">
        <v>844</v>
      </c>
      <c r="G37" s="40">
        <v>892</v>
      </c>
      <c r="H37" s="40">
        <v>1020</v>
      </c>
      <c r="I37" s="40">
        <v>1624</v>
      </c>
      <c r="J37" s="40">
        <v>2576</v>
      </c>
      <c r="K37" s="40">
        <v>3696</v>
      </c>
      <c r="L37" s="40">
        <v>5280</v>
      </c>
      <c r="M37" s="41">
        <v>8768</v>
      </c>
      <c r="N37" s="39">
        <v>684</v>
      </c>
      <c r="O37" s="40">
        <v>740</v>
      </c>
      <c r="P37" s="40">
        <v>876</v>
      </c>
      <c r="Q37" s="40">
        <v>964</v>
      </c>
      <c r="R37" s="40">
        <v>1288</v>
      </c>
      <c r="S37" s="40">
        <v>1816</v>
      </c>
      <c r="T37" s="40">
        <v>3056</v>
      </c>
      <c r="U37" s="40">
        <v>4128</v>
      </c>
      <c r="V37" s="41">
        <v>6496</v>
      </c>
    </row>
    <row r="38" spans="2:22" ht="15" customHeight="1" thickBot="1">
      <c r="B38" s="93"/>
      <c r="C38" s="97"/>
      <c r="D38" s="6">
        <v>1</v>
      </c>
      <c r="E38" s="42">
        <v>153</v>
      </c>
      <c r="F38" s="43">
        <v>191</v>
      </c>
      <c r="G38" s="43">
        <v>266</v>
      </c>
      <c r="H38" s="43">
        <v>434</v>
      </c>
      <c r="I38" s="43">
        <v>796</v>
      </c>
      <c r="J38" s="43">
        <v>1592</v>
      </c>
      <c r="K38" s="46">
        <v>2896</v>
      </c>
      <c r="L38" s="43">
        <v>3376</v>
      </c>
      <c r="M38" s="44">
        <v>4256</v>
      </c>
      <c r="N38" s="42">
        <v>137</v>
      </c>
      <c r="O38" s="43">
        <v>161</v>
      </c>
      <c r="P38" s="43">
        <v>201</v>
      </c>
      <c r="Q38" s="43">
        <v>282</v>
      </c>
      <c r="R38" s="43">
        <v>474</v>
      </c>
      <c r="S38" s="43">
        <v>884</v>
      </c>
      <c r="T38" s="43">
        <v>1048</v>
      </c>
      <c r="U38" s="43">
        <v>2192</v>
      </c>
      <c r="V38" s="44">
        <v>3856</v>
      </c>
    </row>
    <row r="39" spans="2:22" ht="15" customHeight="1">
      <c r="B39" s="93"/>
      <c r="C39" s="98" t="s">
        <v>8</v>
      </c>
      <c r="D39" s="4">
        <v>0.25</v>
      </c>
      <c r="E39" s="36">
        <v>21901</v>
      </c>
      <c r="F39" s="37">
        <v>22941</v>
      </c>
      <c r="G39" s="37">
        <v>22949</v>
      </c>
      <c r="H39" s="37">
        <v>22951</v>
      </c>
      <c r="I39" s="37">
        <v>22996</v>
      </c>
      <c r="J39" s="37">
        <v>22900</v>
      </c>
      <c r="K39" s="37">
        <v>23830</v>
      </c>
      <c r="L39" s="37">
        <v>23804</v>
      </c>
      <c r="M39" s="38">
        <v>23815</v>
      </c>
      <c r="N39" s="36">
        <v>25761</v>
      </c>
      <c r="O39" s="37">
        <v>33657</v>
      </c>
      <c r="P39" s="37">
        <v>33548</v>
      </c>
      <c r="Q39" s="37">
        <v>33554</v>
      </c>
      <c r="R39" s="37">
        <v>33548</v>
      </c>
      <c r="S39" s="37">
        <v>33534</v>
      </c>
      <c r="T39" s="37">
        <v>35573</v>
      </c>
      <c r="U39" s="37">
        <v>35575</v>
      </c>
      <c r="V39" s="38">
        <v>35574</v>
      </c>
    </row>
    <row r="40" spans="2:22" ht="15" customHeight="1">
      <c r="B40" s="93"/>
      <c r="C40" s="96"/>
      <c r="D40" s="5">
        <v>0.5</v>
      </c>
      <c r="E40" s="39">
        <v>34812</v>
      </c>
      <c r="F40" s="40">
        <v>50541</v>
      </c>
      <c r="G40" s="40">
        <v>57743</v>
      </c>
      <c r="H40" s="40">
        <v>57791</v>
      </c>
      <c r="I40" s="40">
        <v>57859</v>
      </c>
      <c r="J40" s="40">
        <v>59234</v>
      </c>
      <c r="K40" s="40">
        <v>63334</v>
      </c>
      <c r="L40" s="40">
        <v>63359</v>
      </c>
      <c r="M40" s="41">
        <v>63352</v>
      </c>
      <c r="N40" s="39">
        <v>40764</v>
      </c>
      <c r="O40" s="40">
        <v>64629</v>
      </c>
      <c r="P40" s="40">
        <v>85956</v>
      </c>
      <c r="Q40" s="40">
        <v>85475</v>
      </c>
      <c r="R40" s="40">
        <v>85421</v>
      </c>
      <c r="S40" s="40">
        <v>85390</v>
      </c>
      <c r="T40" s="40">
        <v>95586</v>
      </c>
      <c r="U40" s="40">
        <v>95644</v>
      </c>
      <c r="V40" s="41">
        <v>95634</v>
      </c>
    </row>
    <row r="41" spans="2:22" ht="15" customHeight="1">
      <c r="B41" s="93"/>
      <c r="C41" s="96"/>
      <c r="D41" s="5">
        <v>0.75</v>
      </c>
      <c r="E41" s="39">
        <v>45261</v>
      </c>
      <c r="F41" s="40">
        <v>73297</v>
      </c>
      <c r="G41" s="40">
        <v>108936</v>
      </c>
      <c r="H41" s="40">
        <v>123608</v>
      </c>
      <c r="I41" s="40">
        <v>123603</v>
      </c>
      <c r="J41" s="40">
        <v>123731</v>
      </c>
      <c r="K41" s="40">
        <v>123680</v>
      </c>
      <c r="L41" s="40">
        <v>123671</v>
      </c>
      <c r="M41" s="41">
        <v>123805</v>
      </c>
      <c r="N41" s="39">
        <v>50572</v>
      </c>
      <c r="O41" s="40">
        <v>90123</v>
      </c>
      <c r="P41" s="40">
        <v>140787</v>
      </c>
      <c r="Q41" s="40">
        <v>178074</v>
      </c>
      <c r="R41" s="40">
        <v>185278</v>
      </c>
      <c r="S41" s="40">
        <v>185846</v>
      </c>
      <c r="T41" s="40">
        <v>187851</v>
      </c>
      <c r="U41" s="40">
        <v>187903</v>
      </c>
      <c r="V41" s="41">
        <v>187821</v>
      </c>
    </row>
    <row r="42" spans="2:22" ht="15" customHeight="1" thickBot="1">
      <c r="B42" s="94"/>
      <c r="C42" s="97"/>
      <c r="D42" s="6">
        <v>1</v>
      </c>
      <c r="E42" s="42">
        <v>61653</v>
      </c>
      <c r="F42" s="43">
        <v>117437</v>
      </c>
      <c r="G42" s="43">
        <v>212542</v>
      </c>
      <c r="H42" s="43">
        <v>345138</v>
      </c>
      <c r="I42" s="43">
        <v>470887</v>
      </c>
      <c r="J42" s="43">
        <v>549478</v>
      </c>
      <c r="K42" s="43">
        <v>585471</v>
      </c>
      <c r="L42" s="43">
        <v>585549</v>
      </c>
      <c r="M42" s="44">
        <v>585549</v>
      </c>
      <c r="N42" s="42">
        <v>62368</v>
      </c>
      <c r="O42" s="43">
        <v>121378</v>
      </c>
      <c r="P42" s="43">
        <v>229401</v>
      </c>
      <c r="Q42" s="43">
        <v>408564</v>
      </c>
      <c r="R42" s="43">
        <v>639494</v>
      </c>
      <c r="S42" s="43">
        <v>816229</v>
      </c>
      <c r="T42" s="43">
        <v>817305</v>
      </c>
      <c r="U42" s="43">
        <v>817306</v>
      </c>
      <c r="V42" s="44">
        <v>817304</v>
      </c>
    </row>
    <row r="43" spans="2:22" ht="15" customHeight="1">
      <c r="B43" s="83" t="s">
        <v>9</v>
      </c>
      <c r="C43" s="98" t="s">
        <v>6</v>
      </c>
      <c r="D43" s="4">
        <v>0.25</v>
      </c>
      <c r="E43" s="36">
        <v>13</v>
      </c>
      <c r="F43" s="37">
        <v>13</v>
      </c>
      <c r="G43" s="37">
        <v>14</v>
      </c>
      <c r="H43" s="37">
        <v>15</v>
      </c>
      <c r="I43" s="37">
        <v>135</v>
      </c>
      <c r="J43" s="37">
        <v>145</v>
      </c>
      <c r="K43" s="37">
        <v>147</v>
      </c>
      <c r="L43" s="37">
        <v>1960</v>
      </c>
      <c r="M43" s="38">
        <v>5472</v>
      </c>
      <c r="N43" s="36">
        <v>13</v>
      </c>
      <c r="O43" s="37">
        <v>14</v>
      </c>
      <c r="P43" s="37">
        <v>16</v>
      </c>
      <c r="Q43" s="37">
        <v>17</v>
      </c>
      <c r="R43" s="37">
        <v>17</v>
      </c>
      <c r="S43" s="37">
        <v>17</v>
      </c>
      <c r="T43" s="37">
        <v>104</v>
      </c>
      <c r="U43" s="37">
        <v>1480</v>
      </c>
      <c r="V43" s="38">
        <v>3728</v>
      </c>
    </row>
    <row r="44" spans="2:22" ht="15" customHeight="1">
      <c r="B44" s="93"/>
      <c r="C44" s="96"/>
      <c r="D44" s="5">
        <v>0.5</v>
      </c>
      <c r="E44" s="39">
        <v>13</v>
      </c>
      <c r="F44" s="40">
        <v>14</v>
      </c>
      <c r="G44" s="40">
        <v>183</v>
      </c>
      <c r="H44" s="40">
        <v>510</v>
      </c>
      <c r="I44" s="40">
        <v>1160</v>
      </c>
      <c r="J44" s="40">
        <v>2160</v>
      </c>
      <c r="K44" s="40">
        <v>3824</v>
      </c>
      <c r="L44" s="40">
        <v>5984</v>
      </c>
      <c r="M44" s="41">
        <v>10304</v>
      </c>
      <c r="N44" s="39">
        <v>13</v>
      </c>
      <c r="O44" s="40">
        <v>14</v>
      </c>
      <c r="P44" s="40">
        <v>124</v>
      </c>
      <c r="Q44" s="40">
        <v>350</v>
      </c>
      <c r="R44" s="40">
        <v>764</v>
      </c>
      <c r="S44" s="40">
        <v>1592</v>
      </c>
      <c r="T44" s="40">
        <v>2768</v>
      </c>
      <c r="U44" s="40">
        <v>4320</v>
      </c>
      <c r="V44" s="41">
        <v>7328</v>
      </c>
    </row>
    <row r="45" spans="2:22" ht="15" customHeight="1">
      <c r="B45" s="93"/>
      <c r="C45" s="96"/>
      <c r="D45" s="5">
        <v>0.75</v>
      </c>
      <c r="E45" s="39">
        <v>13</v>
      </c>
      <c r="F45" s="40">
        <v>131</v>
      </c>
      <c r="G45" s="40">
        <v>266</v>
      </c>
      <c r="H45" s="40">
        <v>532</v>
      </c>
      <c r="I45" s="40">
        <v>1064</v>
      </c>
      <c r="J45" s="40">
        <v>2064</v>
      </c>
      <c r="K45" s="40">
        <v>3952</v>
      </c>
      <c r="L45" s="40">
        <v>7072</v>
      </c>
      <c r="M45" s="41">
        <v>13120</v>
      </c>
      <c r="N45" s="39">
        <v>13</v>
      </c>
      <c r="O45" s="40">
        <v>89</v>
      </c>
      <c r="P45" s="40">
        <v>205</v>
      </c>
      <c r="Q45" s="40">
        <v>410</v>
      </c>
      <c r="R45" s="40">
        <v>820</v>
      </c>
      <c r="S45" s="40">
        <v>1624</v>
      </c>
      <c r="T45" s="40">
        <v>2704</v>
      </c>
      <c r="U45" s="40">
        <v>4832</v>
      </c>
      <c r="V45" s="41">
        <v>9024</v>
      </c>
    </row>
    <row r="46" spans="2:22" ht="15" customHeight="1" thickBot="1">
      <c r="B46" s="93"/>
      <c r="C46" s="97"/>
      <c r="D46" s="6">
        <v>1</v>
      </c>
      <c r="E46" s="42">
        <v>56</v>
      </c>
      <c r="F46" s="43">
        <v>112</v>
      </c>
      <c r="G46" s="43">
        <v>225</v>
      </c>
      <c r="H46" s="43">
        <v>450</v>
      </c>
      <c r="I46" s="43">
        <v>900</v>
      </c>
      <c r="J46" s="43">
        <v>1800</v>
      </c>
      <c r="K46" s="43">
        <v>3568</v>
      </c>
      <c r="L46" s="43">
        <v>10688</v>
      </c>
      <c r="M46" s="44">
        <v>21376</v>
      </c>
      <c r="N46" s="42">
        <v>39</v>
      </c>
      <c r="O46" s="43">
        <v>78</v>
      </c>
      <c r="P46" s="43">
        <v>157</v>
      </c>
      <c r="Q46" s="43">
        <v>310</v>
      </c>
      <c r="R46" s="43">
        <v>612</v>
      </c>
      <c r="S46" s="43">
        <v>1224</v>
      </c>
      <c r="T46" s="43">
        <v>2416</v>
      </c>
      <c r="U46" s="43">
        <v>7264</v>
      </c>
      <c r="V46" s="44">
        <v>10560</v>
      </c>
    </row>
    <row r="47" spans="2:22" ht="15" customHeight="1">
      <c r="B47" s="93"/>
      <c r="C47" s="98" t="s">
        <v>7</v>
      </c>
      <c r="D47" s="4">
        <v>0.25</v>
      </c>
      <c r="E47" s="36">
        <v>24</v>
      </c>
      <c r="F47" s="37">
        <v>22</v>
      </c>
      <c r="G47" s="37">
        <v>24</v>
      </c>
      <c r="H47" s="37">
        <v>26</v>
      </c>
      <c r="I47" s="37">
        <v>318</v>
      </c>
      <c r="J47" s="37">
        <v>524</v>
      </c>
      <c r="K47" s="37">
        <v>604</v>
      </c>
      <c r="L47" s="37">
        <v>2288</v>
      </c>
      <c r="M47" s="38">
        <v>6496</v>
      </c>
      <c r="N47" s="36">
        <v>26</v>
      </c>
      <c r="O47" s="37">
        <v>23</v>
      </c>
      <c r="P47" s="37">
        <v>25</v>
      </c>
      <c r="Q47" s="37">
        <v>27</v>
      </c>
      <c r="R47" s="37">
        <v>28</v>
      </c>
      <c r="S47" s="37">
        <v>28</v>
      </c>
      <c r="T47" s="37">
        <v>215</v>
      </c>
      <c r="U47" s="37">
        <v>1704</v>
      </c>
      <c r="V47" s="38">
        <v>4448</v>
      </c>
    </row>
    <row r="48" spans="2:22" ht="15" customHeight="1">
      <c r="B48" s="93"/>
      <c r="C48" s="96"/>
      <c r="D48" s="5">
        <v>0.5</v>
      </c>
      <c r="E48" s="39">
        <v>24</v>
      </c>
      <c r="F48" s="40">
        <v>21</v>
      </c>
      <c r="G48" s="40">
        <v>235</v>
      </c>
      <c r="H48" s="40">
        <v>556</v>
      </c>
      <c r="I48" s="40">
        <v>1208</v>
      </c>
      <c r="J48" s="40">
        <v>2352</v>
      </c>
      <c r="K48" s="40">
        <v>4128</v>
      </c>
      <c r="L48" s="40">
        <v>6560</v>
      </c>
      <c r="M48" s="41">
        <v>11584</v>
      </c>
      <c r="N48" s="39">
        <v>24</v>
      </c>
      <c r="O48" s="40">
        <v>23</v>
      </c>
      <c r="P48" s="40">
        <v>179</v>
      </c>
      <c r="Q48" s="40">
        <v>394</v>
      </c>
      <c r="R48" s="40">
        <v>804</v>
      </c>
      <c r="S48" s="40">
        <v>1624</v>
      </c>
      <c r="T48" s="40">
        <v>3120</v>
      </c>
      <c r="U48" s="40">
        <v>4832</v>
      </c>
      <c r="V48" s="41">
        <v>8256</v>
      </c>
    </row>
    <row r="49" spans="2:22" ht="15" customHeight="1">
      <c r="B49" s="93"/>
      <c r="C49" s="96"/>
      <c r="D49" s="5">
        <v>0.75</v>
      </c>
      <c r="E49" s="39">
        <v>21</v>
      </c>
      <c r="F49" s="40">
        <v>133</v>
      </c>
      <c r="G49" s="40">
        <v>266</v>
      </c>
      <c r="H49" s="40">
        <v>532</v>
      </c>
      <c r="I49" s="40">
        <v>1064</v>
      </c>
      <c r="J49" s="40">
        <v>2096</v>
      </c>
      <c r="K49" s="40">
        <v>4128</v>
      </c>
      <c r="L49" s="40">
        <v>7776</v>
      </c>
      <c r="M49" s="41">
        <v>15424</v>
      </c>
      <c r="N49" s="39">
        <v>21</v>
      </c>
      <c r="O49" s="40">
        <v>103</v>
      </c>
      <c r="P49" s="40">
        <v>207</v>
      </c>
      <c r="Q49" s="40">
        <v>414</v>
      </c>
      <c r="R49" s="40">
        <v>828</v>
      </c>
      <c r="S49" s="40">
        <v>1640</v>
      </c>
      <c r="T49" s="40">
        <v>3248</v>
      </c>
      <c r="U49" s="40">
        <v>5792</v>
      </c>
      <c r="V49" s="41">
        <v>10560</v>
      </c>
    </row>
    <row r="50" spans="2:22" ht="15" customHeight="1" thickBot="1">
      <c r="B50" s="93"/>
      <c r="C50" s="97"/>
      <c r="D50" s="6">
        <v>1</v>
      </c>
      <c r="E50" s="42">
        <v>66</v>
      </c>
      <c r="F50" s="43">
        <v>131</v>
      </c>
      <c r="G50" s="43">
        <v>262</v>
      </c>
      <c r="H50" s="43">
        <v>524</v>
      </c>
      <c r="I50" s="43">
        <v>940</v>
      </c>
      <c r="J50" s="43">
        <v>1816</v>
      </c>
      <c r="K50" s="43">
        <v>3600</v>
      </c>
      <c r="L50" s="43">
        <v>11328</v>
      </c>
      <c r="M50" s="44">
        <v>25216</v>
      </c>
      <c r="N50" s="42">
        <v>49</v>
      </c>
      <c r="O50" s="43">
        <v>88</v>
      </c>
      <c r="P50" s="43">
        <v>165</v>
      </c>
      <c r="Q50" s="43">
        <v>318</v>
      </c>
      <c r="R50" s="43">
        <v>620</v>
      </c>
      <c r="S50" s="43">
        <v>1224</v>
      </c>
      <c r="T50" s="43">
        <v>2448</v>
      </c>
      <c r="U50" s="43">
        <v>7264</v>
      </c>
      <c r="V50" s="44">
        <v>14528</v>
      </c>
    </row>
    <row r="51" spans="2:22" ht="15" customHeight="1">
      <c r="B51" s="93"/>
      <c r="C51" s="98" t="s">
        <v>8</v>
      </c>
      <c r="D51" s="4">
        <v>0.25</v>
      </c>
      <c r="E51" s="24">
        <v>15082</v>
      </c>
      <c r="F51" s="25">
        <v>24422</v>
      </c>
      <c r="G51" s="25">
        <v>36318</v>
      </c>
      <c r="H51" s="25">
        <v>41201</v>
      </c>
      <c r="I51" s="25">
        <v>41197</v>
      </c>
      <c r="J51" s="25">
        <v>41234</v>
      </c>
      <c r="K51" s="25">
        <v>41229</v>
      </c>
      <c r="L51" s="25">
        <v>41207</v>
      </c>
      <c r="M51" s="26">
        <v>41261</v>
      </c>
      <c r="N51" s="24">
        <v>16871</v>
      </c>
      <c r="O51" s="25">
        <v>30034</v>
      </c>
      <c r="P51" s="25">
        <v>46944</v>
      </c>
      <c r="Q51" s="25">
        <v>59370</v>
      </c>
      <c r="R51" s="25">
        <v>61776</v>
      </c>
      <c r="S51" s="25">
        <v>61947</v>
      </c>
      <c r="T51" s="25">
        <v>62618</v>
      </c>
      <c r="U51" s="25">
        <v>62633</v>
      </c>
      <c r="V51" s="26">
        <v>62613</v>
      </c>
    </row>
    <row r="52" spans="2:22" ht="15" customHeight="1">
      <c r="B52" s="93"/>
      <c r="C52" s="96"/>
      <c r="D52" s="5">
        <v>0.5</v>
      </c>
      <c r="E52" s="27">
        <v>34811</v>
      </c>
      <c r="F52" s="28">
        <v>50533</v>
      </c>
      <c r="G52" s="28">
        <v>57737</v>
      </c>
      <c r="H52" s="28">
        <v>57803</v>
      </c>
      <c r="I52" s="28">
        <v>57874</v>
      </c>
      <c r="J52" s="28">
        <v>59224</v>
      </c>
      <c r="K52" s="28">
        <v>63316</v>
      </c>
      <c r="L52" s="28">
        <v>63323</v>
      </c>
      <c r="M52" s="29">
        <v>63319</v>
      </c>
      <c r="N52" s="27">
        <v>40760</v>
      </c>
      <c r="O52" s="28">
        <v>64634</v>
      </c>
      <c r="P52" s="28">
        <v>85956</v>
      </c>
      <c r="Q52" s="28">
        <v>85465</v>
      </c>
      <c r="R52" s="28">
        <v>85438</v>
      </c>
      <c r="S52" s="28">
        <v>85412</v>
      </c>
      <c r="T52" s="28">
        <v>95600</v>
      </c>
      <c r="U52" s="28">
        <v>95638</v>
      </c>
      <c r="V52" s="29">
        <v>95627</v>
      </c>
    </row>
    <row r="53" spans="2:22" ht="15" customHeight="1">
      <c r="B53" s="93"/>
      <c r="C53" s="96"/>
      <c r="D53" s="5">
        <v>0.75</v>
      </c>
      <c r="E53" s="27">
        <v>65660</v>
      </c>
      <c r="F53" s="28">
        <v>68827</v>
      </c>
      <c r="G53" s="28">
        <v>68881</v>
      </c>
      <c r="H53" s="28">
        <v>68891</v>
      </c>
      <c r="I53" s="28">
        <v>68942</v>
      </c>
      <c r="J53" s="28">
        <v>68713</v>
      </c>
      <c r="K53" s="28">
        <v>71502</v>
      </c>
      <c r="L53" s="28">
        <v>71422</v>
      </c>
      <c r="M53" s="29">
        <v>71453</v>
      </c>
      <c r="N53" s="27">
        <v>77299</v>
      </c>
      <c r="O53" s="28">
        <v>100965</v>
      </c>
      <c r="P53" s="28">
        <v>100679</v>
      </c>
      <c r="Q53" s="28">
        <v>100626</v>
      </c>
      <c r="R53" s="28">
        <v>100636</v>
      </c>
      <c r="S53" s="28">
        <v>100577</v>
      </c>
      <c r="T53" s="28">
        <v>106708</v>
      </c>
      <c r="U53" s="28">
        <v>106736</v>
      </c>
      <c r="V53" s="29">
        <v>106690</v>
      </c>
    </row>
    <row r="54" spans="2:22" ht="15" customHeight="1" thickBot="1">
      <c r="B54" s="94"/>
      <c r="C54" s="97"/>
      <c r="D54" s="6">
        <v>1</v>
      </c>
      <c r="E54" s="30">
        <v>71428</v>
      </c>
      <c r="F54" s="31">
        <v>71418</v>
      </c>
      <c r="G54" s="31">
        <v>71418</v>
      </c>
      <c r="H54" s="31">
        <v>71423</v>
      </c>
      <c r="I54" s="31">
        <v>71427</v>
      </c>
      <c r="J54" s="31">
        <v>71427</v>
      </c>
      <c r="K54" s="31">
        <v>71427</v>
      </c>
      <c r="L54" s="31">
        <v>71427</v>
      </c>
      <c r="M54" s="32">
        <v>71426</v>
      </c>
      <c r="N54" s="30">
        <v>105769</v>
      </c>
      <c r="O54" s="31">
        <v>105769</v>
      </c>
      <c r="P54" s="31">
        <v>105769</v>
      </c>
      <c r="Q54" s="31">
        <v>105769</v>
      </c>
      <c r="R54" s="31">
        <v>105769</v>
      </c>
      <c r="S54" s="31">
        <v>105769</v>
      </c>
      <c r="T54" s="31">
        <v>105769</v>
      </c>
      <c r="U54" s="31">
        <v>105768</v>
      </c>
      <c r="V54" s="32">
        <v>105767</v>
      </c>
    </row>
  </sheetData>
  <mergeCells count="36">
    <mergeCell ref="B43:B54"/>
    <mergeCell ref="C43:C46"/>
    <mergeCell ref="C47:C50"/>
    <mergeCell ref="C51:C54"/>
    <mergeCell ref="B31:B42"/>
    <mergeCell ref="C31:C34"/>
    <mergeCell ref="E29:M29"/>
    <mergeCell ref="N29:V29"/>
    <mergeCell ref="Z31:AD31"/>
    <mergeCell ref="C35:C38"/>
    <mergeCell ref="C39:C42"/>
    <mergeCell ref="Z29:AD29"/>
    <mergeCell ref="Z30:AD30"/>
    <mergeCell ref="B29:D30"/>
    <mergeCell ref="B16:B27"/>
    <mergeCell ref="C16:C19"/>
    <mergeCell ref="X16:X27"/>
    <mergeCell ref="Y16:Y19"/>
    <mergeCell ref="C20:C23"/>
    <mergeCell ref="Y20:Y23"/>
    <mergeCell ref="C24:C27"/>
    <mergeCell ref="Y24:Y27"/>
    <mergeCell ref="AJ2:AR2"/>
    <mergeCell ref="B4:B15"/>
    <mergeCell ref="C4:C7"/>
    <mergeCell ref="X4:X15"/>
    <mergeCell ref="Y4:Y7"/>
    <mergeCell ref="C8:C11"/>
    <mergeCell ref="Y8:Y11"/>
    <mergeCell ref="C12:C15"/>
    <mergeCell ref="Y12:Y15"/>
    <mergeCell ref="B2:D3"/>
    <mergeCell ref="E2:M2"/>
    <mergeCell ref="N2:V2"/>
    <mergeCell ref="X2:Z3"/>
    <mergeCell ref="AA2:AI2"/>
  </mergeCells>
  <phoneticPr fontId="1" type="noConversion"/>
  <conditionalFormatting sqref="Y29">
    <cfRule type="cellIs" dxfId="304" priority="43" operator="lessThan">
      <formula>0.8</formula>
    </cfRule>
  </conditionalFormatting>
  <conditionalFormatting sqref="Y30:Y31">
    <cfRule type="cellIs" dxfId="303" priority="42" operator="lessThan">
      <formula>0.8</formula>
    </cfRule>
  </conditionalFormatting>
  <conditionalFormatting sqref="AQ16:AR23 AQ4:AR11 AJ4:AO11 AJ16:AO20 AJ22:AO23 AJ21 AL21:AO21">
    <cfRule type="cellIs" dxfId="302" priority="33" operator="greaterThan">
      <formula>1.1</formula>
    </cfRule>
    <cfRule type="cellIs" dxfId="301" priority="34" operator="lessThan">
      <formula>0.9</formula>
    </cfRule>
  </conditionalFormatting>
  <conditionalFormatting sqref="AQ24:AR27 AQ12:AR15 AJ12:AO15 AJ24:AO27">
    <cfRule type="cellIs" dxfId="300" priority="31" operator="lessThan">
      <formula>0.9</formula>
    </cfRule>
    <cfRule type="cellIs" dxfId="299" priority="32" operator="greaterThan">
      <formula>1.1</formula>
    </cfRule>
  </conditionalFormatting>
  <conditionalFormatting sqref="AQ4:AR27 AJ4:AO20 AJ22:AO27 AJ21 AL21:AO21">
    <cfRule type="cellIs" dxfId="298" priority="30" operator="greaterThan">
      <formula>10</formula>
    </cfRule>
  </conditionalFormatting>
  <conditionalFormatting sqref="AP16:AP23 AP4:AP11">
    <cfRule type="cellIs" dxfId="297" priority="28" operator="greaterThan">
      <formula>1.1</formula>
    </cfRule>
    <cfRule type="cellIs" dxfId="296" priority="29" operator="lessThan">
      <formula>0.9</formula>
    </cfRule>
  </conditionalFormatting>
  <conditionalFormatting sqref="AP24:AP27 AP12:AP15">
    <cfRule type="cellIs" dxfId="295" priority="26" operator="lessThan">
      <formula>0.9</formula>
    </cfRule>
    <cfRule type="cellIs" dxfId="294" priority="27" operator="greaterThan">
      <formula>1.1</formula>
    </cfRule>
  </conditionalFormatting>
  <conditionalFormatting sqref="AP4:AP27">
    <cfRule type="cellIs" dxfId="293" priority="25" operator="greaterThan">
      <formula>10</formula>
    </cfRule>
  </conditionalFormatting>
  <conditionalFormatting sqref="AH16:AI23 AH4:AI11 AA4:AF11 AA16:AF19 AA21:AF21 AA20 AC20:AF20 AA23:AF23 AB22:AF22">
    <cfRule type="cellIs" dxfId="292" priority="23" operator="greaterThan">
      <formula>1.1</formula>
    </cfRule>
    <cfRule type="cellIs" dxfId="291" priority="24" operator="lessThan">
      <formula>0.9</formula>
    </cfRule>
  </conditionalFormatting>
  <conditionalFormatting sqref="AH24:AI27 AH12:AI15 AA12:AF15 AA24:AF27">
    <cfRule type="cellIs" dxfId="290" priority="21" operator="lessThan">
      <formula>0.9</formula>
    </cfRule>
    <cfRule type="cellIs" dxfId="289" priority="22" operator="greaterThan">
      <formula>1.1</formula>
    </cfRule>
  </conditionalFormatting>
  <conditionalFormatting sqref="AH4:AI27 AA4:AF19 AA21:AF21 AA20 AC20:AF20 AA23:AF27 AB22:AF22">
    <cfRule type="cellIs" dxfId="288" priority="20" operator="greaterThan">
      <formula>10</formula>
    </cfRule>
  </conditionalFormatting>
  <conditionalFormatting sqref="AG16:AG23 AG4:AG11">
    <cfRule type="cellIs" dxfId="287" priority="18" operator="greaterThan">
      <formula>1.1</formula>
    </cfRule>
    <cfRule type="cellIs" dxfId="286" priority="19" operator="lessThan">
      <formula>0.9</formula>
    </cfRule>
  </conditionalFormatting>
  <conditionalFormatting sqref="AG24:AG27 AG12:AG15">
    <cfRule type="cellIs" dxfId="285" priority="16" operator="lessThan">
      <formula>0.9</formula>
    </cfRule>
    <cfRule type="cellIs" dxfId="284" priority="17" operator="greaterThan">
      <formula>1.1</formula>
    </cfRule>
  </conditionalFormatting>
  <conditionalFormatting sqref="AG4:AG27">
    <cfRule type="cellIs" dxfId="283" priority="15" operator="greaterThan">
      <formula>10</formula>
    </cfRule>
  </conditionalFormatting>
  <conditionalFormatting sqref="N31:V38 N43:V50 E43:M45 E50:M50 F49:M49 E48:M48 E46:E47 G46:M47">
    <cfRule type="expression" dxfId="282" priority="14">
      <formula>AA4&gt;1.1</formula>
    </cfRule>
  </conditionalFormatting>
  <conditionalFormatting sqref="E31:M38">
    <cfRule type="expression" dxfId="281" priority="13">
      <formula>AA4&gt;1.1</formula>
    </cfRule>
  </conditionalFormatting>
  <conditionalFormatting sqref="T16:T23">
    <cfRule type="expression" dxfId="280" priority="11">
      <formula>AO16&gt;1.1</formula>
    </cfRule>
  </conditionalFormatting>
  <conditionalFormatting sqref="U16:V23 N16:S23 E16:J19 E23:J23 F22:J22 E21:J21 E20 G20:J20">
    <cfRule type="expression" dxfId="279" priority="12">
      <formula>AA16&gt;1.1</formula>
    </cfRule>
  </conditionalFormatting>
  <conditionalFormatting sqref="K16:K23">
    <cfRule type="expression" dxfId="278" priority="9">
      <formula>AF16&gt;1.1</formula>
    </cfRule>
  </conditionalFormatting>
  <conditionalFormatting sqref="L16:M23">
    <cfRule type="expression" dxfId="277" priority="10">
      <formula>AH16&gt;1.1</formula>
    </cfRule>
  </conditionalFormatting>
  <conditionalFormatting sqref="N4:V11">
    <cfRule type="expression" dxfId="276" priority="8">
      <formula>AJ4&gt;1.1</formula>
    </cfRule>
  </conditionalFormatting>
  <conditionalFormatting sqref="T4:T11">
    <cfRule type="expression" dxfId="275" priority="7">
      <formula>AO4&gt;1.1</formula>
    </cfRule>
  </conditionalFormatting>
  <conditionalFormatting sqref="E4:M11">
    <cfRule type="expression" dxfId="274" priority="6">
      <formula>AA4&gt;1.1</formula>
    </cfRule>
  </conditionalFormatting>
  <conditionalFormatting sqref="K4:K11">
    <cfRule type="expression" dxfId="273" priority="5">
      <formula>AF4&gt;1.1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N59"/>
  <sheetViews>
    <sheetView showGridLines="0" zoomScale="70" zoomScaleNormal="70" workbookViewId="0">
      <selection activeCell="H38" sqref="H38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9.69921875" style="11" customWidth="1"/>
    <col min="5" max="20" width="6.59765625" style="11" customWidth="1"/>
    <col min="21" max="21" width="3.09765625" style="11" customWidth="1"/>
    <col min="22" max="22" width="13.09765625" style="11" customWidth="1"/>
    <col min="23" max="23" width="11" style="11" bestFit="1" customWidth="1"/>
    <col min="24" max="24" width="8.09765625" style="11" customWidth="1"/>
    <col min="25" max="40" width="7.5" style="11" customWidth="1"/>
    <col min="41" max="16384" width="9" style="11"/>
  </cols>
  <sheetData>
    <row r="1" spans="2:40" ht="15" customHeight="1" thickBot="1"/>
    <row r="2" spans="2:40" ht="15" customHeight="1">
      <c r="B2" s="99" t="s">
        <v>76</v>
      </c>
      <c r="C2" s="100"/>
      <c r="D2" s="101"/>
      <c r="E2" s="83" t="s">
        <v>14</v>
      </c>
      <c r="F2" s="84"/>
      <c r="G2" s="84"/>
      <c r="H2" s="84"/>
      <c r="I2" s="84"/>
      <c r="J2" s="84"/>
      <c r="K2" s="84"/>
      <c r="L2" s="85"/>
      <c r="M2" s="83" t="s">
        <v>24</v>
      </c>
      <c r="N2" s="84"/>
      <c r="O2" s="84"/>
      <c r="P2" s="84"/>
      <c r="Q2" s="84"/>
      <c r="R2" s="84"/>
      <c r="S2" s="84"/>
      <c r="T2" s="85"/>
      <c r="V2" s="105" t="str">
        <f>CONCATENATE(B2, CHAR(10), "vs ", B29)</f>
        <v>PM9A3_GDA71F25_20210527
vs PM9A3_GHA72F2L_20210702</v>
      </c>
      <c r="W2" s="106"/>
      <c r="X2" s="106"/>
      <c r="Y2" s="83" t="s">
        <v>84</v>
      </c>
      <c r="Z2" s="84"/>
      <c r="AA2" s="84"/>
      <c r="AB2" s="84"/>
      <c r="AC2" s="84"/>
      <c r="AD2" s="84"/>
      <c r="AE2" s="84"/>
      <c r="AF2" s="85"/>
      <c r="AG2" s="83" t="s">
        <v>85</v>
      </c>
      <c r="AH2" s="84"/>
      <c r="AI2" s="84"/>
      <c r="AJ2" s="84"/>
      <c r="AK2" s="84"/>
      <c r="AL2" s="84"/>
      <c r="AM2" s="84"/>
      <c r="AN2" s="85"/>
    </row>
    <row r="3" spans="2:40" ht="20.25" customHeight="1" thickBot="1">
      <c r="B3" s="102"/>
      <c r="C3" s="103"/>
      <c r="D3" s="104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3" t="s">
        <v>17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18</v>
      </c>
      <c r="S3" s="2" t="s">
        <v>16</v>
      </c>
      <c r="T3" s="3" t="s">
        <v>17</v>
      </c>
      <c r="V3" s="107"/>
      <c r="W3" s="108"/>
      <c r="X3" s="108"/>
      <c r="Y3" s="1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18</v>
      </c>
      <c r="AE3" s="2" t="s">
        <v>16</v>
      </c>
      <c r="AF3" s="3" t="s">
        <v>17</v>
      </c>
      <c r="AG3" s="1" t="s">
        <v>0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18</v>
      </c>
      <c r="AM3" s="2" t="s">
        <v>16</v>
      </c>
      <c r="AN3" s="3" t="s">
        <v>17</v>
      </c>
    </row>
    <row r="4" spans="2:40" ht="15" customHeight="1">
      <c r="B4" s="86" t="s">
        <v>5</v>
      </c>
      <c r="C4" s="89" t="s">
        <v>6</v>
      </c>
      <c r="D4" s="4">
        <v>0.25</v>
      </c>
      <c r="E4" s="36">
        <v>266</v>
      </c>
      <c r="F4" s="37">
        <v>314</v>
      </c>
      <c r="G4" s="37">
        <v>382</v>
      </c>
      <c r="H4" s="37">
        <v>414</v>
      </c>
      <c r="I4" s="37">
        <v>434</v>
      </c>
      <c r="J4" s="37">
        <v>438</v>
      </c>
      <c r="K4" s="37">
        <v>442</v>
      </c>
      <c r="L4" s="38">
        <v>1688</v>
      </c>
      <c r="M4" s="36">
        <v>330</v>
      </c>
      <c r="N4" s="37">
        <v>402</v>
      </c>
      <c r="O4" s="37">
        <v>494</v>
      </c>
      <c r="P4" s="37">
        <v>564</v>
      </c>
      <c r="Q4" s="37">
        <v>612</v>
      </c>
      <c r="R4" s="37">
        <v>660</v>
      </c>
      <c r="S4" s="37">
        <v>692</v>
      </c>
      <c r="T4" s="38">
        <v>2040</v>
      </c>
      <c r="V4" s="92" t="s">
        <v>5</v>
      </c>
      <c r="W4" s="95" t="s">
        <v>6</v>
      </c>
      <c r="X4" s="7">
        <v>0.25</v>
      </c>
      <c r="Y4" s="15">
        <f t="shared" ref="Y4:AN19" si="0">E31/E4</f>
        <v>0.85338345864661658</v>
      </c>
      <c r="Z4" s="16">
        <f t="shared" si="0"/>
        <v>0.84713375796178347</v>
      </c>
      <c r="AA4" s="16">
        <f t="shared" si="0"/>
        <v>0.83246073298429324</v>
      </c>
      <c r="AB4" s="16">
        <f t="shared" si="0"/>
        <v>0.92270531400966183</v>
      </c>
      <c r="AC4" s="16">
        <f t="shared" si="0"/>
        <v>0.97235023041474655</v>
      </c>
      <c r="AD4" s="16">
        <f t="shared" si="0"/>
        <v>1.091324200913242</v>
      </c>
      <c r="AE4" s="16">
        <f t="shared" si="0"/>
        <v>1.1855203619909502</v>
      </c>
      <c r="AF4" s="17">
        <f t="shared" si="0"/>
        <v>0.39099526066350709</v>
      </c>
      <c r="AG4" s="15">
        <f t="shared" si="0"/>
        <v>0.71212121212121215</v>
      </c>
      <c r="AH4" s="16">
        <f t="shared" si="0"/>
        <v>0.73134328358208955</v>
      </c>
      <c r="AI4" s="16">
        <f t="shared" si="0"/>
        <v>0.74898785425101211</v>
      </c>
      <c r="AJ4" s="16">
        <f t="shared" si="0"/>
        <v>0.80496453900709219</v>
      </c>
      <c r="AK4" s="16">
        <f t="shared" si="0"/>
        <v>0.934640522875817</v>
      </c>
      <c r="AL4" s="16">
        <f t="shared" si="0"/>
        <v>0.97575757575757571</v>
      </c>
      <c r="AM4" s="16">
        <f t="shared" si="0"/>
        <v>1.0693641618497109</v>
      </c>
      <c r="AN4" s="17">
        <f t="shared" si="0"/>
        <v>0.5607843137254902</v>
      </c>
    </row>
    <row r="5" spans="2:40" ht="15" customHeight="1">
      <c r="B5" s="87"/>
      <c r="C5" s="90"/>
      <c r="D5" s="5">
        <v>0.5</v>
      </c>
      <c r="E5" s="39">
        <v>211</v>
      </c>
      <c r="F5" s="40">
        <v>262</v>
      </c>
      <c r="G5" s="40">
        <v>310</v>
      </c>
      <c r="H5" s="40">
        <v>378</v>
      </c>
      <c r="I5" s="40">
        <v>442</v>
      </c>
      <c r="J5" s="40">
        <v>450</v>
      </c>
      <c r="K5" s="40">
        <v>454</v>
      </c>
      <c r="L5" s="41">
        <v>1768</v>
      </c>
      <c r="M5" s="39">
        <v>213</v>
      </c>
      <c r="N5" s="40">
        <v>306</v>
      </c>
      <c r="O5" s="40">
        <v>370</v>
      </c>
      <c r="P5" s="40">
        <v>466</v>
      </c>
      <c r="Q5" s="40">
        <v>572</v>
      </c>
      <c r="R5" s="40">
        <v>748</v>
      </c>
      <c r="S5" s="40">
        <v>1020</v>
      </c>
      <c r="T5" s="41">
        <v>3632</v>
      </c>
      <c r="V5" s="93"/>
      <c r="W5" s="96"/>
      <c r="X5" s="5">
        <v>0.5</v>
      </c>
      <c r="Y5" s="18">
        <f t="shared" si="0"/>
        <v>0.81042654028436023</v>
      </c>
      <c r="Z5" s="12">
        <f t="shared" si="0"/>
        <v>0.84351145038167941</v>
      </c>
      <c r="AA5" s="12">
        <f t="shared" si="0"/>
        <v>0.87096774193548387</v>
      </c>
      <c r="AB5" s="12">
        <f t="shared" si="0"/>
        <v>0.87301587301587302</v>
      </c>
      <c r="AC5" s="12">
        <f t="shared" si="0"/>
        <v>0.92760180995475117</v>
      </c>
      <c r="AD5" s="12">
        <f t="shared" si="0"/>
        <v>1.0977777777777777</v>
      </c>
      <c r="AE5" s="12">
        <f t="shared" si="0"/>
        <v>1.2951541850220265</v>
      </c>
      <c r="AF5" s="19">
        <f t="shared" si="0"/>
        <v>0.36877828054298645</v>
      </c>
      <c r="AG5" s="18">
        <f t="shared" si="0"/>
        <v>0.71830985915492962</v>
      </c>
      <c r="AH5" s="12">
        <f t="shared" si="0"/>
        <v>0.69607843137254899</v>
      </c>
      <c r="AI5" s="12">
        <f t="shared" si="0"/>
        <v>0.74054054054054053</v>
      </c>
      <c r="AJ5" s="12">
        <f t="shared" si="0"/>
        <v>0.75107296137339052</v>
      </c>
      <c r="AK5" s="12">
        <f t="shared" si="0"/>
        <v>0.79370629370629375</v>
      </c>
      <c r="AL5" s="12">
        <f t="shared" si="0"/>
        <v>0.80748663101604279</v>
      </c>
      <c r="AM5" s="12">
        <f t="shared" si="0"/>
        <v>0.75686274509803919</v>
      </c>
      <c r="AN5" s="19">
        <f t="shared" si="0"/>
        <v>0.33700440528634362</v>
      </c>
    </row>
    <row r="6" spans="2:40" ht="15" customHeight="1">
      <c r="B6" s="87"/>
      <c r="C6" s="90"/>
      <c r="D6" s="5">
        <v>0.75</v>
      </c>
      <c r="E6" s="39">
        <v>124</v>
      </c>
      <c r="F6" s="40">
        <v>199</v>
      </c>
      <c r="G6" s="40">
        <v>258</v>
      </c>
      <c r="H6" s="40">
        <v>314</v>
      </c>
      <c r="I6" s="40">
        <v>398</v>
      </c>
      <c r="J6" s="40">
        <v>532</v>
      </c>
      <c r="K6" s="40">
        <v>804</v>
      </c>
      <c r="L6" s="41">
        <v>2320</v>
      </c>
      <c r="M6" s="39">
        <v>112</v>
      </c>
      <c r="N6" s="40">
        <v>177</v>
      </c>
      <c r="O6" s="40">
        <v>270</v>
      </c>
      <c r="P6" s="40">
        <v>346</v>
      </c>
      <c r="Q6" s="40">
        <v>450</v>
      </c>
      <c r="R6" s="40">
        <v>588</v>
      </c>
      <c r="S6" s="40">
        <v>852</v>
      </c>
      <c r="T6" s="41">
        <v>2096</v>
      </c>
      <c r="V6" s="93"/>
      <c r="W6" s="96"/>
      <c r="X6" s="5">
        <v>0.75</v>
      </c>
      <c r="Y6" s="18">
        <f t="shared" si="0"/>
        <v>0.85483870967741937</v>
      </c>
      <c r="Z6" s="12">
        <f t="shared" si="0"/>
        <v>0.77889447236180909</v>
      </c>
      <c r="AA6" s="12">
        <f t="shared" si="0"/>
        <v>0.86434108527131781</v>
      </c>
      <c r="AB6" s="12">
        <f t="shared" si="0"/>
        <v>0.89808917197452232</v>
      </c>
      <c r="AC6" s="12">
        <f t="shared" si="0"/>
        <v>0.89949748743718594</v>
      </c>
      <c r="AD6" s="12">
        <f t="shared" si="0"/>
        <v>0.89849624060150379</v>
      </c>
      <c r="AE6" s="12">
        <f t="shared" si="0"/>
        <v>1.0099502487562189</v>
      </c>
      <c r="AF6" s="19">
        <f t="shared" si="0"/>
        <v>1.2620689655172415</v>
      </c>
      <c r="AG6" s="18">
        <f t="shared" si="0"/>
        <v>0.8303571428571429</v>
      </c>
      <c r="AH6" s="12">
        <f t="shared" si="0"/>
        <v>0.66666666666666663</v>
      </c>
      <c r="AI6" s="12">
        <f t="shared" si="0"/>
        <v>0.68518518518518523</v>
      </c>
      <c r="AJ6" s="12">
        <f t="shared" si="0"/>
        <v>0.73699421965317924</v>
      </c>
      <c r="AK6" s="12">
        <f t="shared" si="0"/>
        <v>0.76888888888888884</v>
      </c>
      <c r="AL6" s="12">
        <f t="shared" si="0"/>
        <v>0.81292517006802723</v>
      </c>
      <c r="AM6" s="12">
        <f t="shared" si="0"/>
        <v>0.81220657276995301</v>
      </c>
      <c r="AN6" s="19">
        <f t="shared" si="0"/>
        <v>0.91984732824427484</v>
      </c>
    </row>
    <row r="7" spans="2:40" ht="15" customHeight="1" thickBot="1">
      <c r="B7" s="87"/>
      <c r="C7" s="91"/>
      <c r="D7" s="6">
        <v>1</v>
      </c>
      <c r="E7" s="42">
        <v>69</v>
      </c>
      <c r="F7" s="43">
        <v>89</v>
      </c>
      <c r="G7" s="43">
        <v>106</v>
      </c>
      <c r="H7" s="43">
        <v>120</v>
      </c>
      <c r="I7" s="43">
        <v>159</v>
      </c>
      <c r="J7" s="43">
        <v>243</v>
      </c>
      <c r="K7" s="43">
        <v>446</v>
      </c>
      <c r="L7" s="44">
        <v>1064</v>
      </c>
      <c r="M7" s="42">
        <v>68</v>
      </c>
      <c r="N7" s="43">
        <v>72</v>
      </c>
      <c r="O7" s="43">
        <v>97</v>
      </c>
      <c r="P7" s="43">
        <v>108</v>
      </c>
      <c r="Q7" s="43">
        <v>125</v>
      </c>
      <c r="R7" s="43">
        <v>165</v>
      </c>
      <c r="S7" s="43">
        <v>241</v>
      </c>
      <c r="T7" s="44">
        <v>588</v>
      </c>
      <c r="V7" s="93"/>
      <c r="W7" s="97"/>
      <c r="X7" s="6">
        <v>1</v>
      </c>
      <c r="Y7" s="20">
        <f t="shared" si="0"/>
        <v>1</v>
      </c>
      <c r="Z7" s="21">
        <f t="shared" si="0"/>
        <v>1</v>
      </c>
      <c r="AA7" s="21">
        <f t="shared" si="0"/>
        <v>0.99056603773584906</v>
      </c>
      <c r="AB7" s="21">
        <f t="shared" si="0"/>
        <v>1.0083333333333333</v>
      </c>
      <c r="AC7" s="21">
        <f t="shared" si="0"/>
        <v>1</v>
      </c>
      <c r="AD7" s="21">
        <f t="shared" si="0"/>
        <v>0.99176954732510292</v>
      </c>
      <c r="AE7" s="21">
        <f t="shared" si="0"/>
        <v>0.99103139013452912</v>
      </c>
      <c r="AF7" s="22">
        <f t="shared" si="0"/>
        <v>0.98496240601503759</v>
      </c>
      <c r="AG7" s="20">
        <f t="shared" si="0"/>
        <v>1.0147058823529411</v>
      </c>
      <c r="AH7" s="21">
        <f t="shared" si="0"/>
        <v>1</v>
      </c>
      <c r="AI7" s="21">
        <f t="shared" si="0"/>
        <v>1</v>
      </c>
      <c r="AJ7" s="21">
        <f t="shared" si="0"/>
        <v>1</v>
      </c>
      <c r="AK7" s="21">
        <f t="shared" si="0"/>
        <v>1</v>
      </c>
      <c r="AL7" s="21">
        <f t="shared" si="0"/>
        <v>1</v>
      </c>
      <c r="AM7" s="21">
        <f t="shared" si="0"/>
        <v>1</v>
      </c>
      <c r="AN7" s="22">
        <f t="shared" si="0"/>
        <v>1</v>
      </c>
    </row>
    <row r="8" spans="2:40" ht="15" customHeight="1">
      <c r="B8" s="87"/>
      <c r="C8" s="89" t="s">
        <v>7</v>
      </c>
      <c r="D8" s="4">
        <v>0.25</v>
      </c>
      <c r="E8" s="36">
        <v>564</v>
      </c>
      <c r="F8" s="37">
        <v>852</v>
      </c>
      <c r="G8" s="37">
        <v>884</v>
      </c>
      <c r="H8" s="37">
        <v>924</v>
      </c>
      <c r="I8" s="37">
        <v>964</v>
      </c>
      <c r="J8" s="37">
        <v>980</v>
      </c>
      <c r="K8" s="37">
        <v>980</v>
      </c>
      <c r="L8" s="38">
        <v>1960</v>
      </c>
      <c r="M8" s="36">
        <v>740</v>
      </c>
      <c r="N8" s="37">
        <v>836</v>
      </c>
      <c r="O8" s="37">
        <v>884</v>
      </c>
      <c r="P8" s="37">
        <v>956</v>
      </c>
      <c r="Q8" s="37">
        <v>1020</v>
      </c>
      <c r="R8" s="37">
        <v>1096</v>
      </c>
      <c r="S8" s="37">
        <v>1176</v>
      </c>
      <c r="T8" s="38">
        <v>2960</v>
      </c>
      <c r="V8" s="93"/>
      <c r="W8" s="98" t="s">
        <v>7</v>
      </c>
      <c r="X8" s="4">
        <v>0.25</v>
      </c>
      <c r="Y8" s="15">
        <f t="shared" si="0"/>
        <v>0.9042553191489362</v>
      </c>
      <c r="Z8" s="16">
        <f t="shared" si="0"/>
        <v>0.67136150234741787</v>
      </c>
      <c r="AA8" s="16">
        <f t="shared" si="0"/>
        <v>1</v>
      </c>
      <c r="AB8" s="16">
        <f t="shared" si="0"/>
        <v>0.97402597402597402</v>
      </c>
      <c r="AC8" s="16">
        <f t="shared" si="0"/>
        <v>0.99170124481327804</v>
      </c>
      <c r="AD8" s="16">
        <f t="shared" si="0"/>
        <v>0.88571428571428568</v>
      </c>
      <c r="AE8" s="16">
        <f t="shared" si="0"/>
        <v>0.87755102040816324</v>
      </c>
      <c r="AF8" s="17">
        <f t="shared" si="0"/>
        <v>0.49183673469387756</v>
      </c>
      <c r="AG8" s="15">
        <f t="shared" si="0"/>
        <v>0.95675675675675675</v>
      </c>
      <c r="AH8" s="16">
        <f t="shared" si="0"/>
        <v>0.90430622009569372</v>
      </c>
      <c r="AI8" s="16">
        <f t="shared" si="0"/>
        <v>0.96380090497737558</v>
      </c>
      <c r="AJ8" s="16">
        <f t="shared" si="0"/>
        <v>0.94979079497907948</v>
      </c>
      <c r="AK8" s="16">
        <f t="shared" si="0"/>
        <v>1.0117647058823529</v>
      </c>
      <c r="AL8" s="16">
        <f t="shared" si="0"/>
        <v>1.0729927007299269</v>
      </c>
      <c r="AM8" s="16">
        <f t="shared" si="0"/>
        <v>1.1768707482993197</v>
      </c>
      <c r="AN8" s="17">
        <f t="shared" si="0"/>
        <v>0.59189189189189184</v>
      </c>
    </row>
    <row r="9" spans="2:40" ht="15" customHeight="1">
      <c r="B9" s="87"/>
      <c r="C9" s="90"/>
      <c r="D9" s="5">
        <v>0.5</v>
      </c>
      <c r="E9" s="39">
        <v>548</v>
      </c>
      <c r="F9" s="40">
        <v>572</v>
      </c>
      <c r="G9" s="40">
        <v>852</v>
      </c>
      <c r="H9" s="40">
        <v>884</v>
      </c>
      <c r="I9" s="40">
        <v>932</v>
      </c>
      <c r="J9" s="40">
        <v>1048</v>
      </c>
      <c r="K9" s="40">
        <v>1176</v>
      </c>
      <c r="L9" s="41">
        <v>2352</v>
      </c>
      <c r="M9" s="39">
        <v>724</v>
      </c>
      <c r="N9" s="40">
        <v>740</v>
      </c>
      <c r="O9" s="40">
        <v>804</v>
      </c>
      <c r="P9" s="40">
        <v>884</v>
      </c>
      <c r="Q9" s="40">
        <v>980</v>
      </c>
      <c r="R9" s="40">
        <v>1192</v>
      </c>
      <c r="S9" s="40">
        <v>1496</v>
      </c>
      <c r="T9" s="41">
        <v>4576</v>
      </c>
      <c r="V9" s="93"/>
      <c r="W9" s="96"/>
      <c r="X9" s="5">
        <v>0.5</v>
      </c>
      <c r="Y9" s="18">
        <f t="shared" si="0"/>
        <v>0.77007299270072993</v>
      </c>
      <c r="Z9" s="12">
        <f t="shared" si="0"/>
        <v>0.83566433566433562</v>
      </c>
      <c r="AA9" s="12">
        <f t="shared" si="0"/>
        <v>0.64319248826291076</v>
      </c>
      <c r="AB9" s="12">
        <f t="shared" si="0"/>
        <v>0.98190045248868774</v>
      </c>
      <c r="AC9" s="12">
        <f t="shared" si="0"/>
        <v>0.97424892703862664</v>
      </c>
      <c r="AD9" s="12">
        <f t="shared" si="0"/>
        <v>0.9274809160305344</v>
      </c>
      <c r="AE9" s="12">
        <f t="shared" si="0"/>
        <v>0.86054421768707479</v>
      </c>
      <c r="AF9" s="19">
        <f t="shared" si="0"/>
        <v>0.45238095238095238</v>
      </c>
      <c r="AG9" s="18">
        <f t="shared" si="0"/>
        <v>0.83425414364640882</v>
      </c>
      <c r="AH9" s="12">
        <f t="shared" si="0"/>
        <v>0.92432432432432432</v>
      </c>
      <c r="AI9" s="12">
        <f t="shared" si="0"/>
        <v>0.91044776119402981</v>
      </c>
      <c r="AJ9" s="12">
        <f t="shared" si="0"/>
        <v>0.96380090497737558</v>
      </c>
      <c r="AK9" s="12">
        <f t="shared" si="0"/>
        <v>0.92653061224489797</v>
      </c>
      <c r="AL9" s="12">
        <f t="shared" si="0"/>
        <v>0.91946308724832215</v>
      </c>
      <c r="AM9" s="12">
        <f t="shared" si="0"/>
        <v>0.97860962566844922</v>
      </c>
      <c r="AN9" s="19">
        <f t="shared" si="0"/>
        <v>0.59090909090909094</v>
      </c>
    </row>
    <row r="10" spans="2:40" ht="15" customHeight="1">
      <c r="B10" s="87"/>
      <c r="C10" s="90"/>
      <c r="D10" s="5">
        <v>0.75</v>
      </c>
      <c r="E10" s="39">
        <v>490</v>
      </c>
      <c r="F10" s="40">
        <v>524</v>
      </c>
      <c r="G10" s="40">
        <v>548</v>
      </c>
      <c r="H10" s="40">
        <v>708</v>
      </c>
      <c r="I10" s="40">
        <v>876</v>
      </c>
      <c r="J10" s="40">
        <v>988</v>
      </c>
      <c r="K10" s="40">
        <v>1336</v>
      </c>
      <c r="L10" s="41">
        <v>3120</v>
      </c>
      <c r="M10" s="39">
        <v>636</v>
      </c>
      <c r="N10" s="40">
        <v>700</v>
      </c>
      <c r="O10" s="40">
        <v>732</v>
      </c>
      <c r="P10" s="40">
        <v>772</v>
      </c>
      <c r="Q10" s="40">
        <v>884</v>
      </c>
      <c r="R10" s="40">
        <v>1064</v>
      </c>
      <c r="S10" s="40">
        <v>1384</v>
      </c>
      <c r="T10" s="41">
        <v>2704</v>
      </c>
      <c r="V10" s="93"/>
      <c r="W10" s="96"/>
      <c r="X10" s="5">
        <v>0.75</v>
      </c>
      <c r="Y10" s="18">
        <f t="shared" si="0"/>
        <v>0.73061224489795917</v>
      </c>
      <c r="Z10" s="12">
        <f t="shared" si="0"/>
        <v>0.77480916030534353</v>
      </c>
      <c r="AA10" s="12">
        <f t="shared" si="0"/>
        <v>0.85766423357664234</v>
      </c>
      <c r="AB10" s="12">
        <f t="shared" si="0"/>
        <v>0.77401129943502822</v>
      </c>
      <c r="AC10" s="12">
        <f t="shared" si="0"/>
        <v>0.87214611872146119</v>
      </c>
      <c r="AD10" s="12">
        <f t="shared" si="0"/>
        <v>0.95141700404858298</v>
      </c>
      <c r="AE10" s="12">
        <f t="shared" si="0"/>
        <v>1.2994011976047903</v>
      </c>
      <c r="AF10" s="19">
        <f t="shared" si="0"/>
        <v>1.7538461538461538</v>
      </c>
      <c r="AG10" s="18">
        <f t="shared" si="0"/>
        <v>0.78930817610062898</v>
      </c>
      <c r="AH10" s="12">
        <f t="shared" si="0"/>
        <v>0.78285714285714281</v>
      </c>
      <c r="AI10" s="12">
        <f t="shared" si="0"/>
        <v>0.8797814207650273</v>
      </c>
      <c r="AJ10" s="12">
        <f t="shared" si="0"/>
        <v>0.90673575129533679</v>
      </c>
      <c r="AK10" s="12">
        <f t="shared" si="0"/>
        <v>0.93665158371040724</v>
      </c>
      <c r="AL10" s="12">
        <f t="shared" si="0"/>
        <v>0.92105263157894735</v>
      </c>
      <c r="AM10" s="12">
        <f t="shared" si="0"/>
        <v>1.046242774566474</v>
      </c>
      <c r="AN10" s="19">
        <f t="shared" si="0"/>
        <v>1.2603550295857988</v>
      </c>
    </row>
    <row r="11" spans="2:40" ht="15" customHeight="1" thickBot="1">
      <c r="B11" s="87"/>
      <c r="C11" s="91"/>
      <c r="D11" s="6">
        <v>1</v>
      </c>
      <c r="E11" s="42">
        <v>89</v>
      </c>
      <c r="F11" s="43">
        <v>120</v>
      </c>
      <c r="G11" s="43">
        <v>153</v>
      </c>
      <c r="H11" s="43">
        <v>193</v>
      </c>
      <c r="I11" s="43">
        <v>270</v>
      </c>
      <c r="J11" s="43">
        <v>442</v>
      </c>
      <c r="K11" s="43">
        <v>812</v>
      </c>
      <c r="L11" s="44">
        <v>1864</v>
      </c>
      <c r="M11" s="42">
        <v>73</v>
      </c>
      <c r="N11" s="43">
        <v>117</v>
      </c>
      <c r="O11" s="43">
        <v>139</v>
      </c>
      <c r="P11" s="43">
        <v>161</v>
      </c>
      <c r="Q11" s="43">
        <v>203</v>
      </c>
      <c r="R11" s="43">
        <v>282</v>
      </c>
      <c r="S11" s="43">
        <v>422</v>
      </c>
      <c r="T11" s="44">
        <v>780</v>
      </c>
      <c r="V11" s="93"/>
      <c r="W11" s="97"/>
      <c r="X11" s="6">
        <v>1</v>
      </c>
      <c r="Y11" s="20">
        <f t="shared" si="0"/>
        <v>1</v>
      </c>
      <c r="Z11" s="21">
        <f t="shared" si="0"/>
        <v>1</v>
      </c>
      <c r="AA11" s="21">
        <f t="shared" si="0"/>
        <v>1</v>
      </c>
      <c r="AB11" s="21">
        <f t="shared" si="0"/>
        <v>1</v>
      </c>
      <c r="AC11" s="21">
        <f t="shared" si="0"/>
        <v>0.98518518518518516</v>
      </c>
      <c r="AD11" s="21">
        <f t="shared" si="0"/>
        <v>0.97285067873303166</v>
      </c>
      <c r="AE11" s="21">
        <f t="shared" si="0"/>
        <v>0.99014778325123154</v>
      </c>
      <c r="AF11" s="22">
        <f t="shared" si="0"/>
        <v>0.93133047210300424</v>
      </c>
      <c r="AG11" s="20">
        <f t="shared" si="0"/>
        <v>1.0136986301369864</v>
      </c>
      <c r="AH11" s="21">
        <f t="shared" si="0"/>
        <v>1</v>
      </c>
      <c r="AI11" s="21">
        <f t="shared" si="0"/>
        <v>1</v>
      </c>
      <c r="AJ11" s="21">
        <f t="shared" si="0"/>
        <v>1</v>
      </c>
      <c r="AK11" s="21">
        <f t="shared" si="0"/>
        <v>1</v>
      </c>
      <c r="AL11" s="21">
        <f t="shared" si="0"/>
        <v>1.0141843971631206</v>
      </c>
      <c r="AM11" s="21">
        <f t="shared" si="0"/>
        <v>1.0094786729857821</v>
      </c>
      <c r="AN11" s="22">
        <f t="shared" si="0"/>
        <v>1</v>
      </c>
    </row>
    <row r="12" spans="2:40" ht="15" customHeight="1">
      <c r="B12" s="87"/>
      <c r="C12" s="89" t="s">
        <v>8</v>
      </c>
      <c r="D12" s="4">
        <v>0.25</v>
      </c>
      <c r="E12" s="36">
        <v>8756</v>
      </c>
      <c r="F12" s="37">
        <v>15101</v>
      </c>
      <c r="G12" s="37">
        <v>23216</v>
      </c>
      <c r="H12" s="37">
        <v>25972</v>
      </c>
      <c r="I12" s="37">
        <v>25990</v>
      </c>
      <c r="J12" s="37">
        <v>26000</v>
      </c>
      <c r="K12" s="37">
        <v>25991</v>
      </c>
      <c r="L12" s="38">
        <v>26369</v>
      </c>
      <c r="M12" s="36">
        <v>8808</v>
      </c>
      <c r="N12" s="37">
        <v>15496</v>
      </c>
      <c r="O12" s="37">
        <v>24558</v>
      </c>
      <c r="P12" s="37">
        <v>31952</v>
      </c>
      <c r="Q12" s="37">
        <v>31810</v>
      </c>
      <c r="R12" s="37">
        <v>31821</v>
      </c>
      <c r="S12" s="37">
        <v>31857</v>
      </c>
      <c r="T12" s="38">
        <v>32587</v>
      </c>
      <c r="V12" s="93"/>
      <c r="W12" s="98" t="s">
        <v>8</v>
      </c>
      <c r="X12" s="4">
        <v>0.25</v>
      </c>
      <c r="Y12" s="15">
        <f t="shared" si="0"/>
        <v>1.0805162174508909</v>
      </c>
      <c r="Z12" s="16">
        <f t="shared" si="0"/>
        <v>1.1366134693066685</v>
      </c>
      <c r="AA12" s="16">
        <f t="shared" si="0"/>
        <v>1.2210975189524467</v>
      </c>
      <c r="AB12" s="16">
        <f t="shared" si="0"/>
        <v>1.7124980748498382</v>
      </c>
      <c r="AC12" s="16">
        <f t="shared" si="0"/>
        <v>2.811658330126972</v>
      </c>
      <c r="AD12" s="16">
        <f t="shared" si="0"/>
        <v>2.924576923076923</v>
      </c>
      <c r="AE12" s="16">
        <f t="shared" si="0"/>
        <v>2.9262436997422183</v>
      </c>
      <c r="AF12" s="17">
        <f t="shared" si="0"/>
        <v>2.8833099472865866</v>
      </c>
      <c r="AG12" s="15">
        <f t="shared" si="0"/>
        <v>1.0986603088101725</v>
      </c>
      <c r="AH12" s="16">
        <f t="shared" si="0"/>
        <v>1.1622354155911203</v>
      </c>
      <c r="AI12" s="16">
        <f t="shared" si="0"/>
        <v>1.2665526508673344</v>
      </c>
      <c r="AJ12" s="16">
        <f t="shared" si="0"/>
        <v>1.5092013019529293</v>
      </c>
      <c r="AK12" s="16">
        <f t="shared" si="0"/>
        <v>2.1301477522791576</v>
      </c>
      <c r="AL12" s="16">
        <f t="shared" si="0"/>
        <v>3.2614311303855943</v>
      </c>
      <c r="AM12" s="16">
        <f t="shared" si="0"/>
        <v>3.8410082556424019</v>
      </c>
      <c r="AN12" s="17">
        <f t="shared" si="0"/>
        <v>3.6960751219811581</v>
      </c>
    </row>
    <row r="13" spans="2:40" ht="15" customHeight="1">
      <c r="B13" s="87"/>
      <c r="C13" s="90"/>
      <c r="D13" s="5">
        <v>0.5</v>
      </c>
      <c r="E13" s="39">
        <v>12132</v>
      </c>
      <c r="F13" s="40">
        <v>22238</v>
      </c>
      <c r="G13" s="40">
        <v>37608</v>
      </c>
      <c r="H13" s="40">
        <v>54766</v>
      </c>
      <c r="I13" s="40">
        <v>63361</v>
      </c>
      <c r="J13" s="40">
        <v>63398</v>
      </c>
      <c r="K13" s="40">
        <v>63336</v>
      </c>
      <c r="L13" s="41">
        <v>67324</v>
      </c>
      <c r="M13" s="39">
        <v>12181</v>
      </c>
      <c r="N13" s="40">
        <v>22614</v>
      </c>
      <c r="O13" s="40">
        <v>39507</v>
      </c>
      <c r="P13" s="40">
        <v>61419</v>
      </c>
      <c r="Q13" s="40">
        <v>82009</v>
      </c>
      <c r="R13" s="40">
        <v>80629</v>
      </c>
      <c r="S13" s="40">
        <v>80560</v>
      </c>
      <c r="T13" s="41">
        <v>86977</v>
      </c>
      <c r="V13" s="93"/>
      <c r="W13" s="96"/>
      <c r="X13" s="5">
        <v>0.5</v>
      </c>
      <c r="Y13" s="18">
        <f t="shared" si="0"/>
        <v>1.0561325420375864</v>
      </c>
      <c r="Z13" s="12">
        <f t="shared" si="0"/>
        <v>1.0822016368378451</v>
      </c>
      <c r="AA13" s="12">
        <f t="shared" si="0"/>
        <v>1.1259572431397575</v>
      </c>
      <c r="AB13" s="12">
        <f t="shared" si="0"/>
        <v>1.2309644670050761</v>
      </c>
      <c r="AC13" s="12">
        <f t="shared" si="0"/>
        <v>1.4722778996543615</v>
      </c>
      <c r="AD13" s="12">
        <f t="shared" si="0"/>
        <v>2.2230354269850783</v>
      </c>
      <c r="AE13" s="12">
        <f t="shared" si="0"/>
        <v>2.4088985726916761</v>
      </c>
      <c r="AF13" s="19">
        <f t="shared" si="0"/>
        <v>2.2682995662765135</v>
      </c>
      <c r="AG13" s="18">
        <f t="shared" si="0"/>
        <v>1.0691240456448567</v>
      </c>
      <c r="AH13" s="12">
        <f t="shared" si="0"/>
        <v>1.0908286901919164</v>
      </c>
      <c r="AI13" s="12">
        <f t="shared" si="0"/>
        <v>1.150302478041866</v>
      </c>
      <c r="AJ13" s="12">
        <f t="shared" si="0"/>
        <v>1.2480665592080626</v>
      </c>
      <c r="AK13" s="12">
        <f t="shared" si="0"/>
        <v>1.3974076016047019</v>
      </c>
      <c r="AL13" s="12">
        <f t="shared" si="0"/>
        <v>1.8526088628161084</v>
      </c>
      <c r="AM13" s="12">
        <f t="shared" si="0"/>
        <v>2.6209657398212514</v>
      </c>
      <c r="AN13" s="19">
        <f t="shared" si="0"/>
        <v>2.7777458408544788</v>
      </c>
    </row>
    <row r="14" spans="2:40" ht="15" customHeight="1">
      <c r="B14" s="87"/>
      <c r="C14" s="90"/>
      <c r="D14" s="5">
        <v>0.75</v>
      </c>
      <c r="E14" s="39">
        <v>14184</v>
      </c>
      <c r="F14" s="40">
        <v>26963</v>
      </c>
      <c r="G14" s="40">
        <v>49124</v>
      </c>
      <c r="H14" s="40">
        <v>82011</v>
      </c>
      <c r="I14" s="40">
        <v>114783</v>
      </c>
      <c r="J14" s="40">
        <v>131257</v>
      </c>
      <c r="K14" s="40">
        <v>131396</v>
      </c>
      <c r="L14" s="41">
        <v>131223</v>
      </c>
      <c r="M14" s="39">
        <v>14179</v>
      </c>
      <c r="N14" s="40">
        <v>27217</v>
      </c>
      <c r="O14" s="40">
        <v>50504</v>
      </c>
      <c r="P14" s="40">
        <v>88442</v>
      </c>
      <c r="Q14" s="40">
        <v>136645</v>
      </c>
      <c r="R14" s="40">
        <v>175814</v>
      </c>
      <c r="S14" s="40">
        <v>178548</v>
      </c>
      <c r="T14" s="41">
        <v>178267</v>
      </c>
      <c r="V14" s="93"/>
      <c r="W14" s="96"/>
      <c r="X14" s="5">
        <v>0.75</v>
      </c>
      <c r="Y14" s="18">
        <f t="shared" si="0"/>
        <v>1.038141567963903</v>
      </c>
      <c r="Z14" s="12">
        <f t="shared" si="0"/>
        <v>1.05414827726885</v>
      </c>
      <c r="AA14" s="12">
        <f t="shared" si="0"/>
        <v>1.0692533181337025</v>
      </c>
      <c r="AB14" s="12">
        <f t="shared" si="0"/>
        <v>1.1024496713855458</v>
      </c>
      <c r="AC14" s="12">
        <f t="shared" si="0"/>
        <v>1.1986879590183215</v>
      </c>
      <c r="AD14" s="12">
        <f t="shared" si="0"/>
        <v>1.3240436700518829</v>
      </c>
      <c r="AE14" s="12">
        <f t="shared" si="0"/>
        <v>1.7364912173886571</v>
      </c>
      <c r="AF14" s="19">
        <f t="shared" si="0"/>
        <v>2.2496132537741098</v>
      </c>
      <c r="AG14" s="18">
        <f t="shared" si="0"/>
        <v>1.0489456238098596</v>
      </c>
      <c r="AH14" s="12">
        <f t="shared" si="0"/>
        <v>1.0645919829518316</v>
      </c>
      <c r="AI14" s="12">
        <f t="shared" si="0"/>
        <v>1.0836963408838904</v>
      </c>
      <c r="AJ14" s="12">
        <f t="shared" si="0"/>
        <v>1.1306505958707402</v>
      </c>
      <c r="AK14" s="12">
        <f t="shared" si="0"/>
        <v>1.2073255516118409</v>
      </c>
      <c r="AL14" s="12">
        <f t="shared" si="0"/>
        <v>1.3350302023729623</v>
      </c>
      <c r="AM14" s="12">
        <f t="shared" si="0"/>
        <v>1.5653885789815625</v>
      </c>
      <c r="AN14" s="19">
        <f t="shared" si="0"/>
        <v>2.1002092367067378</v>
      </c>
    </row>
    <row r="15" spans="2:40" ht="15" customHeight="1" thickBot="1">
      <c r="B15" s="88"/>
      <c r="C15" s="91"/>
      <c r="D15" s="6">
        <v>1</v>
      </c>
      <c r="E15" s="42">
        <v>16021</v>
      </c>
      <c r="F15" s="43">
        <v>31636</v>
      </c>
      <c r="G15" s="43">
        <v>61560</v>
      </c>
      <c r="H15" s="43">
        <v>116595</v>
      </c>
      <c r="I15" s="43">
        <v>209313</v>
      </c>
      <c r="J15" s="43">
        <v>337565</v>
      </c>
      <c r="K15" s="43">
        <v>459584</v>
      </c>
      <c r="L15" s="44">
        <v>520562</v>
      </c>
      <c r="M15" s="42">
        <v>16055</v>
      </c>
      <c r="N15" s="43">
        <v>31865</v>
      </c>
      <c r="O15" s="43">
        <v>62566</v>
      </c>
      <c r="P15" s="43">
        <v>120897</v>
      </c>
      <c r="Q15" s="43">
        <v>226197</v>
      </c>
      <c r="R15" s="43">
        <v>395547</v>
      </c>
      <c r="S15" s="43">
        <v>541645</v>
      </c>
      <c r="T15" s="44">
        <v>552642</v>
      </c>
      <c r="V15" s="94"/>
      <c r="W15" s="97"/>
      <c r="X15" s="6">
        <v>1</v>
      </c>
      <c r="Y15" s="20">
        <f t="shared" si="0"/>
        <v>1.0001248361525499</v>
      </c>
      <c r="Z15" s="21">
        <f t="shared" si="0"/>
        <v>1.0001896573523834</v>
      </c>
      <c r="AA15" s="21">
        <f t="shared" si="0"/>
        <v>0.99988628979857053</v>
      </c>
      <c r="AB15" s="21">
        <f t="shared" si="0"/>
        <v>0.99992280972597458</v>
      </c>
      <c r="AC15" s="21">
        <f t="shared" si="0"/>
        <v>1.0002102115014357</v>
      </c>
      <c r="AD15" s="21">
        <f t="shared" si="0"/>
        <v>1.0004650956112155</v>
      </c>
      <c r="AE15" s="21">
        <f t="shared" si="0"/>
        <v>1.0003960103049714</v>
      </c>
      <c r="AF15" s="22">
        <f t="shared" si="0"/>
        <v>0.99677463971630664</v>
      </c>
      <c r="AG15" s="20">
        <f t="shared" si="0"/>
        <v>0.99912799750856429</v>
      </c>
      <c r="AH15" s="21">
        <f t="shared" si="0"/>
        <v>0.99918405774360586</v>
      </c>
      <c r="AI15" s="21">
        <f t="shared" si="0"/>
        <v>0.99904101269059875</v>
      </c>
      <c r="AJ15" s="21">
        <f t="shared" si="0"/>
        <v>0.99922247863884128</v>
      </c>
      <c r="AK15" s="21">
        <f t="shared" si="0"/>
        <v>0.99940317510842314</v>
      </c>
      <c r="AL15" s="21">
        <f t="shared" si="0"/>
        <v>0.99878396246210943</v>
      </c>
      <c r="AM15" s="21">
        <f t="shared" si="0"/>
        <v>0.99522380895235807</v>
      </c>
      <c r="AN15" s="22">
        <f t="shared" si="0"/>
        <v>0.99607159788796362</v>
      </c>
    </row>
    <row r="16" spans="2:40" ht="15" customHeight="1">
      <c r="B16" s="83" t="s">
        <v>9</v>
      </c>
      <c r="C16" s="98" t="s">
        <v>6</v>
      </c>
      <c r="D16" s="4">
        <v>0.25</v>
      </c>
      <c r="E16" s="36">
        <v>11</v>
      </c>
      <c r="F16" s="37">
        <v>13</v>
      </c>
      <c r="G16" s="37">
        <v>15</v>
      </c>
      <c r="H16" s="37">
        <v>17</v>
      </c>
      <c r="I16" s="37">
        <v>19</v>
      </c>
      <c r="J16" s="37">
        <v>25</v>
      </c>
      <c r="K16" s="37">
        <v>57</v>
      </c>
      <c r="L16" s="38">
        <v>57</v>
      </c>
      <c r="M16" s="36">
        <v>11</v>
      </c>
      <c r="N16" s="37">
        <v>13</v>
      </c>
      <c r="O16" s="37">
        <v>15</v>
      </c>
      <c r="P16" s="37">
        <v>17</v>
      </c>
      <c r="Q16" s="37">
        <v>20</v>
      </c>
      <c r="R16" s="37">
        <v>23</v>
      </c>
      <c r="S16" s="37">
        <v>22</v>
      </c>
      <c r="T16" s="38">
        <v>23</v>
      </c>
      <c r="V16" s="86" t="s">
        <v>9</v>
      </c>
      <c r="W16" s="98" t="s">
        <v>6</v>
      </c>
      <c r="X16" s="4">
        <v>0.25</v>
      </c>
      <c r="Y16" s="15">
        <f t="shared" si="0"/>
        <v>0.90909090909090906</v>
      </c>
      <c r="Z16" s="16">
        <f t="shared" si="0"/>
        <v>1</v>
      </c>
      <c r="AA16" s="16">
        <f t="shared" si="0"/>
        <v>0.93333333333333335</v>
      </c>
      <c r="AB16" s="16">
        <f t="shared" si="0"/>
        <v>1</v>
      </c>
      <c r="AC16" s="16">
        <f t="shared" si="0"/>
        <v>1.0526315789473684</v>
      </c>
      <c r="AD16" s="16">
        <f t="shared" si="0"/>
        <v>0.88</v>
      </c>
      <c r="AE16" s="16">
        <f t="shared" si="0"/>
        <v>0.43859649122807015</v>
      </c>
      <c r="AF16" s="17">
        <f t="shared" si="0"/>
        <v>19.228070175438596</v>
      </c>
      <c r="AG16" s="15">
        <f t="shared" si="0"/>
        <v>0.90909090909090906</v>
      </c>
      <c r="AH16" s="16">
        <f t="shared" si="0"/>
        <v>1</v>
      </c>
      <c r="AI16" s="16">
        <f t="shared" si="0"/>
        <v>0.93333333333333335</v>
      </c>
      <c r="AJ16" s="16">
        <f t="shared" si="0"/>
        <v>1</v>
      </c>
      <c r="AK16" s="16">
        <f t="shared" si="0"/>
        <v>1.05</v>
      </c>
      <c r="AL16" s="16">
        <f t="shared" si="0"/>
        <v>1.2608695652173914</v>
      </c>
      <c r="AM16" s="16">
        <f t="shared" si="0"/>
        <v>2.9545454545454546</v>
      </c>
      <c r="AN16" s="17">
        <f t="shared" si="0"/>
        <v>18.347826086956523</v>
      </c>
    </row>
    <row r="17" spans="2:40" ht="15" customHeight="1">
      <c r="B17" s="93"/>
      <c r="C17" s="96"/>
      <c r="D17" s="5">
        <v>0.5</v>
      </c>
      <c r="E17" s="39">
        <v>11</v>
      </c>
      <c r="F17" s="40">
        <v>13</v>
      </c>
      <c r="G17" s="40">
        <v>15</v>
      </c>
      <c r="H17" s="40">
        <v>17</v>
      </c>
      <c r="I17" s="40">
        <v>169</v>
      </c>
      <c r="J17" s="40">
        <v>482</v>
      </c>
      <c r="K17" s="40">
        <v>1080</v>
      </c>
      <c r="L17" s="41">
        <v>3664</v>
      </c>
      <c r="M17" s="39">
        <v>12</v>
      </c>
      <c r="N17" s="40">
        <v>13</v>
      </c>
      <c r="O17" s="40">
        <v>15</v>
      </c>
      <c r="P17" s="40">
        <v>18</v>
      </c>
      <c r="Q17" s="40">
        <v>20</v>
      </c>
      <c r="R17" s="40">
        <v>402</v>
      </c>
      <c r="S17" s="40">
        <v>892</v>
      </c>
      <c r="T17" s="41">
        <v>3376</v>
      </c>
      <c r="V17" s="87"/>
      <c r="W17" s="96"/>
      <c r="X17" s="5">
        <v>0.5</v>
      </c>
      <c r="Y17" s="18">
        <f t="shared" si="0"/>
        <v>0.90909090909090906</v>
      </c>
      <c r="Z17" s="12">
        <f t="shared" si="0"/>
        <v>1</v>
      </c>
      <c r="AA17" s="12">
        <f t="shared" si="0"/>
        <v>1</v>
      </c>
      <c r="AB17" s="12">
        <f t="shared" si="0"/>
        <v>1.0588235294117647</v>
      </c>
      <c r="AC17" s="12">
        <f t="shared" si="0"/>
        <v>0.11834319526627218</v>
      </c>
      <c r="AD17" s="12">
        <f t="shared" si="0"/>
        <v>4.5643153526970952E-2</v>
      </c>
      <c r="AE17" s="12">
        <f t="shared" si="0"/>
        <v>0.77407407407407403</v>
      </c>
      <c r="AF17" s="19">
        <f t="shared" si="0"/>
        <v>0.72052401746724892</v>
      </c>
      <c r="AG17" s="18">
        <f t="shared" si="0"/>
        <v>0.83333333333333337</v>
      </c>
      <c r="AH17" s="12">
        <f t="shared" si="0"/>
        <v>1</v>
      </c>
      <c r="AI17" s="12">
        <f t="shared" si="0"/>
        <v>1</v>
      </c>
      <c r="AJ17" s="12">
        <f t="shared" si="0"/>
        <v>1</v>
      </c>
      <c r="AK17" s="12">
        <f t="shared" si="0"/>
        <v>1.1000000000000001</v>
      </c>
      <c r="AL17" s="12">
        <f t="shared" si="0"/>
        <v>6.7164179104477612E-2</v>
      </c>
      <c r="AM17" s="12">
        <f t="shared" si="0"/>
        <v>7.623318385650224E-2</v>
      </c>
      <c r="AN17" s="19">
        <f t="shared" si="0"/>
        <v>0.13447867298578198</v>
      </c>
    </row>
    <row r="18" spans="2:40" ht="15" customHeight="1">
      <c r="B18" s="93"/>
      <c r="C18" s="96"/>
      <c r="D18" s="5">
        <v>0.75</v>
      </c>
      <c r="E18" s="39">
        <v>11</v>
      </c>
      <c r="F18" s="40">
        <v>13</v>
      </c>
      <c r="G18" s="40">
        <v>15</v>
      </c>
      <c r="H18" s="40">
        <v>120</v>
      </c>
      <c r="I18" s="40">
        <v>243</v>
      </c>
      <c r="J18" s="40">
        <v>486</v>
      </c>
      <c r="K18" s="40">
        <v>980</v>
      </c>
      <c r="L18" s="41">
        <v>3824</v>
      </c>
      <c r="M18" s="39">
        <v>13</v>
      </c>
      <c r="N18" s="40">
        <v>13</v>
      </c>
      <c r="O18" s="40">
        <v>15</v>
      </c>
      <c r="P18" s="40">
        <v>106</v>
      </c>
      <c r="Q18" s="40">
        <v>241</v>
      </c>
      <c r="R18" s="40">
        <v>486</v>
      </c>
      <c r="S18" s="40">
        <v>972</v>
      </c>
      <c r="T18" s="41">
        <v>3856</v>
      </c>
      <c r="V18" s="87"/>
      <c r="W18" s="96"/>
      <c r="X18" s="5">
        <v>0.75</v>
      </c>
      <c r="Y18" s="18">
        <f t="shared" si="0"/>
        <v>0.90909090909090906</v>
      </c>
      <c r="Z18" s="12">
        <f t="shared" si="0"/>
        <v>1</v>
      </c>
      <c r="AA18" s="12">
        <f t="shared" si="0"/>
        <v>1</v>
      </c>
      <c r="AB18" s="12">
        <f t="shared" si="0"/>
        <v>0.15833333333333333</v>
      </c>
      <c r="AC18" s="12">
        <f t="shared" si="0"/>
        <v>9.0534979423868317E-2</v>
      </c>
      <c r="AD18" s="12">
        <f t="shared" si="0"/>
        <v>1</v>
      </c>
      <c r="AE18" s="12">
        <f t="shared" si="0"/>
        <v>0.88571428571428568</v>
      </c>
      <c r="AF18" s="19">
        <f t="shared" si="0"/>
        <v>0.55648535564853552</v>
      </c>
      <c r="AG18" s="18">
        <f t="shared" si="0"/>
        <v>0.84615384615384615</v>
      </c>
      <c r="AH18" s="12">
        <f t="shared" si="0"/>
        <v>1</v>
      </c>
      <c r="AI18" s="12">
        <f t="shared" si="0"/>
        <v>1.0666666666666667</v>
      </c>
      <c r="AJ18" s="12">
        <f t="shared" si="0"/>
        <v>0.18867924528301888</v>
      </c>
      <c r="AK18" s="12">
        <f t="shared" si="0"/>
        <v>9.1286307053941904E-2</v>
      </c>
      <c r="AL18" s="12">
        <f t="shared" si="0"/>
        <v>9.0534979423868317E-2</v>
      </c>
      <c r="AM18" s="12">
        <f t="shared" si="0"/>
        <v>0.10905349794238683</v>
      </c>
      <c r="AN18" s="19">
        <f t="shared" si="0"/>
        <v>0.1312240663900415</v>
      </c>
    </row>
    <row r="19" spans="2:40" ht="15" customHeight="1" thickBot="1">
      <c r="B19" s="93"/>
      <c r="C19" s="97"/>
      <c r="D19" s="6">
        <v>1</v>
      </c>
      <c r="E19" s="42">
        <v>11</v>
      </c>
      <c r="F19" s="43">
        <v>32</v>
      </c>
      <c r="G19" s="43">
        <v>64</v>
      </c>
      <c r="H19" s="43">
        <v>100</v>
      </c>
      <c r="I19" s="43">
        <v>201</v>
      </c>
      <c r="J19" s="43">
        <v>374</v>
      </c>
      <c r="K19" s="43">
        <v>748</v>
      </c>
      <c r="L19" s="44">
        <v>2928</v>
      </c>
      <c r="M19" s="42">
        <v>11</v>
      </c>
      <c r="N19" s="43">
        <v>18</v>
      </c>
      <c r="O19" s="43">
        <v>37</v>
      </c>
      <c r="P19" s="43">
        <v>75</v>
      </c>
      <c r="Q19" s="43">
        <v>151</v>
      </c>
      <c r="R19" s="43">
        <v>302</v>
      </c>
      <c r="S19" s="43">
        <v>612</v>
      </c>
      <c r="T19" s="44">
        <v>2448</v>
      </c>
      <c r="V19" s="87"/>
      <c r="W19" s="97"/>
      <c r="X19" s="6">
        <v>1</v>
      </c>
      <c r="Y19" s="20">
        <f t="shared" si="0"/>
        <v>1</v>
      </c>
      <c r="Z19" s="21">
        <f t="shared" si="0"/>
        <v>0.40625</v>
      </c>
      <c r="AA19" s="21">
        <f t="shared" si="0"/>
        <v>0.28125</v>
      </c>
      <c r="AB19" s="21">
        <f t="shared" si="0"/>
        <v>2.74</v>
      </c>
      <c r="AC19" s="21">
        <f t="shared" si="0"/>
        <v>1.4825870646766168</v>
      </c>
      <c r="AD19" s="21">
        <f t="shared" si="0"/>
        <v>0.91443850267379678</v>
      </c>
      <c r="AE19" s="21">
        <f t="shared" si="0"/>
        <v>0.59625668449197866</v>
      </c>
      <c r="AF19" s="22">
        <f t="shared" si="0"/>
        <v>0.40710382513661203</v>
      </c>
      <c r="AG19" s="20">
        <f t="shared" si="0"/>
        <v>1</v>
      </c>
      <c r="AH19" s="21">
        <f t="shared" si="0"/>
        <v>0.72222222222222221</v>
      </c>
      <c r="AI19" s="21">
        <f t="shared" si="0"/>
        <v>0.48648648648648651</v>
      </c>
      <c r="AJ19" s="21">
        <f t="shared" si="0"/>
        <v>0.24</v>
      </c>
      <c r="AK19" s="21">
        <f t="shared" si="0"/>
        <v>0.2251655629139073</v>
      </c>
      <c r="AL19" s="21">
        <f t="shared" si="0"/>
        <v>0.22847682119205298</v>
      </c>
      <c r="AM19" s="21">
        <f t="shared" si="0"/>
        <v>0.22058823529411764</v>
      </c>
      <c r="AN19" s="22">
        <f t="shared" ref="AN19:AN27" si="1">T46/T19</f>
        <v>0.21405228758169934</v>
      </c>
    </row>
    <row r="20" spans="2:40" ht="15" customHeight="1">
      <c r="B20" s="93"/>
      <c r="C20" s="98" t="s">
        <v>7</v>
      </c>
      <c r="D20" s="4">
        <v>0.25</v>
      </c>
      <c r="E20" s="36">
        <v>16</v>
      </c>
      <c r="F20" s="37">
        <v>17</v>
      </c>
      <c r="G20" s="37">
        <v>19</v>
      </c>
      <c r="H20" s="37">
        <v>22</v>
      </c>
      <c r="I20" s="37">
        <v>27</v>
      </c>
      <c r="J20" s="37">
        <v>105</v>
      </c>
      <c r="K20" s="37">
        <v>143</v>
      </c>
      <c r="L20" s="38">
        <v>143</v>
      </c>
      <c r="M20" s="36">
        <v>27</v>
      </c>
      <c r="N20" s="37">
        <v>29</v>
      </c>
      <c r="O20" s="37">
        <v>27</v>
      </c>
      <c r="P20" s="37">
        <v>23</v>
      </c>
      <c r="Q20" s="37">
        <v>28</v>
      </c>
      <c r="R20" s="37">
        <v>33</v>
      </c>
      <c r="S20" s="37">
        <v>72</v>
      </c>
      <c r="T20" s="38">
        <v>354</v>
      </c>
      <c r="V20" s="87"/>
      <c r="W20" s="98" t="s">
        <v>7</v>
      </c>
      <c r="X20" s="4">
        <v>0.25</v>
      </c>
      <c r="Y20" s="15">
        <f t="shared" ref="Y20:AM27" si="2">E47/E20</f>
        <v>0.9375</v>
      </c>
      <c r="Z20" s="16">
        <f t="shared" si="2"/>
        <v>1</v>
      </c>
      <c r="AA20" s="16">
        <f t="shared" si="2"/>
        <v>1</v>
      </c>
      <c r="AB20" s="16">
        <f t="shared" si="2"/>
        <v>1</v>
      </c>
      <c r="AC20" s="16">
        <f t="shared" si="2"/>
        <v>1</v>
      </c>
      <c r="AD20" s="16">
        <f t="shared" si="2"/>
        <v>0.32380952380952382</v>
      </c>
      <c r="AE20" s="16">
        <f t="shared" si="2"/>
        <v>0.42657342657342656</v>
      </c>
      <c r="AF20" s="17">
        <f t="shared" si="2"/>
        <v>53.48251748251748</v>
      </c>
      <c r="AG20" s="15">
        <f t="shared" si="2"/>
        <v>0.96296296296296291</v>
      </c>
      <c r="AH20" s="16">
        <f t="shared" si="2"/>
        <v>0.7931034482758621</v>
      </c>
      <c r="AI20" s="16">
        <f t="shared" si="2"/>
        <v>0.70370370370370372</v>
      </c>
      <c r="AJ20" s="16">
        <f t="shared" si="2"/>
        <v>0.95652173913043481</v>
      </c>
      <c r="AK20" s="16">
        <f t="shared" si="2"/>
        <v>1.0357142857142858</v>
      </c>
      <c r="AL20" s="16">
        <f t="shared" si="2"/>
        <v>1.2727272727272727</v>
      </c>
      <c r="AM20" s="16">
        <f t="shared" si="2"/>
        <v>1.2638888888888888</v>
      </c>
      <c r="AN20" s="17">
        <f t="shared" si="1"/>
        <v>1.3163841807909604</v>
      </c>
    </row>
    <row r="21" spans="2:40" ht="15" customHeight="1">
      <c r="B21" s="93"/>
      <c r="C21" s="96"/>
      <c r="D21" s="5">
        <v>0.5</v>
      </c>
      <c r="E21" s="39">
        <v>16</v>
      </c>
      <c r="F21" s="40">
        <v>17</v>
      </c>
      <c r="G21" s="40">
        <v>19</v>
      </c>
      <c r="H21" s="40">
        <v>23</v>
      </c>
      <c r="I21" s="40">
        <v>223</v>
      </c>
      <c r="J21" s="40">
        <v>612</v>
      </c>
      <c r="K21" s="40">
        <v>1304</v>
      </c>
      <c r="L21" s="41">
        <v>3856</v>
      </c>
      <c r="M21" s="39">
        <v>29</v>
      </c>
      <c r="N21" s="40">
        <v>33</v>
      </c>
      <c r="O21" s="40">
        <v>28</v>
      </c>
      <c r="P21" s="40">
        <v>24</v>
      </c>
      <c r="Q21" s="40">
        <v>126</v>
      </c>
      <c r="R21" s="40">
        <v>462</v>
      </c>
      <c r="S21" s="40">
        <v>956</v>
      </c>
      <c r="T21" s="41">
        <v>3856</v>
      </c>
      <c r="V21" s="87"/>
      <c r="W21" s="96"/>
      <c r="X21" s="5">
        <v>0.5</v>
      </c>
      <c r="Y21" s="18">
        <f t="shared" si="2"/>
        <v>0.9375</v>
      </c>
      <c r="Z21" s="12">
        <f t="shared" si="2"/>
        <v>1</v>
      </c>
      <c r="AA21" s="12">
        <f t="shared" si="2"/>
        <v>1</v>
      </c>
      <c r="AB21" s="12">
        <f t="shared" si="2"/>
        <v>1</v>
      </c>
      <c r="AC21" s="12">
        <f t="shared" si="2"/>
        <v>0.1210762331838565</v>
      </c>
      <c r="AD21" s="12">
        <f t="shared" si="2"/>
        <v>5.0653594771241831E-2</v>
      </c>
      <c r="AE21" s="12">
        <f t="shared" si="2"/>
        <v>2.1963190184049082</v>
      </c>
      <c r="AF21" s="19">
        <f t="shared" si="2"/>
        <v>2.4066390041493775</v>
      </c>
      <c r="AG21" s="18">
        <f t="shared" si="2"/>
        <v>0.96551724137931039</v>
      </c>
      <c r="AH21" s="12">
        <f t="shared" si="2"/>
        <v>0.87878787878787878</v>
      </c>
      <c r="AI21" s="12">
        <f t="shared" si="2"/>
        <v>0.7142857142857143</v>
      </c>
      <c r="AJ21" s="12">
        <f t="shared" si="2"/>
        <v>1</v>
      </c>
      <c r="AK21" s="12">
        <f t="shared" si="2"/>
        <v>0.23809523809523808</v>
      </c>
      <c r="AL21" s="12">
        <f t="shared" si="2"/>
        <v>8.8744588744588751E-2</v>
      </c>
      <c r="AM21" s="12">
        <f t="shared" si="2"/>
        <v>9.518828451882845E-2</v>
      </c>
      <c r="AN21" s="19">
        <f t="shared" si="1"/>
        <v>13.078838174273859</v>
      </c>
    </row>
    <row r="22" spans="2:40" ht="15" customHeight="1">
      <c r="B22" s="93"/>
      <c r="C22" s="96"/>
      <c r="D22" s="5">
        <v>0.75</v>
      </c>
      <c r="E22" s="39">
        <v>16</v>
      </c>
      <c r="F22" s="40">
        <v>17</v>
      </c>
      <c r="G22" s="40">
        <v>20</v>
      </c>
      <c r="H22" s="40">
        <v>125</v>
      </c>
      <c r="I22" s="40">
        <v>249</v>
      </c>
      <c r="J22" s="40">
        <v>494</v>
      </c>
      <c r="K22" s="40">
        <v>988</v>
      </c>
      <c r="L22" s="41">
        <v>3888</v>
      </c>
      <c r="M22" s="39">
        <v>30</v>
      </c>
      <c r="N22" s="40">
        <v>35</v>
      </c>
      <c r="O22" s="40">
        <v>30</v>
      </c>
      <c r="P22" s="40">
        <v>124</v>
      </c>
      <c r="Q22" s="40">
        <v>249</v>
      </c>
      <c r="R22" s="40">
        <v>494</v>
      </c>
      <c r="S22" s="40">
        <v>988</v>
      </c>
      <c r="T22" s="41">
        <v>3920</v>
      </c>
      <c r="V22" s="87"/>
      <c r="W22" s="96"/>
      <c r="X22" s="5">
        <v>0.75</v>
      </c>
      <c r="Y22" s="18">
        <f t="shared" si="2"/>
        <v>0.9375</v>
      </c>
      <c r="Z22" s="12">
        <f t="shared" si="2"/>
        <v>1</v>
      </c>
      <c r="AA22" s="12">
        <f t="shared" si="2"/>
        <v>1</v>
      </c>
      <c r="AB22" s="12">
        <f t="shared" si="2"/>
        <v>0.2</v>
      </c>
      <c r="AC22" s="12">
        <f t="shared" si="2"/>
        <v>0.11646586345381527</v>
      </c>
      <c r="AD22" s="12">
        <f t="shared" si="2"/>
        <v>3.5141700404858298</v>
      </c>
      <c r="AE22" s="12">
        <f t="shared" si="2"/>
        <v>2.8987854251012144</v>
      </c>
      <c r="AF22" s="19">
        <f t="shared" si="2"/>
        <v>2.1893004115226335</v>
      </c>
      <c r="AG22" s="18">
        <f t="shared" si="2"/>
        <v>0.93333333333333335</v>
      </c>
      <c r="AH22" s="12">
        <f t="shared" si="2"/>
        <v>0.8571428571428571</v>
      </c>
      <c r="AI22" s="12">
        <f t="shared" si="2"/>
        <v>0.73333333333333328</v>
      </c>
      <c r="AJ22" s="12">
        <f t="shared" si="2"/>
        <v>0.20161290322580644</v>
      </c>
      <c r="AK22" s="12">
        <f t="shared" si="2"/>
        <v>0.11646586345381527</v>
      </c>
      <c r="AL22" s="12">
        <f t="shared" si="2"/>
        <v>0.11336032388663968</v>
      </c>
      <c r="AM22" s="12">
        <f t="shared" si="2"/>
        <v>0.41902834008097167</v>
      </c>
      <c r="AN22" s="19">
        <f t="shared" si="1"/>
        <v>3.0857142857142859</v>
      </c>
    </row>
    <row r="23" spans="2:40" ht="15" customHeight="1" thickBot="1">
      <c r="B23" s="93"/>
      <c r="C23" s="97"/>
      <c r="D23" s="6">
        <v>1</v>
      </c>
      <c r="E23" s="42">
        <v>16</v>
      </c>
      <c r="F23" s="43">
        <v>33</v>
      </c>
      <c r="G23" s="43">
        <v>67</v>
      </c>
      <c r="H23" s="43">
        <v>120</v>
      </c>
      <c r="I23" s="43">
        <v>243</v>
      </c>
      <c r="J23" s="43">
        <v>442</v>
      </c>
      <c r="K23" s="43">
        <v>916</v>
      </c>
      <c r="L23" s="44">
        <v>3056</v>
      </c>
      <c r="M23" s="42">
        <v>15</v>
      </c>
      <c r="N23" s="43">
        <v>29</v>
      </c>
      <c r="O23" s="43">
        <v>60</v>
      </c>
      <c r="P23" s="43">
        <v>121</v>
      </c>
      <c r="Q23" s="43">
        <v>245</v>
      </c>
      <c r="R23" s="43">
        <v>490</v>
      </c>
      <c r="S23" s="43">
        <v>980</v>
      </c>
      <c r="T23" s="44">
        <v>3408</v>
      </c>
      <c r="V23" s="87"/>
      <c r="W23" s="97"/>
      <c r="X23" s="6">
        <v>1</v>
      </c>
      <c r="Y23" s="20">
        <f t="shared" si="2"/>
        <v>0.9375</v>
      </c>
      <c r="Z23" s="21">
        <f t="shared" si="2"/>
        <v>0.54545454545454541</v>
      </c>
      <c r="AA23" s="21">
        <f t="shared" si="2"/>
        <v>0.34328358208955223</v>
      </c>
      <c r="AB23" s="21">
        <f t="shared" si="2"/>
        <v>5.3</v>
      </c>
      <c r="AC23" s="21">
        <f t="shared" si="2"/>
        <v>3.3744855967078191</v>
      </c>
      <c r="AD23" s="21">
        <f t="shared" si="2"/>
        <v>2.6606334841628958</v>
      </c>
      <c r="AE23" s="21">
        <f t="shared" si="2"/>
        <v>2.0873362445414849</v>
      </c>
      <c r="AF23" s="22">
        <f t="shared" si="2"/>
        <v>2.0209424083769632</v>
      </c>
      <c r="AG23" s="20">
        <f t="shared" si="2"/>
        <v>1</v>
      </c>
      <c r="AH23" s="21">
        <f t="shared" si="2"/>
        <v>0.62068965517241381</v>
      </c>
      <c r="AI23" s="21">
        <f t="shared" si="2"/>
        <v>0.38333333333333336</v>
      </c>
      <c r="AJ23" s="21">
        <f t="shared" si="2"/>
        <v>0.58677685950413228</v>
      </c>
      <c r="AK23" s="21">
        <f t="shared" si="2"/>
        <v>0.5591836734693878</v>
      </c>
      <c r="AL23" s="21">
        <f t="shared" si="2"/>
        <v>0.55102040816326525</v>
      </c>
      <c r="AM23" s="21">
        <f t="shared" si="2"/>
        <v>0.63265306122448983</v>
      </c>
      <c r="AN23" s="22">
        <f t="shared" si="1"/>
        <v>3.436619718309859</v>
      </c>
    </row>
    <row r="24" spans="2:40" ht="15" customHeight="1">
      <c r="B24" s="93"/>
      <c r="C24" s="95" t="s">
        <v>8</v>
      </c>
      <c r="D24" s="7">
        <v>0.25</v>
      </c>
      <c r="E24" s="24">
        <v>4726</v>
      </c>
      <c r="F24" s="25">
        <v>8997</v>
      </c>
      <c r="G24" s="25">
        <v>16375</v>
      </c>
      <c r="H24" s="25">
        <v>27339</v>
      </c>
      <c r="I24" s="25">
        <v>38264</v>
      </c>
      <c r="J24" s="25">
        <v>43769</v>
      </c>
      <c r="K24" s="25">
        <v>43806</v>
      </c>
      <c r="L24" s="26">
        <v>43738</v>
      </c>
      <c r="M24" s="24">
        <v>4724</v>
      </c>
      <c r="N24" s="25">
        <v>9069</v>
      </c>
      <c r="O24" s="25">
        <v>16839</v>
      </c>
      <c r="P24" s="25">
        <v>29484</v>
      </c>
      <c r="Q24" s="25">
        <v>45558</v>
      </c>
      <c r="R24" s="25">
        <v>58613</v>
      </c>
      <c r="S24" s="25">
        <v>59507</v>
      </c>
      <c r="T24" s="26">
        <v>59434</v>
      </c>
      <c r="V24" s="87"/>
      <c r="W24" s="89" t="s">
        <v>8</v>
      </c>
      <c r="X24" s="4">
        <v>0.25</v>
      </c>
      <c r="Y24" s="15">
        <f t="shared" si="2"/>
        <v>1.0382987727465087</v>
      </c>
      <c r="Z24" s="16">
        <f t="shared" si="2"/>
        <v>1.0526842280760254</v>
      </c>
      <c r="AA24" s="16">
        <f t="shared" si="2"/>
        <v>1.0693740458015266</v>
      </c>
      <c r="AB24" s="16">
        <f t="shared" si="2"/>
        <v>1.1020885913895899</v>
      </c>
      <c r="AC24" s="16">
        <f t="shared" si="2"/>
        <v>1.1985678444490906</v>
      </c>
      <c r="AD24" s="16">
        <f t="shared" si="2"/>
        <v>1.3233338664351482</v>
      </c>
      <c r="AE24" s="16">
        <f t="shared" si="2"/>
        <v>1.7356983061681048</v>
      </c>
      <c r="AF24" s="17">
        <f t="shared" si="2"/>
        <v>2.2501714756047373</v>
      </c>
      <c r="AG24" s="15">
        <f t="shared" si="2"/>
        <v>1.0493226079593565</v>
      </c>
      <c r="AH24" s="16">
        <f t="shared" si="2"/>
        <v>1.0651670525967583</v>
      </c>
      <c r="AI24" s="16">
        <f t="shared" si="2"/>
        <v>1.0831403289981589</v>
      </c>
      <c r="AJ24" s="16">
        <f t="shared" si="2"/>
        <v>1.1307149640482974</v>
      </c>
      <c r="AK24" s="16">
        <f t="shared" si="2"/>
        <v>1.2069010931120769</v>
      </c>
      <c r="AL24" s="16">
        <f t="shared" si="2"/>
        <v>1.334823332707761</v>
      </c>
      <c r="AM24" s="16">
        <f t="shared" si="2"/>
        <v>1.5653284487539281</v>
      </c>
      <c r="AN24" s="17">
        <f t="shared" si="1"/>
        <v>2.0997745398256891</v>
      </c>
    </row>
    <row r="25" spans="2:40" ht="15" customHeight="1">
      <c r="B25" s="93"/>
      <c r="C25" s="96"/>
      <c r="D25" s="5">
        <v>0.5</v>
      </c>
      <c r="E25" s="27">
        <v>12135</v>
      </c>
      <c r="F25" s="28">
        <v>22248</v>
      </c>
      <c r="G25" s="28">
        <v>37608</v>
      </c>
      <c r="H25" s="28">
        <v>54760</v>
      </c>
      <c r="I25" s="28">
        <v>63354</v>
      </c>
      <c r="J25" s="28">
        <v>63375</v>
      </c>
      <c r="K25" s="28">
        <v>63340</v>
      </c>
      <c r="L25" s="29">
        <v>67334</v>
      </c>
      <c r="M25" s="27">
        <v>12179</v>
      </c>
      <c r="N25" s="28">
        <v>22601</v>
      </c>
      <c r="O25" s="28">
        <v>39489</v>
      </c>
      <c r="P25" s="28">
        <v>61424</v>
      </c>
      <c r="Q25" s="28">
        <v>81995</v>
      </c>
      <c r="R25" s="28">
        <v>80665</v>
      </c>
      <c r="S25" s="28">
        <v>80564</v>
      </c>
      <c r="T25" s="29">
        <v>86983</v>
      </c>
      <c r="V25" s="87"/>
      <c r="W25" s="90"/>
      <c r="X25" s="5">
        <v>0.5</v>
      </c>
      <c r="Y25" s="18">
        <f t="shared" si="2"/>
        <v>1.0547177585496497</v>
      </c>
      <c r="Z25" s="12">
        <f t="shared" si="2"/>
        <v>1.0822096368212872</v>
      </c>
      <c r="AA25" s="12">
        <f t="shared" si="2"/>
        <v>1.1254520314826633</v>
      </c>
      <c r="AB25" s="12">
        <f t="shared" si="2"/>
        <v>1.2315741417092769</v>
      </c>
      <c r="AC25" s="12">
        <f t="shared" si="2"/>
        <v>1.4723142974397827</v>
      </c>
      <c r="AD25" s="12">
        <f t="shared" si="2"/>
        <v>2.223984220907298</v>
      </c>
      <c r="AE25" s="12">
        <f t="shared" si="2"/>
        <v>2.4088727502368172</v>
      </c>
      <c r="AF25" s="19">
        <f t="shared" si="2"/>
        <v>2.2680963554816289</v>
      </c>
      <c r="AG25" s="18">
        <f t="shared" si="2"/>
        <v>1.0687248542573282</v>
      </c>
      <c r="AH25" s="12">
        <f t="shared" si="2"/>
        <v>1.0916331135790451</v>
      </c>
      <c r="AI25" s="12">
        <f t="shared" si="2"/>
        <v>1.150446959912887</v>
      </c>
      <c r="AJ25" s="12">
        <f t="shared" si="2"/>
        <v>1.2476393592081272</v>
      </c>
      <c r="AK25" s="12">
        <f t="shared" si="2"/>
        <v>1.3979632904445394</v>
      </c>
      <c r="AL25" s="12">
        <f t="shared" si="2"/>
        <v>1.8520547945205479</v>
      </c>
      <c r="AM25" s="12">
        <f t="shared" si="2"/>
        <v>2.6209473213842411</v>
      </c>
      <c r="AN25" s="19">
        <f t="shared" si="1"/>
        <v>2.7772668222526242</v>
      </c>
    </row>
    <row r="26" spans="2:40" ht="15" customHeight="1">
      <c r="B26" s="93"/>
      <c r="C26" s="96"/>
      <c r="D26" s="5">
        <v>0.75</v>
      </c>
      <c r="E26" s="27">
        <v>26263</v>
      </c>
      <c r="F26" s="28">
        <v>45329</v>
      </c>
      <c r="G26" s="28">
        <v>69659</v>
      </c>
      <c r="H26" s="28">
        <v>77928</v>
      </c>
      <c r="I26" s="28">
        <v>77929</v>
      </c>
      <c r="J26" s="28">
        <v>77991</v>
      </c>
      <c r="K26" s="28">
        <v>78022</v>
      </c>
      <c r="L26" s="29">
        <v>79104</v>
      </c>
      <c r="M26" s="27">
        <v>26435</v>
      </c>
      <c r="N26" s="28">
        <v>46473</v>
      </c>
      <c r="O26" s="28">
        <v>73674</v>
      </c>
      <c r="P26" s="28">
        <v>95859</v>
      </c>
      <c r="Q26" s="28">
        <v>95427</v>
      </c>
      <c r="R26" s="28">
        <v>95448</v>
      </c>
      <c r="S26" s="28">
        <v>95557</v>
      </c>
      <c r="T26" s="29">
        <v>97768</v>
      </c>
      <c r="V26" s="87"/>
      <c r="W26" s="90"/>
      <c r="X26" s="5">
        <v>0.75</v>
      </c>
      <c r="Y26" s="18">
        <f t="shared" si="2"/>
        <v>1.0814073030499181</v>
      </c>
      <c r="Z26" s="12">
        <f t="shared" si="2"/>
        <v>1.1363806834476824</v>
      </c>
      <c r="AA26" s="12">
        <f t="shared" si="2"/>
        <v>1.2208472702737623</v>
      </c>
      <c r="AB26" s="12">
        <f t="shared" si="2"/>
        <v>1.7123883584847552</v>
      </c>
      <c r="AC26" s="12">
        <f t="shared" si="2"/>
        <v>2.813368579091224</v>
      </c>
      <c r="AD26" s="12">
        <f t="shared" si="2"/>
        <v>2.9250041671474913</v>
      </c>
      <c r="AE26" s="12">
        <f t="shared" si="2"/>
        <v>2.9249955140857709</v>
      </c>
      <c r="AF26" s="19">
        <f t="shared" si="2"/>
        <v>2.8834066545307442</v>
      </c>
      <c r="AG26" s="18">
        <f t="shared" si="2"/>
        <v>1.0975222243238132</v>
      </c>
      <c r="AH26" s="12">
        <f t="shared" si="2"/>
        <v>1.1625459944483894</v>
      </c>
      <c r="AI26" s="12">
        <f t="shared" si="2"/>
        <v>1.2667155305806661</v>
      </c>
      <c r="AJ26" s="12">
        <f t="shared" si="2"/>
        <v>1.5088619743581719</v>
      </c>
      <c r="AK26" s="12">
        <f t="shared" si="2"/>
        <v>2.1304662202521301</v>
      </c>
      <c r="AL26" s="12">
        <f t="shared" si="2"/>
        <v>3.2623522755846115</v>
      </c>
      <c r="AM26" s="12">
        <f t="shared" si="2"/>
        <v>3.8412884456397753</v>
      </c>
      <c r="AN26" s="19">
        <f t="shared" si="1"/>
        <v>3.6958309467310366</v>
      </c>
    </row>
    <row r="27" spans="2:40" ht="15" customHeight="1" thickBot="1">
      <c r="B27" s="94"/>
      <c r="C27" s="97"/>
      <c r="D27" s="6">
        <v>1</v>
      </c>
      <c r="E27" s="30">
        <v>87695</v>
      </c>
      <c r="F27" s="31">
        <v>88210</v>
      </c>
      <c r="G27" s="31">
        <v>88210</v>
      </c>
      <c r="H27" s="31">
        <v>88210</v>
      </c>
      <c r="I27" s="31">
        <v>88209</v>
      </c>
      <c r="J27" s="31">
        <v>88210</v>
      </c>
      <c r="K27" s="31">
        <v>88207</v>
      </c>
      <c r="L27" s="32">
        <v>88212</v>
      </c>
      <c r="M27" s="30">
        <v>88361</v>
      </c>
      <c r="N27" s="31">
        <v>105218</v>
      </c>
      <c r="O27" s="31">
        <v>105201</v>
      </c>
      <c r="P27" s="31">
        <v>105201</v>
      </c>
      <c r="Q27" s="31">
        <v>105209</v>
      </c>
      <c r="R27" s="31">
        <v>105205</v>
      </c>
      <c r="S27" s="31">
        <v>105194</v>
      </c>
      <c r="T27" s="32">
        <v>105214</v>
      </c>
      <c r="V27" s="88"/>
      <c r="W27" s="91"/>
      <c r="X27" s="6">
        <v>1</v>
      </c>
      <c r="Y27" s="20">
        <f t="shared" si="2"/>
        <v>1.0445749472603911</v>
      </c>
      <c r="Z27" s="21">
        <f t="shared" si="2"/>
        <v>2.0071533839700715</v>
      </c>
      <c r="AA27" s="21">
        <f t="shared" si="2"/>
        <v>3.5911347919736993</v>
      </c>
      <c r="AB27" s="21">
        <f t="shared" si="2"/>
        <v>4.0064051694819183</v>
      </c>
      <c r="AC27" s="21">
        <f t="shared" si="2"/>
        <v>4.0094434808239523</v>
      </c>
      <c r="AD27" s="21">
        <f t="shared" si="2"/>
        <v>4.0071193742206095</v>
      </c>
      <c r="AE27" s="21">
        <f t="shared" si="2"/>
        <v>4.0061219631095035</v>
      </c>
      <c r="AF27" s="22">
        <f t="shared" si="2"/>
        <v>4.0084228903097081</v>
      </c>
      <c r="AG27" s="20">
        <f t="shared" si="2"/>
        <v>1.0452235714851574</v>
      </c>
      <c r="AH27" s="21">
        <f t="shared" si="2"/>
        <v>1.6895968370430914</v>
      </c>
      <c r="AI27" s="21">
        <f t="shared" si="2"/>
        <v>3.022480774897577</v>
      </c>
      <c r="AJ27" s="21">
        <f t="shared" si="2"/>
        <v>4.6164485128468362</v>
      </c>
      <c r="AK27" s="21">
        <f t="shared" si="2"/>
        <v>4.650334096892851</v>
      </c>
      <c r="AL27" s="21">
        <f t="shared" si="2"/>
        <v>4.625645168955848</v>
      </c>
      <c r="AM27" s="21">
        <f t="shared" si="2"/>
        <v>4.6453314827841892</v>
      </c>
      <c r="AN27" s="22">
        <f t="shared" si="1"/>
        <v>4.6427661718022319</v>
      </c>
    </row>
    <row r="28" spans="2:40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2:40" ht="15" customHeight="1" thickBot="1">
      <c r="B29" s="112" t="s">
        <v>80</v>
      </c>
      <c r="C29" s="113"/>
      <c r="D29" s="113"/>
      <c r="E29" s="83" t="s">
        <v>82</v>
      </c>
      <c r="F29" s="84"/>
      <c r="G29" s="84"/>
      <c r="H29" s="84"/>
      <c r="I29" s="84"/>
      <c r="J29" s="84"/>
      <c r="K29" s="84"/>
      <c r="L29" s="85"/>
      <c r="M29" s="83" t="s">
        <v>83</v>
      </c>
      <c r="N29" s="84"/>
      <c r="O29" s="84"/>
      <c r="P29" s="84"/>
      <c r="Q29" s="84"/>
      <c r="R29" s="84"/>
      <c r="S29" s="84"/>
      <c r="T29" s="85"/>
      <c r="V29" s="13" t="s">
        <v>20</v>
      </c>
      <c r="W29" s="14">
        <f>(COUNTIF(Y4:AN11,"&lt;1.1")+COUNTIF(Y16:AN23,"&lt;1.1"))/(COUNT(Y4:AN11)+COUNT(Y16:AN23))</f>
        <v>0.87890625</v>
      </c>
      <c r="X29" s="109" t="s">
        <v>19</v>
      </c>
      <c r="Y29" s="110"/>
      <c r="Z29" s="110"/>
      <c r="AA29" s="110"/>
      <c r="AB29" s="111"/>
    </row>
    <row r="30" spans="2:40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3" t="s">
        <v>17</v>
      </c>
      <c r="M30" s="1" t="s">
        <v>0</v>
      </c>
      <c r="N30" s="2" t="s">
        <v>1</v>
      </c>
      <c r="O30" s="2" t="s">
        <v>2</v>
      </c>
      <c r="P30" s="2" t="s">
        <v>3</v>
      </c>
      <c r="Q30" s="2" t="s">
        <v>4</v>
      </c>
      <c r="R30" s="2" t="s">
        <v>18</v>
      </c>
      <c r="S30" s="2" t="s">
        <v>16</v>
      </c>
      <c r="T30" s="3" t="s">
        <v>17</v>
      </c>
      <c r="V30" s="13" t="s">
        <v>21</v>
      </c>
      <c r="W30" s="23">
        <f>(COUNTIF(Y4:AN11,"&lt;1.1"))/(COUNT(Y4:AN11))</f>
        <v>0.9453125</v>
      </c>
      <c r="X30" s="109" t="s">
        <v>19</v>
      </c>
      <c r="Y30" s="110"/>
      <c r="Z30" s="110"/>
      <c r="AA30" s="110"/>
      <c r="AB30" s="111"/>
    </row>
    <row r="31" spans="2:40" ht="15" customHeight="1" thickBot="1">
      <c r="B31" s="92" t="s">
        <v>5</v>
      </c>
      <c r="C31" s="98" t="s">
        <v>6</v>
      </c>
      <c r="D31" s="4">
        <v>0.25</v>
      </c>
      <c r="E31" s="36">
        <v>227</v>
      </c>
      <c r="F31" s="37">
        <v>266</v>
      </c>
      <c r="G31" s="37">
        <v>318</v>
      </c>
      <c r="H31" s="37">
        <v>382</v>
      </c>
      <c r="I31" s="37">
        <v>422</v>
      </c>
      <c r="J31" s="37">
        <v>478</v>
      </c>
      <c r="K31" s="37">
        <v>524</v>
      </c>
      <c r="L31" s="38">
        <v>660</v>
      </c>
      <c r="M31" s="36">
        <v>235</v>
      </c>
      <c r="N31" s="37">
        <v>294</v>
      </c>
      <c r="O31" s="37">
        <v>370</v>
      </c>
      <c r="P31" s="37">
        <v>454</v>
      </c>
      <c r="Q31" s="37">
        <v>572</v>
      </c>
      <c r="R31" s="37">
        <v>644</v>
      </c>
      <c r="S31" s="37">
        <v>740</v>
      </c>
      <c r="T31" s="38">
        <v>1144</v>
      </c>
      <c r="V31" s="13" t="s">
        <v>22</v>
      </c>
      <c r="W31" s="23">
        <f>COUNTIF(Y16:AN23,"&lt;1.1")/+COUNT(Y16:AN23)</f>
        <v>0.8125</v>
      </c>
      <c r="X31" s="109" t="s">
        <v>19</v>
      </c>
      <c r="Y31" s="110"/>
      <c r="Z31" s="110"/>
      <c r="AA31" s="110"/>
      <c r="AB31" s="111"/>
    </row>
    <row r="32" spans="2:40" ht="15" customHeight="1">
      <c r="B32" s="93"/>
      <c r="C32" s="96"/>
      <c r="D32" s="5">
        <v>0.5</v>
      </c>
      <c r="E32" s="39">
        <v>171</v>
      </c>
      <c r="F32" s="40">
        <v>221</v>
      </c>
      <c r="G32" s="40">
        <v>270</v>
      </c>
      <c r="H32" s="40">
        <v>330</v>
      </c>
      <c r="I32" s="40">
        <v>410</v>
      </c>
      <c r="J32" s="40">
        <v>494</v>
      </c>
      <c r="K32" s="40">
        <v>588</v>
      </c>
      <c r="L32" s="41">
        <v>652</v>
      </c>
      <c r="M32" s="39">
        <v>153</v>
      </c>
      <c r="N32" s="40">
        <v>213</v>
      </c>
      <c r="O32" s="40">
        <v>274</v>
      </c>
      <c r="P32" s="40">
        <v>350</v>
      </c>
      <c r="Q32" s="40">
        <v>454</v>
      </c>
      <c r="R32" s="40">
        <v>604</v>
      </c>
      <c r="S32" s="40">
        <v>772</v>
      </c>
      <c r="T32" s="41">
        <v>1224</v>
      </c>
    </row>
    <row r="33" spans="2:20" ht="15" customHeight="1">
      <c r="B33" s="93"/>
      <c r="C33" s="96"/>
      <c r="D33" s="5">
        <v>0.75</v>
      </c>
      <c r="E33" s="39">
        <v>106</v>
      </c>
      <c r="F33" s="40">
        <v>155</v>
      </c>
      <c r="G33" s="40">
        <v>223</v>
      </c>
      <c r="H33" s="40">
        <v>282</v>
      </c>
      <c r="I33" s="40">
        <v>358</v>
      </c>
      <c r="J33" s="40">
        <v>478</v>
      </c>
      <c r="K33" s="40">
        <v>812</v>
      </c>
      <c r="L33" s="41">
        <v>2928</v>
      </c>
      <c r="M33" s="39">
        <v>93</v>
      </c>
      <c r="N33" s="40">
        <v>118</v>
      </c>
      <c r="O33" s="40">
        <v>185</v>
      </c>
      <c r="P33" s="40">
        <v>255</v>
      </c>
      <c r="Q33" s="40">
        <v>346</v>
      </c>
      <c r="R33" s="40">
        <v>478</v>
      </c>
      <c r="S33" s="40">
        <v>692</v>
      </c>
      <c r="T33" s="41">
        <v>1928</v>
      </c>
    </row>
    <row r="34" spans="2:20" ht="15" customHeight="1" thickBot="1">
      <c r="B34" s="93"/>
      <c r="C34" s="97"/>
      <c r="D34" s="6">
        <v>1</v>
      </c>
      <c r="E34" s="42">
        <v>69</v>
      </c>
      <c r="F34" s="43">
        <v>89</v>
      </c>
      <c r="G34" s="43">
        <v>105</v>
      </c>
      <c r="H34" s="43">
        <v>121</v>
      </c>
      <c r="I34" s="43">
        <v>159</v>
      </c>
      <c r="J34" s="43">
        <v>241</v>
      </c>
      <c r="K34" s="43">
        <v>442</v>
      </c>
      <c r="L34" s="44">
        <v>1048</v>
      </c>
      <c r="M34" s="42">
        <v>69</v>
      </c>
      <c r="N34" s="43">
        <v>72</v>
      </c>
      <c r="O34" s="43">
        <v>97</v>
      </c>
      <c r="P34" s="43">
        <v>108</v>
      </c>
      <c r="Q34" s="43">
        <v>125</v>
      </c>
      <c r="R34" s="43">
        <v>165</v>
      </c>
      <c r="S34" s="43">
        <v>241</v>
      </c>
      <c r="T34" s="44">
        <v>588</v>
      </c>
    </row>
    <row r="35" spans="2:20" ht="15" customHeight="1">
      <c r="B35" s="93"/>
      <c r="C35" s="98" t="s">
        <v>7</v>
      </c>
      <c r="D35" s="4">
        <v>0.25</v>
      </c>
      <c r="E35" s="36">
        <v>510</v>
      </c>
      <c r="F35" s="37">
        <v>572</v>
      </c>
      <c r="G35" s="37">
        <v>884</v>
      </c>
      <c r="H35" s="37">
        <v>900</v>
      </c>
      <c r="I35" s="37">
        <v>956</v>
      </c>
      <c r="J35" s="37">
        <v>868</v>
      </c>
      <c r="K35" s="37">
        <v>860</v>
      </c>
      <c r="L35" s="38">
        <v>964</v>
      </c>
      <c r="M35" s="36">
        <v>708</v>
      </c>
      <c r="N35" s="37">
        <v>756</v>
      </c>
      <c r="O35" s="37">
        <v>852</v>
      </c>
      <c r="P35" s="37">
        <v>908</v>
      </c>
      <c r="Q35" s="37">
        <v>1032</v>
      </c>
      <c r="R35" s="37">
        <v>1176</v>
      </c>
      <c r="S35" s="37">
        <v>1384</v>
      </c>
      <c r="T35" s="38">
        <v>1752</v>
      </c>
    </row>
    <row r="36" spans="2:20" ht="15" customHeight="1">
      <c r="B36" s="93"/>
      <c r="C36" s="96"/>
      <c r="D36" s="5">
        <v>0.5</v>
      </c>
      <c r="E36" s="39">
        <v>422</v>
      </c>
      <c r="F36" s="40">
        <v>478</v>
      </c>
      <c r="G36" s="40">
        <v>548</v>
      </c>
      <c r="H36" s="40">
        <v>868</v>
      </c>
      <c r="I36" s="40">
        <v>908</v>
      </c>
      <c r="J36" s="40">
        <v>972</v>
      </c>
      <c r="K36" s="40">
        <v>1012</v>
      </c>
      <c r="L36" s="41">
        <v>1064</v>
      </c>
      <c r="M36" s="39">
        <v>604</v>
      </c>
      <c r="N36" s="40">
        <v>684</v>
      </c>
      <c r="O36" s="40">
        <v>732</v>
      </c>
      <c r="P36" s="40">
        <v>852</v>
      </c>
      <c r="Q36" s="40">
        <v>908</v>
      </c>
      <c r="R36" s="40">
        <v>1096</v>
      </c>
      <c r="S36" s="40">
        <v>1464</v>
      </c>
      <c r="T36" s="41">
        <v>2704</v>
      </c>
    </row>
    <row r="37" spans="2:20" ht="15" customHeight="1">
      <c r="B37" s="93"/>
      <c r="C37" s="96"/>
      <c r="D37" s="5">
        <v>0.75</v>
      </c>
      <c r="E37" s="39">
        <v>358</v>
      </c>
      <c r="F37" s="40">
        <v>406</v>
      </c>
      <c r="G37" s="40">
        <v>470</v>
      </c>
      <c r="H37" s="40">
        <v>548</v>
      </c>
      <c r="I37" s="40">
        <v>764</v>
      </c>
      <c r="J37" s="40">
        <v>940</v>
      </c>
      <c r="K37" s="40">
        <v>1736</v>
      </c>
      <c r="L37" s="41">
        <v>5472</v>
      </c>
      <c r="M37" s="39">
        <v>502</v>
      </c>
      <c r="N37" s="40">
        <v>548</v>
      </c>
      <c r="O37" s="40">
        <v>644</v>
      </c>
      <c r="P37" s="40">
        <v>700</v>
      </c>
      <c r="Q37" s="40">
        <v>828</v>
      </c>
      <c r="R37" s="40">
        <v>980</v>
      </c>
      <c r="S37" s="40">
        <v>1448</v>
      </c>
      <c r="T37" s="41">
        <v>3408</v>
      </c>
    </row>
    <row r="38" spans="2:20" ht="15" customHeight="1" thickBot="1">
      <c r="B38" s="93"/>
      <c r="C38" s="97"/>
      <c r="D38" s="6">
        <v>1</v>
      </c>
      <c r="E38" s="42">
        <v>89</v>
      </c>
      <c r="F38" s="43">
        <v>120</v>
      </c>
      <c r="G38" s="43">
        <v>153</v>
      </c>
      <c r="H38" s="43">
        <v>193</v>
      </c>
      <c r="I38" s="43">
        <v>266</v>
      </c>
      <c r="J38" s="43">
        <v>430</v>
      </c>
      <c r="K38" s="43">
        <v>804</v>
      </c>
      <c r="L38" s="44">
        <v>1736</v>
      </c>
      <c r="M38" s="42">
        <v>74</v>
      </c>
      <c r="N38" s="43">
        <v>117</v>
      </c>
      <c r="O38" s="43">
        <v>139</v>
      </c>
      <c r="P38" s="43">
        <v>161</v>
      </c>
      <c r="Q38" s="43">
        <v>203</v>
      </c>
      <c r="R38" s="43">
        <v>286</v>
      </c>
      <c r="S38" s="43">
        <v>426</v>
      </c>
      <c r="T38" s="44">
        <v>780</v>
      </c>
    </row>
    <row r="39" spans="2:20" ht="15" customHeight="1">
      <c r="B39" s="93"/>
      <c r="C39" s="98" t="s">
        <v>8</v>
      </c>
      <c r="D39" s="4">
        <v>0.25</v>
      </c>
      <c r="E39" s="36">
        <v>9461</v>
      </c>
      <c r="F39" s="37">
        <v>17164</v>
      </c>
      <c r="G39" s="37">
        <v>28349</v>
      </c>
      <c r="H39" s="37">
        <v>44477</v>
      </c>
      <c r="I39" s="37">
        <v>73075</v>
      </c>
      <c r="J39" s="37">
        <v>76039</v>
      </c>
      <c r="K39" s="37">
        <v>76056</v>
      </c>
      <c r="L39" s="38">
        <v>76030</v>
      </c>
      <c r="M39" s="36">
        <v>9677</v>
      </c>
      <c r="N39" s="37">
        <v>18010</v>
      </c>
      <c r="O39" s="37">
        <v>31104</v>
      </c>
      <c r="P39" s="37">
        <v>48222</v>
      </c>
      <c r="Q39" s="37">
        <v>67760</v>
      </c>
      <c r="R39" s="37">
        <v>103782</v>
      </c>
      <c r="S39" s="37">
        <v>122363</v>
      </c>
      <c r="T39" s="38">
        <v>120444</v>
      </c>
    </row>
    <row r="40" spans="2:20" ht="15" customHeight="1">
      <c r="B40" s="93"/>
      <c r="C40" s="96"/>
      <c r="D40" s="5">
        <v>0.5</v>
      </c>
      <c r="E40" s="39">
        <v>12813</v>
      </c>
      <c r="F40" s="40">
        <v>24066</v>
      </c>
      <c r="G40" s="40">
        <v>42345</v>
      </c>
      <c r="H40" s="40">
        <v>67415</v>
      </c>
      <c r="I40" s="40">
        <v>93285</v>
      </c>
      <c r="J40" s="40">
        <v>140936</v>
      </c>
      <c r="K40" s="40">
        <v>152570</v>
      </c>
      <c r="L40" s="41">
        <v>152711</v>
      </c>
      <c r="M40" s="39">
        <v>13023</v>
      </c>
      <c r="N40" s="40">
        <v>24668</v>
      </c>
      <c r="O40" s="40">
        <v>45445</v>
      </c>
      <c r="P40" s="40">
        <v>76655</v>
      </c>
      <c r="Q40" s="40">
        <v>114600</v>
      </c>
      <c r="R40" s="40">
        <v>149374</v>
      </c>
      <c r="S40" s="40">
        <v>211145</v>
      </c>
      <c r="T40" s="41">
        <v>241600</v>
      </c>
    </row>
    <row r="41" spans="2:20" ht="15" customHeight="1">
      <c r="B41" s="93"/>
      <c r="C41" s="96"/>
      <c r="D41" s="5">
        <v>0.75</v>
      </c>
      <c r="E41" s="39">
        <v>14725</v>
      </c>
      <c r="F41" s="40">
        <v>28423</v>
      </c>
      <c r="G41" s="40">
        <v>52526</v>
      </c>
      <c r="H41" s="40">
        <v>90413</v>
      </c>
      <c r="I41" s="40">
        <v>137589</v>
      </c>
      <c r="J41" s="40">
        <v>173790</v>
      </c>
      <c r="K41" s="40">
        <v>228168</v>
      </c>
      <c r="L41" s="41">
        <v>295201</v>
      </c>
      <c r="M41" s="39">
        <v>14873</v>
      </c>
      <c r="N41" s="40">
        <v>28975</v>
      </c>
      <c r="O41" s="40">
        <v>54731</v>
      </c>
      <c r="P41" s="40">
        <v>99997</v>
      </c>
      <c r="Q41" s="40">
        <v>164975</v>
      </c>
      <c r="R41" s="40">
        <v>234717</v>
      </c>
      <c r="S41" s="40">
        <v>279497</v>
      </c>
      <c r="T41" s="41">
        <v>374398</v>
      </c>
    </row>
    <row r="42" spans="2:20" ht="15" customHeight="1" thickBot="1">
      <c r="B42" s="94"/>
      <c r="C42" s="97"/>
      <c r="D42" s="6">
        <v>1</v>
      </c>
      <c r="E42" s="42">
        <v>16023</v>
      </c>
      <c r="F42" s="43">
        <v>31642</v>
      </c>
      <c r="G42" s="43">
        <v>61553</v>
      </c>
      <c r="H42" s="43">
        <v>116586</v>
      </c>
      <c r="I42" s="43">
        <v>209357</v>
      </c>
      <c r="J42" s="43">
        <v>337722</v>
      </c>
      <c r="K42" s="43">
        <v>459766</v>
      </c>
      <c r="L42" s="44">
        <v>518883</v>
      </c>
      <c r="M42" s="42">
        <v>16041</v>
      </c>
      <c r="N42" s="43">
        <v>31839</v>
      </c>
      <c r="O42" s="43">
        <v>62506</v>
      </c>
      <c r="P42" s="43">
        <v>120803</v>
      </c>
      <c r="Q42" s="43">
        <v>226062</v>
      </c>
      <c r="R42" s="43">
        <v>395066</v>
      </c>
      <c r="S42" s="43">
        <v>539058</v>
      </c>
      <c r="T42" s="44">
        <v>550471</v>
      </c>
    </row>
    <row r="43" spans="2:20" ht="15" customHeight="1">
      <c r="B43" s="83" t="s">
        <v>9</v>
      </c>
      <c r="C43" s="98" t="s">
        <v>6</v>
      </c>
      <c r="D43" s="4">
        <v>0.25</v>
      </c>
      <c r="E43" s="36">
        <v>10</v>
      </c>
      <c r="F43" s="37">
        <v>13</v>
      </c>
      <c r="G43" s="37">
        <v>14</v>
      </c>
      <c r="H43" s="37">
        <v>17</v>
      </c>
      <c r="I43" s="37">
        <v>20</v>
      </c>
      <c r="J43" s="37">
        <v>22</v>
      </c>
      <c r="K43" s="37">
        <v>25</v>
      </c>
      <c r="L43" s="38">
        <v>1096</v>
      </c>
      <c r="M43" s="36">
        <v>10</v>
      </c>
      <c r="N43" s="37">
        <v>13</v>
      </c>
      <c r="O43" s="37">
        <v>14</v>
      </c>
      <c r="P43" s="37">
        <v>17</v>
      </c>
      <c r="Q43" s="37">
        <v>21</v>
      </c>
      <c r="R43" s="37">
        <v>29</v>
      </c>
      <c r="S43" s="37">
        <v>65</v>
      </c>
      <c r="T43" s="38">
        <v>422</v>
      </c>
    </row>
    <row r="44" spans="2:20" ht="15" customHeight="1">
      <c r="B44" s="93"/>
      <c r="C44" s="96"/>
      <c r="D44" s="5">
        <v>0.5</v>
      </c>
      <c r="E44" s="39">
        <v>10</v>
      </c>
      <c r="F44" s="40">
        <v>13</v>
      </c>
      <c r="G44" s="40">
        <v>15</v>
      </c>
      <c r="H44" s="40">
        <v>18</v>
      </c>
      <c r="I44" s="40">
        <v>20</v>
      </c>
      <c r="J44" s="40">
        <v>22</v>
      </c>
      <c r="K44" s="40">
        <v>836</v>
      </c>
      <c r="L44" s="41">
        <v>2640</v>
      </c>
      <c r="M44" s="39">
        <v>10</v>
      </c>
      <c r="N44" s="40">
        <v>13</v>
      </c>
      <c r="O44" s="40">
        <v>15</v>
      </c>
      <c r="P44" s="40">
        <v>18</v>
      </c>
      <c r="Q44" s="40">
        <v>22</v>
      </c>
      <c r="R44" s="40">
        <v>27</v>
      </c>
      <c r="S44" s="40">
        <v>68</v>
      </c>
      <c r="T44" s="41">
        <v>454</v>
      </c>
    </row>
    <row r="45" spans="2:20" ht="15" customHeight="1">
      <c r="B45" s="93"/>
      <c r="C45" s="96"/>
      <c r="D45" s="5">
        <v>0.75</v>
      </c>
      <c r="E45" s="39">
        <v>10</v>
      </c>
      <c r="F45" s="40">
        <v>13</v>
      </c>
      <c r="G45" s="40">
        <v>15</v>
      </c>
      <c r="H45" s="40">
        <v>19</v>
      </c>
      <c r="I45" s="40">
        <v>22</v>
      </c>
      <c r="J45" s="40">
        <v>486</v>
      </c>
      <c r="K45" s="40">
        <v>868</v>
      </c>
      <c r="L45" s="41">
        <v>2128</v>
      </c>
      <c r="M45" s="39">
        <v>11</v>
      </c>
      <c r="N45" s="40">
        <v>13</v>
      </c>
      <c r="O45" s="40">
        <v>16</v>
      </c>
      <c r="P45" s="40">
        <v>20</v>
      </c>
      <c r="Q45" s="40">
        <v>22</v>
      </c>
      <c r="R45" s="40">
        <v>44</v>
      </c>
      <c r="S45" s="40">
        <v>106</v>
      </c>
      <c r="T45" s="41">
        <v>506</v>
      </c>
    </row>
    <row r="46" spans="2:20" ht="15" customHeight="1" thickBot="1">
      <c r="B46" s="93"/>
      <c r="C46" s="97"/>
      <c r="D46" s="6">
        <v>1</v>
      </c>
      <c r="E46" s="42">
        <v>11</v>
      </c>
      <c r="F46" s="43">
        <v>13</v>
      </c>
      <c r="G46" s="43">
        <v>18</v>
      </c>
      <c r="H46" s="43">
        <v>274</v>
      </c>
      <c r="I46" s="43">
        <v>298</v>
      </c>
      <c r="J46" s="43">
        <v>342</v>
      </c>
      <c r="K46" s="43">
        <v>446</v>
      </c>
      <c r="L46" s="44">
        <v>1192</v>
      </c>
      <c r="M46" s="42">
        <v>11</v>
      </c>
      <c r="N46" s="43">
        <v>13</v>
      </c>
      <c r="O46" s="43">
        <v>18</v>
      </c>
      <c r="P46" s="43">
        <v>18</v>
      </c>
      <c r="Q46" s="43">
        <v>34</v>
      </c>
      <c r="R46" s="43">
        <v>69</v>
      </c>
      <c r="S46" s="43">
        <v>135</v>
      </c>
      <c r="T46" s="44">
        <v>524</v>
      </c>
    </row>
    <row r="47" spans="2:20" ht="15" customHeight="1">
      <c r="B47" s="93"/>
      <c r="C47" s="98" t="s">
        <v>7</v>
      </c>
      <c r="D47" s="4">
        <v>0.25</v>
      </c>
      <c r="E47" s="36">
        <v>15</v>
      </c>
      <c r="F47" s="37">
        <v>17</v>
      </c>
      <c r="G47" s="37">
        <v>19</v>
      </c>
      <c r="H47" s="37">
        <v>22</v>
      </c>
      <c r="I47" s="37">
        <v>27</v>
      </c>
      <c r="J47" s="37">
        <v>34</v>
      </c>
      <c r="K47" s="37">
        <v>61</v>
      </c>
      <c r="L47" s="38">
        <v>7648</v>
      </c>
      <c r="M47" s="36">
        <v>26</v>
      </c>
      <c r="N47" s="37">
        <v>23</v>
      </c>
      <c r="O47" s="37">
        <v>19</v>
      </c>
      <c r="P47" s="37">
        <v>22</v>
      </c>
      <c r="Q47" s="37">
        <v>29</v>
      </c>
      <c r="R47" s="37">
        <v>42</v>
      </c>
      <c r="S47" s="37">
        <v>91</v>
      </c>
      <c r="T47" s="38">
        <v>466</v>
      </c>
    </row>
    <row r="48" spans="2:20" ht="15" customHeight="1">
      <c r="B48" s="93"/>
      <c r="C48" s="96"/>
      <c r="D48" s="5">
        <v>0.5</v>
      </c>
      <c r="E48" s="39">
        <v>15</v>
      </c>
      <c r="F48" s="40">
        <v>17</v>
      </c>
      <c r="G48" s="40">
        <v>19</v>
      </c>
      <c r="H48" s="40">
        <v>23</v>
      </c>
      <c r="I48" s="40">
        <v>27</v>
      </c>
      <c r="J48" s="40">
        <v>31</v>
      </c>
      <c r="K48" s="40">
        <v>2864</v>
      </c>
      <c r="L48" s="41">
        <v>9280</v>
      </c>
      <c r="M48" s="39">
        <v>28</v>
      </c>
      <c r="N48" s="40">
        <v>29</v>
      </c>
      <c r="O48" s="40">
        <v>20</v>
      </c>
      <c r="P48" s="40">
        <v>24</v>
      </c>
      <c r="Q48" s="40">
        <v>30</v>
      </c>
      <c r="R48" s="40">
        <v>41</v>
      </c>
      <c r="S48" s="40">
        <v>91</v>
      </c>
      <c r="T48" s="41">
        <v>50432</v>
      </c>
    </row>
    <row r="49" spans="2:20" ht="15" customHeight="1">
      <c r="B49" s="93"/>
      <c r="C49" s="96"/>
      <c r="D49" s="5">
        <v>0.75</v>
      </c>
      <c r="E49" s="39">
        <v>15</v>
      </c>
      <c r="F49" s="40">
        <v>17</v>
      </c>
      <c r="G49" s="40">
        <v>20</v>
      </c>
      <c r="H49" s="40">
        <v>25</v>
      </c>
      <c r="I49" s="40">
        <v>29</v>
      </c>
      <c r="J49" s="40">
        <v>1736</v>
      </c>
      <c r="K49" s="40">
        <v>2864</v>
      </c>
      <c r="L49" s="41">
        <v>8512</v>
      </c>
      <c r="M49" s="39">
        <v>28</v>
      </c>
      <c r="N49" s="40">
        <v>30</v>
      </c>
      <c r="O49" s="40">
        <v>22</v>
      </c>
      <c r="P49" s="40">
        <v>25</v>
      </c>
      <c r="Q49" s="40">
        <v>29</v>
      </c>
      <c r="R49" s="40">
        <v>56</v>
      </c>
      <c r="S49" s="40">
        <v>414</v>
      </c>
      <c r="T49" s="41">
        <v>12096</v>
      </c>
    </row>
    <row r="50" spans="2:20" ht="15" customHeight="1" thickBot="1">
      <c r="B50" s="93"/>
      <c r="C50" s="97"/>
      <c r="D50" s="6">
        <v>1</v>
      </c>
      <c r="E50" s="42">
        <v>15</v>
      </c>
      <c r="F50" s="43">
        <v>18</v>
      </c>
      <c r="G50" s="43">
        <v>23</v>
      </c>
      <c r="H50" s="43">
        <v>636</v>
      </c>
      <c r="I50" s="43">
        <v>820</v>
      </c>
      <c r="J50" s="43">
        <v>1176</v>
      </c>
      <c r="K50" s="43">
        <v>1912</v>
      </c>
      <c r="L50" s="44">
        <v>6176</v>
      </c>
      <c r="M50" s="42">
        <v>15</v>
      </c>
      <c r="N50" s="43">
        <v>18</v>
      </c>
      <c r="O50" s="43">
        <v>23</v>
      </c>
      <c r="P50" s="43">
        <v>71</v>
      </c>
      <c r="Q50" s="43">
        <v>137</v>
      </c>
      <c r="R50" s="43">
        <v>270</v>
      </c>
      <c r="S50" s="43">
        <v>620</v>
      </c>
      <c r="T50" s="44">
        <v>11712</v>
      </c>
    </row>
    <row r="51" spans="2:20" ht="15" customHeight="1">
      <c r="B51" s="93"/>
      <c r="C51" s="98" t="s">
        <v>8</v>
      </c>
      <c r="D51" s="4">
        <v>0.25</v>
      </c>
      <c r="E51" s="24">
        <v>4907</v>
      </c>
      <c r="F51" s="25">
        <v>9471</v>
      </c>
      <c r="G51" s="25">
        <v>17511</v>
      </c>
      <c r="H51" s="25">
        <v>30130</v>
      </c>
      <c r="I51" s="25">
        <v>45862</v>
      </c>
      <c r="J51" s="25">
        <v>57921</v>
      </c>
      <c r="K51" s="25">
        <v>76034</v>
      </c>
      <c r="L51" s="26">
        <v>98418</v>
      </c>
      <c r="M51" s="24">
        <v>4957</v>
      </c>
      <c r="N51" s="25">
        <v>9660</v>
      </c>
      <c r="O51" s="25">
        <v>18239</v>
      </c>
      <c r="P51" s="25">
        <v>33338</v>
      </c>
      <c r="Q51" s="25">
        <v>54984</v>
      </c>
      <c r="R51" s="25">
        <v>78238</v>
      </c>
      <c r="S51" s="25">
        <v>93148</v>
      </c>
      <c r="T51" s="26">
        <v>124798</v>
      </c>
    </row>
    <row r="52" spans="2:20" ht="15" customHeight="1">
      <c r="B52" s="93"/>
      <c r="C52" s="96"/>
      <c r="D52" s="5">
        <v>0.5</v>
      </c>
      <c r="E52" s="27">
        <v>12799</v>
      </c>
      <c r="F52" s="28">
        <v>24077</v>
      </c>
      <c r="G52" s="28">
        <v>42326</v>
      </c>
      <c r="H52" s="28">
        <v>67441</v>
      </c>
      <c r="I52" s="28">
        <v>93277</v>
      </c>
      <c r="J52" s="28">
        <v>140945</v>
      </c>
      <c r="K52" s="28">
        <v>152578</v>
      </c>
      <c r="L52" s="29">
        <v>152720</v>
      </c>
      <c r="M52" s="27">
        <v>13016</v>
      </c>
      <c r="N52" s="28">
        <v>24672</v>
      </c>
      <c r="O52" s="28">
        <v>45430</v>
      </c>
      <c r="P52" s="28">
        <v>76635</v>
      </c>
      <c r="Q52" s="28">
        <v>114626</v>
      </c>
      <c r="R52" s="28">
        <v>149396</v>
      </c>
      <c r="S52" s="28">
        <v>211154</v>
      </c>
      <c r="T52" s="29">
        <v>241575</v>
      </c>
    </row>
    <row r="53" spans="2:20" ht="15" customHeight="1">
      <c r="B53" s="93"/>
      <c r="C53" s="96"/>
      <c r="D53" s="5">
        <v>0.75</v>
      </c>
      <c r="E53" s="27">
        <v>28401</v>
      </c>
      <c r="F53" s="28">
        <v>51511</v>
      </c>
      <c r="G53" s="28">
        <v>85043</v>
      </c>
      <c r="H53" s="28">
        <v>133443</v>
      </c>
      <c r="I53" s="28">
        <v>219243</v>
      </c>
      <c r="J53" s="28">
        <v>228124</v>
      </c>
      <c r="K53" s="28">
        <v>228214</v>
      </c>
      <c r="L53" s="29">
        <v>228089</v>
      </c>
      <c r="M53" s="27">
        <v>29013</v>
      </c>
      <c r="N53" s="28">
        <v>54027</v>
      </c>
      <c r="O53" s="28">
        <v>93324</v>
      </c>
      <c r="P53" s="28">
        <v>144638</v>
      </c>
      <c r="Q53" s="28">
        <v>203304</v>
      </c>
      <c r="R53" s="28">
        <v>311385</v>
      </c>
      <c r="S53" s="28">
        <v>367062</v>
      </c>
      <c r="T53" s="29">
        <v>361334</v>
      </c>
    </row>
    <row r="54" spans="2:20" ht="15" customHeight="1" thickBot="1">
      <c r="B54" s="94"/>
      <c r="C54" s="97"/>
      <c r="D54" s="6">
        <v>1</v>
      </c>
      <c r="E54" s="30">
        <v>91604</v>
      </c>
      <c r="F54" s="31">
        <v>177051</v>
      </c>
      <c r="G54" s="31">
        <v>316774</v>
      </c>
      <c r="H54" s="31">
        <v>353405</v>
      </c>
      <c r="I54" s="31">
        <v>353669</v>
      </c>
      <c r="J54" s="31">
        <v>353468</v>
      </c>
      <c r="K54" s="31">
        <v>353368</v>
      </c>
      <c r="L54" s="32">
        <v>353591</v>
      </c>
      <c r="M54" s="30">
        <v>92357</v>
      </c>
      <c r="N54" s="31">
        <v>177776</v>
      </c>
      <c r="O54" s="31">
        <v>317968</v>
      </c>
      <c r="P54" s="31">
        <v>485655</v>
      </c>
      <c r="Q54" s="31">
        <v>489257</v>
      </c>
      <c r="R54" s="31">
        <v>486641</v>
      </c>
      <c r="S54" s="31">
        <v>488661</v>
      </c>
      <c r="T54" s="32">
        <v>488484</v>
      </c>
    </row>
    <row r="59" spans="2:20" ht="15" customHeight="1">
      <c r="B59" s="47"/>
    </row>
  </sheetData>
  <mergeCells count="36">
    <mergeCell ref="AG2:AN2"/>
    <mergeCell ref="B2:D3"/>
    <mergeCell ref="E2:L2"/>
    <mergeCell ref="M2:T2"/>
    <mergeCell ref="V2:X3"/>
    <mergeCell ref="Y2:AF2"/>
    <mergeCell ref="B4:B15"/>
    <mergeCell ref="C4:C7"/>
    <mergeCell ref="V4:V15"/>
    <mergeCell ref="W4:W7"/>
    <mergeCell ref="C8:C11"/>
    <mergeCell ref="W8:W11"/>
    <mergeCell ref="C12:C15"/>
    <mergeCell ref="W12:W15"/>
    <mergeCell ref="B16:B27"/>
    <mergeCell ref="C16:C19"/>
    <mergeCell ref="V16:V27"/>
    <mergeCell ref="W16:W19"/>
    <mergeCell ref="C20:C23"/>
    <mergeCell ref="W20:W23"/>
    <mergeCell ref="C24:C27"/>
    <mergeCell ref="W24:W27"/>
    <mergeCell ref="E29:L29"/>
    <mergeCell ref="M29:T29"/>
    <mergeCell ref="X29:AB29"/>
    <mergeCell ref="X30:AB30"/>
    <mergeCell ref="B31:B42"/>
    <mergeCell ref="C31:C34"/>
    <mergeCell ref="X31:AB31"/>
    <mergeCell ref="C35:C38"/>
    <mergeCell ref="C39:C42"/>
    <mergeCell ref="B43:B54"/>
    <mergeCell ref="C43:C46"/>
    <mergeCell ref="C47:C50"/>
    <mergeCell ref="C51:C54"/>
    <mergeCell ref="B29:D30"/>
  </mergeCells>
  <phoneticPr fontId="1" type="noConversion"/>
  <conditionalFormatting sqref="W29">
    <cfRule type="cellIs" dxfId="272" priority="14" operator="lessThan">
      <formula>0.8</formula>
    </cfRule>
  </conditionalFormatting>
  <conditionalFormatting sqref="W30:W31">
    <cfRule type="cellIs" dxfId="271" priority="13" operator="lessThan">
      <formula>0.8</formula>
    </cfRule>
  </conditionalFormatting>
  <conditionalFormatting sqref="E31:T38">
    <cfRule type="expression" dxfId="270" priority="10">
      <formula>Y4&gt;1.1</formula>
    </cfRule>
  </conditionalFormatting>
  <conditionalFormatting sqref="E43:T50">
    <cfRule type="expression" dxfId="269" priority="9">
      <formula>Y16&gt;1.1</formula>
    </cfRule>
  </conditionalFormatting>
  <conditionalFormatting sqref="Y4:AN11 Y19:AN19 AD16:AH16 AC17:AH17 Y16:Z18 AB18:AN18 Y23:AN23 AD20:AG20 AL20:AN20 Y20:Z21 AK21:AN21 AL16:AN16 AK17:AN17 AB21:AF21 Y22:AF22 AJ22:AN22">
    <cfRule type="cellIs" dxfId="268" priority="7" operator="lessThan">
      <formula>0.9</formula>
    </cfRule>
    <cfRule type="cellIs" dxfId="267" priority="8" operator="greaterThan">
      <formula>1.1</formula>
    </cfRule>
  </conditionalFormatting>
  <conditionalFormatting sqref="Y12:AN15 Y24:AN27">
    <cfRule type="cellIs" dxfId="266" priority="6" operator="greaterThan">
      <formula>1.05</formula>
    </cfRule>
  </conditionalFormatting>
  <conditionalFormatting sqref="E4:T11">
    <cfRule type="expression" dxfId="265" priority="5">
      <formula>Y1048446&gt;1.1</formula>
    </cfRule>
  </conditionalFormatting>
  <conditionalFormatting sqref="E16:T23">
    <cfRule type="expression" dxfId="264" priority="4">
      <formula>Y1048458&gt;1.1</formula>
    </cfRule>
  </conditionalFormatting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R54"/>
  <sheetViews>
    <sheetView showGridLines="0" zoomScale="70" zoomScaleNormal="70" workbookViewId="0">
      <selection activeCell="V50" sqref="N50:V50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1.69921875" style="11" customWidth="1"/>
    <col min="5" max="22" width="6.59765625" style="11" customWidth="1"/>
    <col min="23" max="23" width="3.09765625" style="11" customWidth="1"/>
    <col min="24" max="24" width="13.09765625" style="11" customWidth="1"/>
    <col min="25" max="25" width="11" style="11" bestFit="1" customWidth="1"/>
    <col min="26" max="26" width="11.5" style="11" customWidth="1"/>
    <col min="27" max="44" width="6.59765625" style="11" customWidth="1"/>
    <col min="45" max="16384" width="9" style="11"/>
  </cols>
  <sheetData>
    <row r="1" spans="2:44" ht="15" customHeight="1" thickBot="1"/>
    <row r="2" spans="2:44" ht="15" customHeight="1">
      <c r="B2" s="99" t="s">
        <v>77</v>
      </c>
      <c r="C2" s="118"/>
      <c r="D2" s="119"/>
      <c r="E2" s="83" t="s">
        <v>14</v>
      </c>
      <c r="F2" s="84"/>
      <c r="G2" s="84"/>
      <c r="H2" s="84"/>
      <c r="I2" s="84"/>
      <c r="J2" s="84"/>
      <c r="K2" s="84"/>
      <c r="L2" s="84"/>
      <c r="M2" s="85"/>
      <c r="N2" s="83" t="s">
        <v>24</v>
      </c>
      <c r="O2" s="84"/>
      <c r="P2" s="84"/>
      <c r="Q2" s="84"/>
      <c r="R2" s="84"/>
      <c r="S2" s="84"/>
      <c r="T2" s="84"/>
      <c r="U2" s="84"/>
      <c r="V2" s="85"/>
      <c r="X2" s="105" t="str">
        <f>CONCATENATE(B2, CHAR(10), "vs ", B29)</f>
        <v>PM9A3_GDA71F25_20210527_TH4
vs PM9A3_GHA72F2L_20210702_TH4</v>
      </c>
      <c r="Y2" s="106"/>
      <c r="Z2" s="106"/>
      <c r="AA2" s="83" t="s">
        <v>84</v>
      </c>
      <c r="AB2" s="84"/>
      <c r="AC2" s="84"/>
      <c r="AD2" s="84"/>
      <c r="AE2" s="84"/>
      <c r="AF2" s="84"/>
      <c r="AG2" s="84"/>
      <c r="AH2" s="84"/>
      <c r="AI2" s="85"/>
      <c r="AJ2" s="83" t="s">
        <v>85</v>
      </c>
      <c r="AK2" s="84"/>
      <c r="AL2" s="84"/>
      <c r="AM2" s="84"/>
      <c r="AN2" s="84"/>
      <c r="AO2" s="84"/>
      <c r="AP2" s="84"/>
      <c r="AQ2" s="84"/>
      <c r="AR2" s="85"/>
    </row>
    <row r="3" spans="2:44" ht="20.25" customHeight="1" thickBot="1">
      <c r="B3" s="120"/>
      <c r="C3" s="121"/>
      <c r="D3" s="122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2" t="s">
        <v>23</v>
      </c>
      <c r="M3" s="3" t="s">
        <v>17</v>
      </c>
      <c r="N3" s="1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18</v>
      </c>
      <c r="T3" s="2" t="s">
        <v>16</v>
      </c>
      <c r="U3" s="2" t="s">
        <v>23</v>
      </c>
      <c r="V3" s="3" t="s">
        <v>17</v>
      </c>
      <c r="X3" s="107"/>
      <c r="Y3" s="108"/>
      <c r="Z3" s="108"/>
      <c r="AA3" s="1" t="s">
        <v>0</v>
      </c>
      <c r="AB3" s="2" t="s">
        <v>1</v>
      </c>
      <c r="AC3" s="2" t="s">
        <v>2</v>
      </c>
      <c r="AD3" s="2" t="s">
        <v>3</v>
      </c>
      <c r="AE3" s="2" t="s">
        <v>4</v>
      </c>
      <c r="AF3" s="2" t="s">
        <v>18</v>
      </c>
      <c r="AG3" s="2" t="s">
        <v>16</v>
      </c>
      <c r="AH3" s="2" t="s">
        <v>23</v>
      </c>
      <c r="AI3" s="3" t="s">
        <v>17</v>
      </c>
      <c r="AJ3" s="1" t="s">
        <v>0</v>
      </c>
      <c r="AK3" s="2" t="s">
        <v>1</v>
      </c>
      <c r="AL3" s="2" t="s">
        <v>2</v>
      </c>
      <c r="AM3" s="2" t="s">
        <v>3</v>
      </c>
      <c r="AN3" s="2" t="s">
        <v>4</v>
      </c>
      <c r="AO3" s="2" t="s">
        <v>18</v>
      </c>
      <c r="AP3" s="2" t="s">
        <v>16</v>
      </c>
      <c r="AQ3" s="2" t="s">
        <v>23</v>
      </c>
      <c r="AR3" s="3" t="s">
        <v>17</v>
      </c>
    </row>
    <row r="4" spans="2:44" ht="15" customHeight="1">
      <c r="B4" s="92" t="s">
        <v>5</v>
      </c>
      <c r="C4" s="98" t="s">
        <v>6</v>
      </c>
      <c r="D4" s="4">
        <v>0.25</v>
      </c>
      <c r="E4" s="36">
        <v>382</v>
      </c>
      <c r="F4" s="37">
        <v>414</v>
      </c>
      <c r="G4" s="37">
        <v>434</v>
      </c>
      <c r="H4" s="37">
        <v>442</v>
      </c>
      <c r="I4" s="37">
        <v>442</v>
      </c>
      <c r="J4" s="37">
        <v>446</v>
      </c>
      <c r="K4" s="37">
        <v>1688</v>
      </c>
      <c r="L4" s="37">
        <v>8032</v>
      </c>
      <c r="M4" s="38">
        <v>22912</v>
      </c>
      <c r="N4" s="36">
        <v>494</v>
      </c>
      <c r="O4" s="37">
        <v>564</v>
      </c>
      <c r="P4" s="37">
        <v>612</v>
      </c>
      <c r="Q4" s="37">
        <v>660</v>
      </c>
      <c r="R4" s="37">
        <v>708</v>
      </c>
      <c r="S4" s="37">
        <v>740</v>
      </c>
      <c r="T4" s="37">
        <v>2064</v>
      </c>
      <c r="U4" s="37">
        <v>7200</v>
      </c>
      <c r="V4" s="38">
        <v>19328</v>
      </c>
      <c r="X4" s="92" t="s">
        <v>5</v>
      </c>
      <c r="Y4" s="95" t="s">
        <v>6</v>
      </c>
      <c r="Z4" s="7">
        <v>0.25</v>
      </c>
      <c r="AA4" s="15">
        <f t="shared" ref="AA4:AP19" si="0">E31/E4</f>
        <v>0.83246073298429324</v>
      </c>
      <c r="AB4" s="16">
        <f t="shared" si="0"/>
        <v>0.92270531400966183</v>
      </c>
      <c r="AC4" s="16">
        <f t="shared" si="0"/>
        <v>0.97235023041474655</v>
      </c>
      <c r="AD4" s="16">
        <f t="shared" si="0"/>
        <v>1.0814479638009049</v>
      </c>
      <c r="AE4" s="16">
        <f t="shared" si="0"/>
        <v>1.1357466063348416</v>
      </c>
      <c r="AF4" s="16">
        <f t="shared" si="0"/>
        <v>1.1255605381165918</v>
      </c>
      <c r="AG4" s="16">
        <f t="shared" si="0"/>
        <v>0.29976303317535546</v>
      </c>
      <c r="AH4" s="16">
        <f t="shared" si="0"/>
        <v>0.41235059760956178</v>
      </c>
      <c r="AI4" s="17">
        <f t="shared" si="0"/>
        <v>0.47765363128491622</v>
      </c>
      <c r="AJ4" s="15">
        <f t="shared" si="0"/>
        <v>0.74898785425101211</v>
      </c>
      <c r="AK4" s="16">
        <f t="shared" si="0"/>
        <v>0.7978723404255319</v>
      </c>
      <c r="AL4" s="16">
        <f t="shared" si="0"/>
        <v>0.88235294117647056</v>
      </c>
      <c r="AM4" s="16">
        <f t="shared" si="0"/>
        <v>0.95151515151515154</v>
      </c>
      <c r="AN4" s="16">
        <f t="shared" si="0"/>
        <v>1.0790960451977401</v>
      </c>
      <c r="AO4" s="16">
        <f t="shared" si="0"/>
        <v>1.0864864864864865</v>
      </c>
      <c r="AP4" s="16">
        <f t="shared" si="0"/>
        <v>0.39728682170542634</v>
      </c>
      <c r="AQ4" s="16">
        <f t="shared" ref="AD4:AR19" si="1">U31/U4</f>
        <v>0.33111111111111113</v>
      </c>
      <c r="AR4" s="17">
        <f t="shared" si="1"/>
        <v>0.32284768211920528</v>
      </c>
    </row>
    <row r="5" spans="2:44" ht="15" customHeight="1">
      <c r="B5" s="93"/>
      <c r="C5" s="96"/>
      <c r="D5" s="5">
        <v>0.5</v>
      </c>
      <c r="E5" s="39">
        <v>310</v>
      </c>
      <c r="F5" s="40">
        <v>378</v>
      </c>
      <c r="G5" s="40">
        <v>442</v>
      </c>
      <c r="H5" s="40">
        <v>450</v>
      </c>
      <c r="I5" s="40">
        <v>454</v>
      </c>
      <c r="J5" s="40">
        <v>462</v>
      </c>
      <c r="K5" s="40">
        <v>1768</v>
      </c>
      <c r="L5" s="40">
        <v>6624</v>
      </c>
      <c r="M5" s="41">
        <v>18816</v>
      </c>
      <c r="N5" s="39">
        <v>370</v>
      </c>
      <c r="O5" s="40">
        <v>466</v>
      </c>
      <c r="P5" s="40">
        <v>572</v>
      </c>
      <c r="Q5" s="40">
        <v>748</v>
      </c>
      <c r="R5" s="40">
        <v>1020</v>
      </c>
      <c r="S5" s="40">
        <v>1480</v>
      </c>
      <c r="T5" s="40">
        <v>3664</v>
      </c>
      <c r="U5" s="40">
        <v>6432</v>
      </c>
      <c r="V5" s="41">
        <v>15680</v>
      </c>
      <c r="X5" s="93"/>
      <c r="Y5" s="96"/>
      <c r="Z5" s="5">
        <v>0.5</v>
      </c>
      <c r="AA5" s="18">
        <f t="shared" si="0"/>
        <v>0.87096774193548387</v>
      </c>
      <c r="AB5" s="12">
        <f t="shared" si="0"/>
        <v>0.87301587301587302</v>
      </c>
      <c r="AC5" s="12">
        <f t="shared" si="0"/>
        <v>0.92760180995475117</v>
      </c>
      <c r="AD5" s="12">
        <f t="shared" si="0"/>
        <v>1.0977777777777777</v>
      </c>
      <c r="AE5" s="12">
        <f t="shared" si="0"/>
        <v>1.277533039647577</v>
      </c>
      <c r="AF5" s="12">
        <f t="shared" si="0"/>
        <v>1.2900432900432901</v>
      </c>
      <c r="AG5" s="12">
        <f t="shared" si="0"/>
        <v>0.34162895927601811</v>
      </c>
      <c r="AH5" s="12">
        <f t="shared" si="0"/>
        <v>0.50483091787439616</v>
      </c>
      <c r="AI5" s="19">
        <f t="shared" si="0"/>
        <v>0.52040816326530615</v>
      </c>
      <c r="AJ5" s="18">
        <f t="shared" si="0"/>
        <v>0.72972972972972971</v>
      </c>
      <c r="AK5" s="12">
        <f t="shared" si="0"/>
        <v>0.75107296137339052</v>
      </c>
      <c r="AL5" s="12">
        <f t="shared" si="0"/>
        <v>0.78671328671328666</v>
      </c>
      <c r="AM5" s="12">
        <f t="shared" si="0"/>
        <v>0.74331550802139035</v>
      </c>
      <c r="AN5" s="12">
        <f t="shared" si="0"/>
        <v>0.74901960784313726</v>
      </c>
      <c r="AO5" s="12">
        <f t="shared" si="0"/>
        <v>0.68378378378378379</v>
      </c>
      <c r="AP5" s="12">
        <f t="shared" si="0"/>
        <v>0.2816593886462882</v>
      </c>
      <c r="AQ5" s="12">
        <f t="shared" si="1"/>
        <v>0.38557213930348261</v>
      </c>
      <c r="AR5" s="19">
        <f t="shared" si="1"/>
        <v>0.40612244897959182</v>
      </c>
    </row>
    <row r="6" spans="2:44" ht="15" customHeight="1">
      <c r="B6" s="93"/>
      <c r="C6" s="96"/>
      <c r="D6" s="5">
        <v>0.75</v>
      </c>
      <c r="E6" s="39">
        <v>258</v>
      </c>
      <c r="F6" s="40">
        <v>318</v>
      </c>
      <c r="G6" s="40">
        <v>398</v>
      </c>
      <c r="H6" s="40">
        <v>532</v>
      </c>
      <c r="I6" s="40">
        <v>804</v>
      </c>
      <c r="J6" s="40">
        <v>1304</v>
      </c>
      <c r="K6" s="40">
        <v>2320</v>
      </c>
      <c r="L6" s="40">
        <v>6816</v>
      </c>
      <c r="M6" s="41">
        <v>15168</v>
      </c>
      <c r="N6" s="39">
        <v>270</v>
      </c>
      <c r="O6" s="40">
        <v>346</v>
      </c>
      <c r="P6" s="40">
        <v>450</v>
      </c>
      <c r="Q6" s="40">
        <v>588</v>
      </c>
      <c r="R6" s="40">
        <v>852</v>
      </c>
      <c r="S6" s="40">
        <v>1304</v>
      </c>
      <c r="T6" s="40">
        <v>2096</v>
      </c>
      <c r="U6" s="40">
        <v>4960</v>
      </c>
      <c r="V6" s="41">
        <v>12096</v>
      </c>
      <c r="X6" s="93"/>
      <c r="Y6" s="96"/>
      <c r="Z6" s="5">
        <v>0.75</v>
      </c>
      <c r="AA6" s="18">
        <f t="shared" si="0"/>
        <v>0.87209302325581395</v>
      </c>
      <c r="AB6" s="12">
        <f t="shared" si="0"/>
        <v>0.8867924528301887</v>
      </c>
      <c r="AC6" s="12">
        <f t="shared" si="0"/>
        <v>0.89949748743718594</v>
      </c>
      <c r="AD6" s="12">
        <f t="shared" si="0"/>
        <v>0.90601503759398494</v>
      </c>
      <c r="AE6" s="12">
        <f t="shared" si="0"/>
        <v>1.0099502487562189</v>
      </c>
      <c r="AF6" s="12">
        <f t="shared" si="0"/>
        <v>1.294478527607362</v>
      </c>
      <c r="AG6" s="12">
        <f t="shared" si="0"/>
        <v>1.2758620689655173</v>
      </c>
      <c r="AH6" s="12">
        <f t="shared" si="0"/>
        <v>0.63380281690140849</v>
      </c>
      <c r="AI6" s="19">
        <f t="shared" si="0"/>
        <v>0.569620253164557</v>
      </c>
      <c r="AJ6" s="18">
        <f t="shared" si="0"/>
        <v>0.67777777777777781</v>
      </c>
      <c r="AK6" s="12">
        <f t="shared" si="0"/>
        <v>0.76878612716763006</v>
      </c>
      <c r="AL6" s="12">
        <f t="shared" si="0"/>
        <v>0.76888888888888884</v>
      </c>
      <c r="AM6" s="12">
        <f t="shared" si="0"/>
        <v>0.80612244897959184</v>
      </c>
      <c r="AN6" s="12">
        <f t="shared" si="0"/>
        <v>0.755868544600939</v>
      </c>
      <c r="AO6" s="12">
        <f t="shared" si="0"/>
        <v>1.0122699386503067</v>
      </c>
      <c r="AP6" s="12">
        <f t="shared" si="0"/>
        <v>1.0610687022900764</v>
      </c>
      <c r="AQ6" s="12">
        <f t="shared" si="1"/>
        <v>0.65483870967741931</v>
      </c>
      <c r="AR6" s="19">
        <f t="shared" si="1"/>
        <v>0.56878306878306883</v>
      </c>
    </row>
    <row r="7" spans="2:44" ht="15" customHeight="1" thickBot="1">
      <c r="B7" s="93"/>
      <c r="C7" s="97"/>
      <c r="D7" s="6">
        <v>1</v>
      </c>
      <c r="E7" s="42">
        <v>106</v>
      </c>
      <c r="F7" s="43">
        <v>120</v>
      </c>
      <c r="G7" s="43">
        <v>159</v>
      </c>
      <c r="H7" s="43">
        <v>243</v>
      </c>
      <c r="I7" s="43">
        <v>446</v>
      </c>
      <c r="J7" s="43">
        <v>900</v>
      </c>
      <c r="K7" s="43">
        <v>1704</v>
      </c>
      <c r="L7" s="43">
        <v>2864</v>
      </c>
      <c r="M7" s="44">
        <v>6432</v>
      </c>
      <c r="N7" s="42">
        <v>98</v>
      </c>
      <c r="O7" s="43">
        <v>108</v>
      </c>
      <c r="P7" s="43">
        <v>125</v>
      </c>
      <c r="Q7" s="43">
        <v>165</v>
      </c>
      <c r="R7" s="43">
        <v>258</v>
      </c>
      <c r="S7" s="43">
        <v>486</v>
      </c>
      <c r="T7" s="43">
        <v>908</v>
      </c>
      <c r="U7" s="43">
        <v>1752</v>
      </c>
      <c r="V7" s="44">
        <v>4016</v>
      </c>
      <c r="X7" s="93"/>
      <c r="Y7" s="97"/>
      <c r="Z7" s="6">
        <v>1</v>
      </c>
      <c r="AA7" s="20">
        <f t="shared" si="0"/>
        <v>1</v>
      </c>
      <c r="AB7" s="21">
        <f t="shared" si="0"/>
        <v>1</v>
      </c>
      <c r="AC7" s="21">
        <f t="shared" si="0"/>
        <v>0.98742138364779874</v>
      </c>
      <c r="AD7" s="21">
        <f t="shared" si="0"/>
        <v>0.99176954732510292</v>
      </c>
      <c r="AE7" s="21">
        <f t="shared" si="0"/>
        <v>0.99103139013452912</v>
      </c>
      <c r="AF7" s="21">
        <f t="shared" si="0"/>
        <v>0.99111111111111116</v>
      </c>
      <c r="AG7" s="21">
        <f t="shared" si="0"/>
        <v>1</v>
      </c>
      <c r="AH7" s="21">
        <f t="shared" si="0"/>
        <v>0.97765363128491622</v>
      </c>
      <c r="AI7" s="22">
        <f t="shared" si="0"/>
        <v>1</v>
      </c>
      <c r="AJ7" s="20">
        <f t="shared" si="0"/>
        <v>0.98979591836734693</v>
      </c>
      <c r="AK7" s="21">
        <f t="shared" si="0"/>
        <v>1</v>
      </c>
      <c r="AL7" s="21">
        <f t="shared" si="0"/>
        <v>1</v>
      </c>
      <c r="AM7" s="21">
        <f t="shared" si="0"/>
        <v>1</v>
      </c>
      <c r="AN7" s="21">
        <f t="shared" si="0"/>
        <v>1</v>
      </c>
      <c r="AO7" s="21">
        <f t="shared" si="0"/>
        <v>1.0082304526748971</v>
      </c>
      <c r="AP7" s="21">
        <f t="shared" si="0"/>
        <v>1.0088105726872247</v>
      </c>
      <c r="AQ7" s="21">
        <f t="shared" si="1"/>
        <v>0.9817351598173516</v>
      </c>
      <c r="AR7" s="22">
        <f t="shared" si="1"/>
        <v>1</v>
      </c>
    </row>
    <row r="8" spans="2:44" ht="15" customHeight="1">
      <c r="B8" s="93"/>
      <c r="C8" s="98" t="s">
        <v>7</v>
      </c>
      <c r="D8" s="4">
        <v>0.25</v>
      </c>
      <c r="E8" s="36">
        <v>884</v>
      </c>
      <c r="F8" s="37">
        <v>924</v>
      </c>
      <c r="G8" s="37">
        <v>964</v>
      </c>
      <c r="H8" s="37">
        <v>980</v>
      </c>
      <c r="I8" s="37">
        <v>988</v>
      </c>
      <c r="J8" s="37">
        <v>988</v>
      </c>
      <c r="K8" s="37">
        <v>1960</v>
      </c>
      <c r="L8" s="37">
        <v>10432</v>
      </c>
      <c r="M8" s="38">
        <v>30336</v>
      </c>
      <c r="N8" s="36">
        <v>884</v>
      </c>
      <c r="O8" s="37">
        <v>956</v>
      </c>
      <c r="P8" s="37">
        <v>1020</v>
      </c>
      <c r="Q8" s="37">
        <v>1096</v>
      </c>
      <c r="R8" s="37">
        <v>1208</v>
      </c>
      <c r="S8" s="37">
        <v>1496</v>
      </c>
      <c r="T8" s="37">
        <v>3216</v>
      </c>
      <c r="U8" s="37">
        <v>9536</v>
      </c>
      <c r="V8" s="38">
        <v>25216</v>
      </c>
      <c r="X8" s="93"/>
      <c r="Y8" s="98" t="s">
        <v>7</v>
      </c>
      <c r="Z8" s="4">
        <v>0.25</v>
      </c>
      <c r="AA8" s="15">
        <f t="shared" si="0"/>
        <v>1</v>
      </c>
      <c r="AB8" s="16">
        <f t="shared" si="0"/>
        <v>0.97402597402597402</v>
      </c>
      <c r="AC8" s="16">
        <f t="shared" si="0"/>
        <v>0.98340248962655596</v>
      </c>
      <c r="AD8" s="16">
        <f t="shared" si="0"/>
        <v>0.90204081632653066</v>
      </c>
      <c r="AE8" s="16">
        <f t="shared" si="0"/>
        <v>0.89473684210526316</v>
      </c>
      <c r="AF8" s="16">
        <f t="shared" si="0"/>
        <v>0.90283400809716596</v>
      </c>
      <c r="AG8" s="16">
        <f t="shared" si="0"/>
        <v>0.45510204081632655</v>
      </c>
      <c r="AH8" s="16">
        <f t="shared" si="0"/>
        <v>1.0122699386503067</v>
      </c>
      <c r="AI8" s="17">
        <f t="shared" si="0"/>
        <v>0.6371308016877637</v>
      </c>
      <c r="AJ8" s="15">
        <f t="shared" si="0"/>
        <v>0.95475113122171951</v>
      </c>
      <c r="AK8" s="16">
        <f t="shared" si="0"/>
        <v>0.94979079497907948</v>
      </c>
      <c r="AL8" s="16">
        <f t="shared" si="0"/>
        <v>0.97647058823529409</v>
      </c>
      <c r="AM8" s="16">
        <f t="shared" si="0"/>
        <v>1.0291970802919708</v>
      </c>
      <c r="AN8" s="16">
        <f t="shared" si="0"/>
        <v>1.0264900662251655</v>
      </c>
      <c r="AO8" s="16">
        <f t="shared" si="0"/>
        <v>0.87165775401069523</v>
      </c>
      <c r="AP8" s="16">
        <f t="shared" si="0"/>
        <v>0.41044776119402987</v>
      </c>
      <c r="AQ8" s="16">
        <f t="shared" si="1"/>
        <v>1.4563758389261745</v>
      </c>
      <c r="AR8" s="17">
        <f t="shared" si="1"/>
        <v>3.796954314720812</v>
      </c>
    </row>
    <row r="9" spans="2:44" ht="15" customHeight="1">
      <c r="B9" s="93"/>
      <c r="C9" s="96"/>
      <c r="D9" s="5">
        <v>0.5</v>
      </c>
      <c r="E9" s="39">
        <v>844</v>
      </c>
      <c r="F9" s="40">
        <v>884</v>
      </c>
      <c r="G9" s="40">
        <v>932</v>
      </c>
      <c r="H9" s="40">
        <v>1048</v>
      </c>
      <c r="I9" s="40">
        <v>1176</v>
      </c>
      <c r="J9" s="40">
        <v>1256</v>
      </c>
      <c r="K9" s="40">
        <v>2384</v>
      </c>
      <c r="L9" s="40">
        <v>8768</v>
      </c>
      <c r="M9" s="41">
        <v>24192</v>
      </c>
      <c r="N9" s="39">
        <v>804</v>
      </c>
      <c r="O9" s="40">
        <v>884</v>
      </c>
      <c r="P9" s="40">
        <v>980</v>
      </c>
      <c r="Q9" s="40">
        <v>1192</v>
      </c>
      <c r="R9" s="40">
        <v>1496</v>
      </c>
      <c r="S9" s="40">
        <v>2064</v>
      </c>
      <c r="T9" s="40">
        <v>4576</v>
      </c>
      <c r="U9" s="40">
        <v>8640</v>
      </c>
      <c r="V9" s="41">
        <v>19840</v>
      </c>
      <c r="X9" s="93"/>
      <c r="Y9" s="96"/>
      <c r="Z9" s="5">
        <v>0.5</v>
      </c>
      <c r="AA9" s="18">
        <f t="shared" si="0"/>
        <v>0.65876777251184837</v>
      </c>
      <c r="AB9" s="12">
        <f t="shared" si="0"/>
        <v>0.98190045248868774</v>
      </c>
      <c r="AC9" s="12">
        <f t="shared" si="0"/>
        <v>0.97424892703862664</v>
      </c>
      <c r="AD9" s="12">
        <f t="shared" si="0"/>
        <v>0.91984732824427484</v>
      </c>
      <c r="AE9" s="12">
        <f t="shared" si="0"/>
        <v>0.86734693877551017</v>
      </c>
      <c r="AF9" s="12">
        <f t="shared" si="0"/>
        <v>0.84713375796178347</v>
      </c>
      <c r="AG9" s="12">
        <f t="shared" si="0"/>
        <v>0.44630872483221479</v>
      </c>
      <c r="AH9" s="12">
        <f t="shared" si="0"/>
        <v>1.1313868613138687</v>
      </c>
      <c r="AI9" s="19">
        <f t="shared" si="0"/>
        <v>1.9788359788359788</v>
      </c>
      <c r="AJ9" s="18">
        <f t="shared" si="0"/>
        <v>0.89054726368159209</v>
      </c>
      <c r="AK9" s="12">
        <f t="shared" si="0"/>
        <v>0.92760180995475117</v>
      </c>
      <c r="AL9" s="12">
        <f t="shared" si="0"/>
        <v>0.92653061224489797</v>
      </c>
      <c r="AM9" s="12">
        <f t="shared" si="0"/>
        <v>0.87919463087248317</v>
      </c>
      <c r="AN9" s="12">
        <f t="shared" si="0"/>
        <v>0.97860962566844922</v>
      </c>
      <c r="AO9" s="12">
        <f t="shared" si="0"/>
        <v>1.0155038759689923</v>
      </c>
      <c r="AP9" s="12">
        <f t="shared" si="0"/>
        <v>0.46503496503496505</v>
      </c>
      <c r="AQ9" s="12">
        <f t="shared" si="1"/>
        <v>0.55185185185185182</v>
      </c>
      <c r="AR9" s="19">
        <f t="shared" si="1"/>
        <v>0.68709677419354842</v>
      </c>
    </row>
    <row r="10" spans="2:44" ht="15" customHeight="1">
      <c r="B10" s="93"/>
      <c r="C10" s="96"/>
      <c r="D10" s="5">
        <v>0.75</v>
      </c>
      <c r="E10" s="39">
        <v>556</v>
      </c>
      <c r="F10" s="40">
        <v>732</v>
      </c>
      <c r="G10" s="40">
        <v>876</v>
      </c>
      <c r="H10" s="40">
        <v>980</v>
      </c>
      <c r="I10" s="40">
        <v>1336</v>
      </c>
      <c r="J10" s="40">
        <v>2064</v>
      </c>
      <c r="K10" s="40">
        <v>3088</v>
      </c>
      <c r="L10" s="40">
        <v>8256</v>
      </c>
      <c r="M10" s="41">
        <v>19840</v>
      </c>
      <c r="N10" s="39">
        <v>748</v>
      </c>
      <c r="O10" s="40">
        <v>772</v>
      </c>
      <c r="P10" s="40">
        <v>884</v>
      </c>
      <c r="Q10" s="40">
        <v>1064</v>
      </c>
      <c r="R10" s="40">
        <v>1384</v>
      </c>
      <c r="S10" s="40">
        <v>1864</v>
      </c>
      <c r="T10" s="40">
        <v>2704</v>
      </c>
      <c r="U10" s="40">
        <v>6304</v>
      </c>
      <c r="V10" s="41">
        <v>16512</v>
      </c>
      <c r="X10" s="93"/>
      <c r="Y10" s="96"/>
      <c r="Z10" s="5">
        <v>0.75</v>
      </c>
      <c r="AA10" s="18">
        <f t="shared" si="0"/>
        <v>0.85251798561151082</v>
      </c>
      <c r="AB10" s="12">
        <f t="shared" si="0"/>
        <v>0.74863387978142082</v>
      </c>
      <c r="AC10" s="12">
        <f t="shared" si="0"/>
        <v>0.86301369863013699</v>
      </c>
      <c r="AD10" s="12">
        <f t="shared" si="0"/>
        <v>0.95102040816326527</v>
      </c>
      <c r="AE10" s="12">
        <f t="shared" si="0"/>
        <v>1.3233532934131738</v>
      </c>
      <c r="AF10" s="12">
        <f t="shared" si="0"/>
        <v>1.4186046511627908</v>
      </c>
      <c r="AG10" s="12">
        <f t="shared" si="0"/>
        <v>1.8341968911917099</v>
      </c>
      <c r="AH10" s="12">
        <f t="shared" si="0"/>
        <v>0.86434108527131781</v>
      </c>
      <c r="AI10" s="19">
        <f t="shared" si="0"/>
        <v>0.64838709677419359</v>
      </c>
      <c r="AJ10" s="18">
        <f t="shared" si="0"/>
        <v>0.82887700534759357</v>
      </c>
      <c r="AK10" s="12">
        <f t="shared" si="0"/>
        <v>0.89637305699481862</v>
      </c>
      <c r="AL10" s="12">
        <f t="shared" si="0"/>
        <v>0.93665158371040724</v>
      </c>
      <c r="AM10" s="12">
        <f t="shared" si="0"/>
        <v>0.92105263157894735</v>
      </c>
      <c r="AN10" s="12">
        <f t="shared" si="0"/>
        <v>1.0115606936416186</v>
      </c>
      <c r="AO10" s="12">
        <f t="shared" si="0"/>
        <v>1.3819742489270386</v>
      </c>
      <c r="AP10" s="12">
        <f t="shared" si="0"/>
        <v>1.4970414201183433</v>
      </c>
      <c r="AQ10" s="12">
        <f t="shared" si="1"/>
        <v>0.81725888324873097</v>
      </c>
      <c r="AR10" s="19">
        <f t="shared" si="1"/>
        <v>0.56976744186046513</v>
      </c>
    </row>
    <row r="11" spans="2:44" ht="15" customHeight="1" thickBot="1">
      <c r="B11" s="93"/>
      <c r="C11" s="97"/>
      <c r="D11" s="6">
        <v>1</v>
      </c>
      <c r="E11" s="42">
        <v>153</v>
      </c>
      <c r="F11" s="43">
        <v>193</v>
      </c>
      <c r="G11" s="43">
        <v>270</v>
      </c>
      <c r="H11" s="43">
        <v>442</v>
      </c>
      <c r="I11" s="43">
        <v>812</v>
      </c>
      <c r="J11" s="43">
        <v>1640</v>
      </c>
      <c r="K11" s="62">
        <v>3024</v>
      </c>
      <c r="L11" s="43">
        <v>4320</v>
      </c>
      <c r="M11" s="44">
        <v>7968</v>
      </c>
      <c r="N11" s="42">
        <v>139</v>
      </c>
      <c r="O11" s="43">
        <v>161</v>
      </c>
      <c r="P11" s="43">
        <v>203</v>
      </c>
      <c r="Q11" s="43">
        <v>282</v>
      </c>
      <c r="R11" s="43">
        <v>478</v>
      </c>
      <c r="S11" s="43">
        <v>916</v>
      </c>
      <c r="T11" s="62">
        <v>1672</v>
      </c>
      <c r="U11" s="43">
        <v>2576</v>
      </c>
      <c r="V11" s="44">
        <v>4896</v>
      </c>
      <c r="X11" s="93"/>
      <c r="Y11" s="97"/>
      <c r="Z11" s="6">
        <v>1</v>
      </c>
      <c r="AA11" s="20">
        <f t="shared" si="0"/>
        <v>1</v>
      </c>
      <c r="AB11" s="21">
        <f t="shared" si="0"/>
        <v>1</v>
      </c>
      <c r="AC11" s="21">
        <f t="shared" si="0"/>
        <v>0.98518518518518516</v>
      </c>
      <c r="AD11" s="21">
        <f t="shared" si="0"/>
        <v>0.97285067873303166</v>
      </c>
      <c r="AE11" s="21">
        <f t="shared" si="0"/>
        <v>0.98029556650246308</v>
      </c>
      <c r="AF11" s="21">
        <f t="shared" si="0"/>
        <v>1</v>
      </c>
      <c r="AG11" s="21">
        <f t="shared" si="0"/>
        <v>1.0105820105820107</v>
      </c>
      <c r="AH11" s="21">
        <f t="shared" si="0"/>
        <v>0.98518518518518516</v>
      </c>
      <c r="AI11" s="22">
        <f t="shared" si="0"/>
        <v>1</v>
      </c>
      <c r="AJ11" s="20">
        <f t="shared" si="0"/>
        <v>1</v>
      </c>
      <c r="AK11" s="21">
        <f t="shared" si="0"/>
        <v>1</v>
      </c>
      <c r="AL11" s="21">
        <f t="shared" si="0"/>
        <v>1</v>
      </c>
      <c r="AM11" s="21">
        <f t="shared" si="0"/>
        <v>1.0141843971631206</v>
      </c>
      <c r="AN11" s="21">
        <f t="shared" si="0"/>
        <v>1.0167364016736402</v>
      </c>
      <c r="AO11" s="21">
        <f t="shared" si="0"/>
        <v>1.0087336244541485</v>
      </c>
      <c r="AP11" s="21">
        <f t="shared" si="0"/>
        <v>1</v>
      </c>
      <c r="AQ11" s="21">
        <f t="shared" si="1"/>
        <v>0.98757763975155277</v>
      </c>
      <c r="AR11" s="22">
        <f t="shared" si="1"/>
        <v>1</v>
      </c>
    </row>
    <row r="12" spans="2:44" ht="15" customHeight="1">
      <c r="B12" s="93"/>
      <c r="C12" s="98" t="s">
        <v>8</v>
      </c>
      <c r="D12" s="4">
        <v>0.25</v>
      </c>
      <c r="E12" s="36">
        <v>22945</v>
      </c>
      <c r="F12" s="37">
        <v>25962</v>
      </c>
      <c r="G12" s="37">
        <v>25979</v>
      </c>
      <c r="H12" s="37">
        <v>25991</v>
      </c>
      <c r="I12" s="37">
        <v>25965</v>
      </c>
      <c r="J12" s="37">
        <v>25985</v>
      </c>
      <c r="K12" s="37">
        <v>26327</v>
      </c>
      <c r="L12" s="37">
        <v>26346</v>
      </c>
      <c r="M12" s="38">
        <v>26368</v>
      </c>
      <c r="N12" s="36">
        <v>24263</v>
      </c>
      <c r="O12" s="37">
        <v>31918</v>
      </c>
      <c r="P12" s="37">
        <v>31800</v>
      </c>
      <c r="Q12" s="37">
        <v>31819</v>
      </c>
      <c r="R12" s="37">
        <v>31826</v>
      </c>
      <c r="S12" s="37">
        <v>31810</v>
      </c>
      <c r="T12" s="37">
        <v>32567</v>
      </c>
      <c r="U12" s="37">
        <v>32620</v>
      </c>
      <c r="V12" s="38">
        <v>32594</v>
      </c>
      <c r="X12" s="93"/>
      <c r="Y12" s="98" t="s">
        <v>8</v>
      </c>
      <c r="Z12" s="4">
        <v>0.25</v>
      </c>
      <c r="AA12" s="15">
        <f t="shared" si="0"/>
        <v>1.217345826977555</v>
      </c>
      <c r="AB12" s="16">
        <f t="shared" si="0"/>
        <v>1.6875433325629767</v>
      </c>
      <c r="AC12" s="16">
        <f t="shared" si="0"/>
        <v>2.8474537126140342</v>
      </c>
      <c r="AD12" s="16">
        <f t="shared" si="0"/>
        <v>2.928052018006233</v>
      </c>
      <c r="AE12" s="16">
        <f t="shared" si="0"/>
        <v>2.9430772193337185</v>
      </c>
      <c r="AF12" s="16">
        <f t="shared" si="0"/>
        <v>2.9296132384067732</v>
      </c>
      <c r="AG12" s="16">
        <f t="shared" si="0"/>
        <v>2.8964181258783759</v>
      </c>
      <c r="AH12" s="16">
        <f t="shared" si="0"/>
        <v>2.8893190617171487</v>
      </c>
      <c r="AI12" s="17">
        <f t="shared" si="0"/>
        <v>2.886453276699029</v>
      </c>
      <c r="AJ12" s="15">
        <f t="shared" si="0"/>
        <v>1.2529777851048922</v>
      </c>
      <c r="AK12" s="16">
        <f t="shared" si="0"/>
        <v>1.5158217933454476</v>
      </c>
      <c r="AL12" s="16">
        <f t="shared" si="0"/>
        <v>2.3396226415094339</v>
      </c>
      <c r="AM12" s="16">
        <f t="shared" si="0"/>
        <v>3.5983217574405231</v>
      </c>
      <c r="AN12" s="16">
        <f t="shared" si="0"/>
        <v>4.1111355495506814</v>
      </c>
      <c r="AO12" s="16">
        <f t="shared" si="0"/>
        <v>4.0654196793461175</v>
      </c>
      <c r="AP12" s="16">
        <f t="shared" si="0"/>
        <v>3.9646574753584916</v>
      </c>
      <c r="AQ12" s="16">
        <f t="shared" si="1"/>
        <v>3.956683016554261</v>
      </c>
      <c r="AR12" s="17">
        <f t="shared" si="1"/>
        <v>3.9733386512855127</v>
      </c>
    </row>
    <row r="13" spans="2:44" ht="15" customHeight="1">
      <c r="B13" s="93"/>
      <c r="C13" s="96"/>
      <c r="D13" s="5">
        <v>0.5</v>
      </c>
      <c r="E13" s="39">
        <v>37165</v>
      </c>
      <c r="F13" s="40">
        <v>54606</v>
      </c>
      <c r="G13" s="40">
        <v>63391</v>
      </c>
      <c r="H13" s="40">
        <v>63356</v>
      </c>
      <c r="I13" s="40">
        <v>63325</v>
      </c>
      <c r="J13" s="40">
        <v>63349</v>
      </c>
      <c r="K13" s="40">
        <v>67326</v>
      </c>
      <c r="L13" s="40">
        <v>67304</v>
      </c>
      <c r="M13" s="41">
        <v>67356</v>
      </c>
      <c r="N13" s="39">
        <v>39025</v>
      </c>
      <c r="O13" s="40">
        <v>61260</v>
      </c>
      <c r="P13" s="40">
        <v>81920</v>
      </c>
      <c r="Q13" s="40">
        <v>80663</v>
      </c>
      <c r="R13" s="40">
        <v>80647</v>
      </c>
      <c r="S13" s="40">
        <v>80621</v>
      </c>
      <c r="T13" s="40">
        <v>86994</v>
      </c>
      <c r="U13" s="40">
        <v>87080</v>
      </c>
      <c r="V13" s="41">
        <v>87019</v>
      </c>
      <c r="X13" s="93"/>
      <c r="Y13" s="96"/>
      <c r="Z13" s="5">
        <v>0.5</v>
      </c>
      <c r="AA13" s="18">
        <f t="shared" si="0"/>
        <v>1.1234225750033633</v>
      </c>
      <c r="AB13" s="12">
        <f t="shared" si="0"/>
        <v>1.2253232245540784</v>
      </c>
      <c r="AC13" s="12">
        <f t="shared" si="0"/>
        <v>1.4563897083182156</v>
      </c>
      <c r="AD13" s="12">
        <f t="shared" si="0"/>
        <v>2.244349390744365</v>
      </c>
      <c r="AE13" s="12">
        <f t="shared" si="0"/>
        <v>2.4152862218712987</v>
      </c>
      <c r="AF13" s="12">
        <f t="shared" si="0"/>
        <v>2.4139607570758814</v>
      </c>
      <c r="AG13" s="12">
        <f t="shared" si="0"/>
        <v>2.270950301517987</v>
      </c>
      <c r="AH13" s="12">
        <f t="shared" si="0"/>
        <v>2.2630898609295138</v>
      </c>
      <c r="AI13" s="19">
        <f t="shared" si="0"/>
        <v>2.2615505671358158</v>
      </c>
      <c r="AJ13" s="18">
        <f t="shared" si="0"/>
        <v>1.1462908392056375</v>
      </c>
      <c r="AK13" s="12">
        <f t="shared" si="0"/>
        <v>1.2411361410381978</v>
      </c>
      <c r="AL13" s="12">
        <f t="shared" si="0"/>
        <v>1.40228271484375</v>
      </c>
      <c r="AM13" s="12">
        <f t="shared" si="0"/>
        <v>2.0757100529362904</v>
      </c>
      <c r="AN13" s="12">
        <f t="shared" si="0"/>
        <v>2.8150210175208006</v>
      </c>
      <c r="AO13" s="12">
        <f t="shared" si="0"/>
        <v>3.1764800734299996</v>
      </c>
      <c r="AP13" s="12">
        <f t="shared" si="0"/>
        <v>2.9286272616502287</v>
      </c>
      <c r="AQ13" s="12">
        <f t="shared" si="1"/>
        <v>2.9448093706936151</v>
      </c>
      <c r="AR13" s="19">
        <f t="shared" si="1"/>
        <v>2.9437823923510957</v>
      </c>
    </row>
    <row r="14" spans="2:44" ht="15" customHeight="1">
      <c r="B14" s="93"/>
      <c r="C14" s="96"/>
      <c r="D14" s="5">
        <v>0.75</v>
      </c>
      <c r="E14" s="39">
        <v>48513</v>
      </c>
      <c r="F14" s="40">
        <v>81660</v>
      </c>
      <c r="G14" s="40">
        <v>114791</v>
      </c>
      <c r="H14" s="40">
        <v>131381</v>
      </c>
      <c r="I14" s="40">
        <v>131258</v>
      </c>
      <c r="J14" s="40">
        <v>131246</v>
      </c>
      <c r="K14" s="40">
        <v>131403</v>
      </c>
      <c r="L14" s="40">
        <v>131342</v>
      </c>
      <c r="M14" s="41">
        <v>131412</v>
      </c>
      <c r="N14" s="39">
        <v>49887</v>
      </c>
      <c r="O14" s="40">
        <v>88050</v>
      </c>
      <c r="P14" s="40">
        <v>137063</v>
      </c>
      <c r="Q14" s="40">
        <v>176328</v>
      </c>
      <c r="R14" s="40">
        <v>178653</v>
      </c>
      <c r="S14" s="40">
        <v>178317</v>
      </c>
      <c r="T14" s="40">
        <v>178394</v>
      </c>
      <c r="U14" s="40">
        <v>178489</v>
      </c>
      <c r="V14" s="41">
        <v>178519</v>
      </c>
      <c r="X14" s="93"/>
      <c r="Y14" s="96"/>
      <c r="Z14" s="5">
        <v>0.75</v>
      </c>
      <c r="AA14" s="18">
        <f t="shared" si="0"/>
        <v>1.0618184816440954</v>
      </c>
      <c r="AB14" s="12">
        <f t="shared" si="0"/>
        <v>1.1014450159196669</v>
      </c>
      <c r="AC14" s="12">
        <f t="shared" si="0"/>
        <v>1.2049638037825265</v>
      </c>
      <c r="AD14" s="12">
        <f t="shared" si="0"/>
        <v>1.308552987113814</v>
      </c>
      <c r="AE14" s="12">
        <f t="shared" si="0"/>
        <v>1.7197961267122766</v>
      </c>
      <c r="AF14" s="12">
        <f t="shared" si="0"/>
        <v>2.1007192600155435</v>
      </c>
      <c r="AG14" s="12">
        <f t="shared" si="0"/>
        <v>2.2527720067273957</v>
      </c>
      <c r="AH14" s="12">
        <f t="shared" si="0"/>
        <v>2.2492652769106609</v>
      </c>
      <c r="AI14" s="19">
        <f t="shared" si="0"/>
        <v>2.2509283779259124</v>
      </c>
      <c r="AJ14" s="18">
        <f t="shared" si="0"/>
        <v>1.0809830216288814</v>
      </c>
      <c r="AK14" s="12">
        <f t="shared" si="0"/>
        <v>1.1121976149914821</v>
      </c>
      <c r="AL14" s="12">
        <f t="shared" si="0"/>
        <v>1.2157839825481713</v>
      </c>
      <c r="AM14" s="12">
        <f t="shared" si="0"/>
        <v>1.3419763168640262</v>
      </c>
      <c r="AN14" s="12">
        <f t="shared" si="0"/>
        <v>1.7150845493778442</v>
      </c>
      <c r="AO14" s="12">
        <f t="shared" si="0"/>
        <v>2.050415832478115</v>
      </c>
      <c r="AP14" s="12">
        <f t="shared" si="0"/>
        <v>2.3894077155061271</v>
      </c>
      <c r="AQ14" s="12">
        <f t="shared" si="1"/>
        <v>2.3789253119239842</v>
      </c>
      <c r="AR14" s="19">
        <f t="shared" si="1"/>
        <v>2.3956833726382065</v>
      </c>
    </row>
    <row r="15" spans="2:44" ht="15" customHeight="1" thickBot="1">
      <c r="B15" s="94"/>
      <c r="C15" s="97"/>
      <c r="D15" s="6">
        <v>1</v>
      </c>
      <c r="E15" s="42">
        <v>60807</v>
      </c>
      <c r="F15" s="43">
        <v>115765</v>
      </c>
      <c r="G15" s="43">
        <v>209249</v>
      </c>
      <c r="H15" s="43">
        <v>338886</v>
      </c>
      <c r="I15" s="43">
        <v>461105</v>
      </c>
      <c r="J15" s="43">
        <v>536721</v>
      </c>
      <c r="K15" s="43">
        <v>570671</v>
      </c>
      <c r="L15" s="43">
        <v>570778</v>
      </c>
      <c r="M15" s="44">
        <v>570803</v>
      </c>
      <c r="N15" s="42">
        <v>61816</v>
      </c>
      <c r="O15" s="43">
        <v>120041</v>
      </c>
      <c r="P15" s="43">
        <v>226704</v>
      </c>
      <c r="Q15" s="43">
        <v>401777</v>
      </c>
      <c r="R15" s="43">
        <v>628957</v>
      </c>
      <c r="S15" s="43">
        <v>822938</v>
      </c>
      <c r="T15" s="43">
        <v>851230</v>
      </c>
      <c r="U15" s="43">
        <v>851120</v>
      </c>
      <c r="V15" s="44">
        <v>851113</v>
      </c>
      <c r="X15" s="94"/>
      <c r="Y15" s="97"/>
      <c r="Z15" s="6">
        <v>1</v>
      </c>
      <c r="AA15" s="20">
        <f t="shared" si="0"/>
        <v>1.0000328909500551</v>
      </c>
      <c r="AB15" s="21">
        <f t="shared" si="0"/>
        <v>0.99990497991620952</v>
      </c>
      <c r="AC15" s="21">
        <f t="shared" si="0"/>
        <v>1.0004062146055657</v>
      </c>
      <c r="AD15" s="21">
        <f t="shared" si="0"/>
        <v>1.0007170552929303</v>
      </c>
      <c r="AE15" s="21">
        <f t="shared" si="0"/>
        <v>1.0008978432244282</v>
      </c>
      <c r="AF15" s="21">
        <f t="shared" si="0"/>
        <v>1.0009036352220242</v>
      </c>
      <c r="AG15" s="21">
        <f t="shared" si="0"/>
        <v>1.0007079385495321</v>
      </c>
      <c r="AH15" s="21">
        <f t="shared" si="0"/>
        <v>1.0006412300404011</v>
      </c>
      <c r="AI15" s="22">
        <f t="shared" si="0"/>
        <v>1.0007515727843057</v>
      </c>
      <c r="AJ15" s="20">
        <f t="shared" si="0"/>
        <v>1.0004853112462793</v>
      </c>
      <c r="AK15" s="21">
        <f t="shared" si="0"/>
        <v>1.0007830657858565</v>
      </c>
      <c r="AL15" s="21">
        <f t="shared" si="0"/>
        <v>1.0004499258945585</v>
      </c>
      <c r="AM15" s="21">
        <f t="shared" si="0"/>
        <v>0.99940016476801807</v>
      </c>
      <c r="AN15" s="21">
        <f t="shared" si="0"/>
        <v>0.99877416103167627</v>
      </c>
      <c r="AO15" s="21">
        <f t="shared" si="0"/>
        <v>0.99720270542859846</v>
      </c>
      <c r="AP15" s="21">
        <f t="shared" si="0"/>
        <v>0.99999765045874789</v>
      </c>
      <c r="AQ15" s="21">
        <f t="shared" si="1"/>
        <v>1.0042203214587837</v>
      </c>
      <c r="AR15" s="22">
        <f t="shared" si="1"/>
        <v>1.002695294279373</v>
      </c>
    </row>
    <row r="16" spans="2:44" ht="15" customHeight="1">
      <c r="B16" s="83" t="s">
        <v>9</v>
      </c>
      <c r="C16" s="98" t="s">
        <v>6</v>
      </c>
      <c r="D16" s="4">
        <v>0.25</v>
      </c>
      <c r="E16" s="36">
        <v>13</v>
      </c>
      <c r="F16" s="37">
        <v>14</v>
      </c>
      <c r="G16" s="37">
        <v>16</v>
      </c>
      <c r="H16" s="37">
        <v>23</v>
      </c>
      <c r="I16" s="37">
        <v>58</v>
      </c>
      <c r="J16" s="37">
        <v>57</v>
      </c>
      <c r="K16" s="37">
        <v>58</v>
      </c>
      <c r="L16" s="37">
        <v>4832</v>
      </c>
      <c r="M16" s="38">
        <v>13248</v>
      </c>
      <c r="N16" s="36">
        <v>13</v>
      </c>
      <c r="O16" s="37">
        <v>14</v>
      </c>
      <c r="P16" s="37">
        <v>16</v>
      </c>
      <c r="Q16" s="37">
        <v>18</v>
      </c>
      <c r="R16" s="37">
        <v>17</v>
      </c>
      <c r="S16" s="37">
        <v>17</v>
      </c>
      <c r="T16" s="37">
        <v>17</v>
      </c>
      <c r="U16" s="37">
        <v>3472</v>
      </c>
      <c r="V16" s="38">
        <v>10688</v>
      </c>
      <c r="X16" s="83" t="s">
        <v>9</v>
      </c>
      <c r="Y16" s="98" t="s">
        <v>6</v>
      </c>
      <c r="Z16" s="4">
        <v>0.25</v>
      </c>
      <c r="AA16" s="15">
        <f t="shared" si="0"/>
        <v>1</v>
      </c>
      <c r="AB16" s="16">
        <f t="shared" si="0"/>
        <v>1</v>
      </c>
      <c r="AC16" s="16">
        <f t="shared" si="0"/>
        <v>1</v>
      </c>
      <c r="AD16" s="16">
        <f t="shared" si="0"/>
        <v>0.73913043478260865</v>
      </c>
      <c r="AE16" s="16">
        <f t="shared" si="0"/>
        <v>0.31034482758620691</v>
      </c>
      <c r="AF16" s="16">
        <f t="shared" si="0"/>
        <v>0.35087719298245612</v>
      </c>
      <c r="AG16" s="16">
        <f t="shared" si="0"/>
        <v>0.53448275862068961</v>
      </c>
      <c r="AH16" s="16">
        <f t="shared" si="0"/>
        <v>0.55960264900662249</v>
      </c>
      <c r="AI16" s="17">
        <f t="shared" si="0"/>
        <v>0.53381642512077299</v>
      </c>
      <c r="AJ16" s="15">
        <f t="shared" si="0"/>
        <v>1</v>
      </c>
      <c r="AK16" s="16">
        <f t="shared" si="0"/>
        <v>1</v>
      </c>
      <c r="AL16" s="16">
        <f t="shared" si="0"/>
        <v>1</v>
      </c>
      <c r="AM16" s="16">
        <f t="shared" si="0"/>
        <v>1.1111111111111112</v>
      </c>
      <c r="AN16" s="16">
        <f t="shared" si="0"/>
        <v>1.3529411764705883</v>
      </c>
      <c r="AO16" s="16">
        <f t="shared" si="0"/>
        <v>1.5294117647058822</v>
      </c>
      <c r="AP16" s="16">
        <f t="shared" si="0"/>
        <v>2</v>
      </c>
      <c r="AQ16" s="16">
        <f t="shared" si="1"/>
        <v>0.57373271889400923</v>
      </c>
      <c r="AR16" s="17">
        <f t="shared" si="1"/>
        <v>0.54790419161676651</v>
      </c>
    </row>
    <row r="17" spans="2:44" ht="15" customHeight="1">
      <c r="B17" s="93"/>
      <c r="C17" s="96"/>
      <c r="D17" s="5">
        <v>0.5</v>
      </c>
      <c r="E17" s="39">
        <v>13</v>
      </c>
      <c r="F17" s="40">
        <v>15</v>
      </c>
      <c r="G17" s="40">
        <v>169</v>
      </c>
      <c r="H17" s="40">
        <v>482</v>
      </c>
      <c r="I17" s="40">
        <v>1080</v>
      </c>
      <c r="J17" s="40">
        <v>2288</v>
      </c>
      <c r="K17" s="40">
        <v>3664</v>
      </c>
      <c r="L17" s="40">
        <v>9152</v>
      </c>
      <c r="M17" s="41">
        <v>21376</v>
      </c>
      <c r="N17" s="39">
        <v>13</v>
      </c>
      <c r="O17" s="40">
        <v>15</v>
      </c>
      <c r="P17" s="40">
        <v>16</v>
      </c>
      <c r="Q17" s="40">
        <v>402</v>
      </c>
      <c r="R17" s="40">
        <v>892</v>
      </c>
      <c r="S17" s="40">
        <v>1864</v>
      </c>
      <c r="T17" s="40">
        <v>3376</v>
      </c>
      <c r="U17" s="40">
        <v>6944</v>
      </c>
      <c r="V17" s="41">
        <v>16320</v>
      </c>
      <c r="X17" s="93"/>
      <c r="Y17" s="96"/>
      <c r="Z17" s="5">
        <v>0.5</v>
      </c>
      <c r="AA17" s="18">
        <f t="shared" si="0"/>
        <v>1</v>
      </c>
      <c r="AB17" s="12">
        <f t="shared" si="0"/>
        <v>0.93333333333333335</v>
      </c>
      <c r="AC17" s="12">
        <f t="shared" si="0"/>
        <v>9.4674556213017749E-2</v>
      </c>
      <c r="AD17" s="12">
        <f t="shared" si="0"/>
        <v>3.7344398340248962E-2</v>
      </c>
      <c r="AE17" s="12">
        <f t="shared" si="0"/>
        <v>0.76666666666666672</v>
      </c>
      <c r="AF17" s="12">
        <f t="shared" si="0"/>
        <v>0.64685314685314688</v>
      </c>
      <c r="AG17" s="12">
        <f t="shared" si="0"/>
        <v>0.72052401746724892</v>
      </c>
      <c r="AH17" s="12">
        <f t="shared" si="0"/>
        <v>0.50699300699300698</v>
      </c>
      <c r="AI17" s="19">
        <f t="shared" si="0"/>
        <v>0.51796407185628746</v>
      </c>
      <c r="AJ17" s="18">
        <f t="shared" si="0"/>
        <v>1</v>
      </c>
      <c r="AK17" s="12">
        <f t="shared" si="0"/>
        <v>0.93333333333333335</v>
      </c>
      <c r="AL17" s="12">
        <f t="shared" si="0"/>
        <v>1.0625</v>
      </c>
      <c r="AM17" s="12">
        <f t="shared" si="0"/>
        <v>4.975124378109453E-2</v>
      </c>
      <c r="AN17" s="12">
        <f t="shared" si="0"/>
        <v>3.0269058295964126E-2</v>
      </c>
      <c r="AO17" s="12">
        <f t="shared" si="0"/>
        <v>0.4356223175965665</v>
      </c>
      <c r="AP17" s="12">
        <f t="shared" si="0"/>
        <v>0.53317535545023698</v>
      </c>
      <c r="AQ17" s="12">
        <f t="shared" si="1"/>
        <v>0.4447004608294931</v>
      </c>
      <c r="AR17" s="19">
        <f t="shared" si="1"/>
        <v>0.40980392156862744</v>
      </c>
    </row>
    <row r="18" spans="2:44" ht="15" customHeight="1">
      <c r="B18" s="93"/>
      <c r="C18" s="96"/>
      <c r="D18" s="5">
        <v>0.75</v>
      </c>
      <c r="E18" s="39">
        <v>13</v>
      </c>
      <c r="F18" s="40">
        <v>120</v>
      </c>
      <c r="G18" s="40">
        <v>243</v>
      </c>
      <c r="H18" s="40">
        <v>486</v>
      </c>
      <c r="I18" s="40">
        <v>972</v>
      </c>
      <c r="J18" s="40">
        <v>1960</v>
      </c>
      <c r="K18" s="40">
        <v>3824</v>
      </c>
      <c r="L18" s="40">
        <v>10688</v>
      </c>
      <c r="M18" s="41">
        <v>25472</v>
      </c>
      <c r="N18" s="39">
        <v>13</v>
      </c>
      <c r="O18" s="40">
        <v>106</v>
      </c>
      <c r="P18" s="40">
        <v>241</v>
      </c>
      <c r="Q18" s="40">
        <v>486</v>
      </c>
      <c r="R18" s="40">
        <v>972</v>
      </c>
      <c r="S18" s="40">
        <v>1960</v>
      </c>
      <c r="T18" s="40">
        <v>3856</v>
      </c>
      <c r="U18" s="40">
        <v>9408</v>
      </c>
      <c r="V18" s="41">
        <v>21632</v>
      </c>
      <c r="X18" s="93"/>
      <c r="Y18" s="96"/>
      <c r="Z18" s="5">
        <v>0.75</v>
      </c>
      <c r="AA18" s="18">
        <f t="shared" si="0"/>
        <v>1</v>
      </c>
      <c r="AB18" s="12">
        <f t="shared" si="0"/>
        <v>0.125</v>
      </c>
      <c r="AC18" s="12">
        <f t="shared" si="0"/>
        <v>6.9958847736625515E-2</v>
      </c>
      <c r="AD18" s="12">
        <f t="shared" si="0"/>
        <v>1</v>
      </c>
      <c r="AE18" s="12">
        <f t="shared" si="0"/>
        <v>0.86008230452674894</v>
      </c>
      <c r="AF18" s="12">
        <f t="shared" si="0"/>
        <v>0.70612244897959187</v>
      </c>
      <c r="AG18" s="12">
        <f t="shared" si="0"/>
        <v>0.56485355648535562</v>
      </c>
      <c r="AH18" s="12">
        <f t="shared" si="0"/>
        <v>0.39820359281437123</v>
      </c>
      <c r="AI18" s="19">
        <f t="shared" si="0"/>
        <v>0.46984924623115576</v>
      </c>
      <c r="AJ18" s="18">
        <f t="shared" si="0"/>
        <v>1</v>
      </c>
      <c r="AK18" s="12">
        <f t="shared" si="0"/>
        <v>0.14150943396226415</v>
      </c>
      <c r="AL18" s="12">
        <f t="shared" si="0"/>
        <v>7.8838174273858919E-2</v>
      </c>
      <c r="AM18" s="12">
        <f t="shared" si="0"/>
        <v>6.1728395061728392E-2</v>
      </c>
      <c r="AN18" s="12">
        <f t="shared" si="0"/>
        <v>0.34362139917695472</v>
      </c>
      <c r="AO18" s="12">
        <f t="shared" si="0"/>
        <v>0.34897959183673471</v>
      </c>
      <c r="AP18" s="12">
        <f t="shared" si="0"/>
        <v>0.35892116182572614</v>
      </c>
      <c r="AQ18" s="12">
        <f t="shared" si="1"/>
        <v>0.29081632653061223</v>
      </c>
      <c r="AR18" s="19">
        <f t="shared" si="1"/>
        <v>0.30325443786982248</v>
      </c>
    </row>
    <row r="19" spans="2:44" ht="15" customHeight="1" thickBot="1">
      <c r="B19" s="93"/>
      <c r="C19" s="97"/>
      <c r="D19" s="6">
        <v>1</v>
      </c>
      <c r="E19" s="42">
        <v>66</v>
      </c>
      <c r="F19" s="43">
        <v>101</v>
      </c>
      <c r="G19" s="43">
        <v>205</v>
      </c>
      <c r="H19" s="43">
        <v>374</v>
      </c>
      <c r="I19" s="43">
        <v>748</v>
      </c>
      <c r="J19" s="43">
        <v>1464</v>
      </c>
      <c r="K19" s="43">
        <v>2928</v>
      </c>
      <c r="L19" s="43">
        <v>8512</v>
      </c>
      <c r="M19" s="44">
        <v>19328</v>
      </c>
      <c r="N19" s="42">
        <v>37</v>
      </c>
      <c r="O19" s="43">
        <v>76</v>
      </c>
      <c r="P19" s="43">
        <v>153</v>
      </c>
      <c r="Q19" s="43">
        <v>306</v>
      </c>
      <c r="R19" s="43">
        <v>612</v>
      </c>
      <c r="S19" s="43">
        <v>1224</v>
      </c>
      <c r="T19" s="43">
        <v>2448</v>
      </c>
      <c r="U19" s="43">
        <v>5152</v>
      </c>
      <c r="V19" s="44">
        <v>16768</v>
      </c>
      <c r="X19" s="93"/>
      <c r="Y19" s="97"/>
      <c r="Z19" s="6">
        <v>1</v>
      </c>
      <c r="AA19" s="20">
        <f t="shared" si="0"/>
        <v>0.19696969696969696</v>
      </c>
      <c r="AB19" s="21">
        <f t="shared" si="0"/>
        <v>3.0297029702970297</v>
      </c>
      <c r="AC19" s="21">
        <f t="shared" si="0"/>
        <v>2.3317073170731706</v>
      </c>
      <c r="AD19" s="21">
        <f t="shared" si="1"/>
        <v>1.5935828877005347</v>
      </c>
      <c r="AE19" s="21">
        <f t="shared" si="1"/>
        <v>0.96791443850267378</v>
      </c>
      <c r="AF19" s="21">
        <f t="shared" si="1"/>
        <v>0.70491803278688525</v>
      </c>
      <c r="AG19" s="21">
        <f t="shared" si="1"/>
        <v>0.4453551912568306</v>
      </c>
      <c r="AH19" s="21">
        <f t="shared" si="1"/>
        <v>0.38909774436090228</v>
      </c>
      <c r="AI19" s="22">
        <f t="shared" si="1"/>
        <v>0.46688741721854304</v>
      </c>
      <c r="AJ19" s="20">
        <f t="shared" si="1"/>
        <v>0.3783783783783784</v>
      </c>
      <c r="AK19" s="21">
        <f t="shared" si="1"/>
        <v>0.26315789473684209</v>
      </c>
      <c r="AL19" s="21">
        <f t="shared" si="1"/>
        <v>1.1568627450980393</v>
      </c>
      <c r="AM19" s="21">
        <f t="shared" si="1"/>
        <v>1.1568627450980393</v>
      </c>
      <c r="AN19" s="21">
        <f t="shared" si="1"/>
        <v>0.75490196078431371</v>
      </c>
      <c r="AO19" s="21">
        <f t="shared" si="1"/>
        <v>0.61111111111111116</v>
      </c>
      <c r="AP19" s="21">
        <f t="shared" si="1"/>
        <v>0.44771241830065361</v>
      </c>
      <c r="AQ19" s="21">
        <f t="shared" si="1"/>
        <v>0.3245341614906832</v>
      </c>
      <c r="AR19" s="22">
        <f t="shared" si="1"/>
        <v>0.24141221374045801</v>
      </c>
    </row>
    <row r="20" spans="2:44" ht="15" customHeight="1">
      <c r="B20" s="93"/>
      <c r="C20" s="98" t="s">
        <v>7</v>
      </c>
      <c r="D20" s="4">
        <v>0.25</v>
      </c>
      <c r="E20" s="36">
        <v>18</v>
      </c>
      <c r="F20" s="37">
        <v>19</v>
      </c>
      <c r="G20" s="37">
        <v>21</v>
      </c>
      <c r="H20" s="37">
        <v>103</v>
      </c>
      <c r="I20" s="37">
        <v>139</v>
      </c>
      <c r="J20" s="37">
        <v>137</v>
      </c>
      <c r="K20" s="37">
        <v>145</v>
      </c>
      <c r="L20" s="37">
        <v>6304</v>
      </c>
      <c r="M20" s="38">
        <v>17792</v>
      </c>
      <c r="N20" s="36">
        <v>25</v>
      </c>
      <c r="O20" s="37">
        <v>19</v>
      </c>
      <c r="P20" s="37">
        <v>21</v>
      </c>
      <c r="Q20" s="37">
        <v>25</v>
      </c>
      <c r="R20" s="37">
        <v>25</v>
      </c>
      <c r="S20" s="37">
        <v>25</v>
      </c>
      <c r="T20" s="37">
        <v>25</v>
      </c>
      <c r="U20" s="37">
        <v>4640</v>
      </c>
      <c r="V20" s="38">
        <v>15040</v>
      </c>
      <c r="X20" s="93"/>
      <c r="Y20" s="98" t="s">
        <v>7</v>
      </c>
      <c r="Z20" s="4">
        <v>0.25</v>
      </c>
      <c r="AA20" s="15">
        <f t="shared" ref="AA20:AP27" si="2">E47/E20</f>
        <v>0.94444444444444442</v>
      </c>
      <c r="AB20" s="16">
        <f t="shared" si="2"/>
        <v>0.94736842105263153</v>
      </c>
      <c r="AC20" s="16">
        <f t="shared" si="2"/>
        <v>1</v>
      </c>
      <c r="AD20" s="16">
        <f t="shared" si="2"/>
        <v>0.25242718446601942</v>
      </c>
      <c r="AE20" s="16">
        <f t="shared" si="2"/>
        <v>0.18705035971223022</v>
      </c>
      <c r="AF20" s="16">
        <f t="shared" si="2"/>
        <v>0.21897810218978103</v>
      </c>
      <c r="AG20" s="16">
        <f t="shared" si="2"/>
        <v>39.944827586206898</v>
      </c>
      <c r="AH20" s="16">
        <f t="shared" si="2"/>
        <v>1.9796954314720812</v>
      </c>
      <c r="AI20" s="17">
        <f t="shared" si="2"/>
        <v>0.91007194244604317</v>
      </c>
      <c r="AJ20" s="15">
        <f t="shared" si="2"/>
        <v>0.68</v>
      </c>
      <c r="AK20" s="16">
        <f t="shared" si="2"/>
        <v>0.94736842105263153</v>
      </c>
      <c r="AL20" s="16">
        <f t="shared" si="2"/>
        <v>1</v>
      </c>
      <c r="AM20" s="16">
        <f t="shared" si="2"/>
        <v>1.24</v>
      </c>
      <c r="AN20" s="16">
        <f t="shared" si="2"/>
        <v>1.56</v>
      </c>
      <c r="AO20" s="16">
        <f t="shared" si="2"/>
        <v>1.92</v>
      </c>
      <c r="AP20" s="16">
        <f t="shared" si="2"/>
        <v>3.68</v>
      </c>
      <c r="AQ20" s="16">
        <f t="shared" ref="AD20:AR27" si="3">U47/U20</f>
        <v>0.55517241379310345</v>
      </c>
      <c r="AR20" s="17">
        <f t="shared" si="3"/>
        <v>0.51276595744680853</v>
      </c>
    </row>
    <row r="21" spans="2:44" ht="15" customHeight="1">
      <c r="B21" s="93"/>
      <c r="C21" s="96"/>
      <c r="D21" s="5">
        <v>0.5</v>
      </c>
      <c r="E21" s="39">
        <v>18</v>
      </c>
      <c r="F21" s="40">
        <v>19</v>
      </c>
      <c r="G21" s="40">
        <v>219</v>
      </c>
      <c r="H21" s="40">
        <v>612</v>
      </c>
      <c r="I21" s="40">
        <v>1304</v>
      </c>
      <c r="J21" s="40">
        <v>2672</v>
      </c>
      <c r="K21" s="40">
        <v>3856</v>
      </c>
      <c r="L21" s="40">
        <v>10944</v>
      </c>
      <c r="M21" s="41">
        <v>26496</v>
      </c>
      <c r="N21" s="39">
        <v>26</v>
      </c>
      <c r="O21" s="40">
        <v>20</v>
      </c>
      <c r="P21" s="40">
        <v>137</v>
      </c>
      <c r="Q21" s="40">
        <v>462</v>
      </c>
      <c r="R21" s="40">
        <v>956</v>
      </c>
      <c r="S21" s="40">
        <v>1928</v>
      </c>
      <c r="T21" s="40">
        <v>3856</v>
      </c>
      <c r="U21" s="40">
        <v>9152</v>
      </c>
      <c r="V21" s="41">
        <v>21120</v>
      </c>
      <c r="X21" s="93"/>
      <c r="Y21" s="96"/>
      <c r="Z21" s="5">
        <v>0.5</v>
      </c>
      <c r="AA21" s="18">
        <f t="shared" si="2"/>
        <v>0.94444444444444442</v>
      </c>
      <c r="AB21" s="12">
        <f t="shared" si="2"/>
        <v>1</v>
      </c>
      <c r="AC21" s="12">
        <f t="shared" si="2"/>
        <v>0.1004566210045662</v>
      </c>
      <c r="AD21" s="12">
        <f t="shared" si="3"/>
        <v>4.2483660130718956E-2</v>
      </c>
      <c r="AE21" s="12">
        <f t="shared" si="3"/>
        <v>2.0981595092024539</v>
      </c>
      <c r="AF21" s="12">
        <f t="shared" si="3"/>
        <v>2.8143712574850301</v>
      </c>
      <c r="AG21" s="12">
        <f t="shared" si="3"/>
        <v>2.9709543568464731</v>
      </c>
      <c r="AH21" s="12">
        <f t="shared" si="3"/>
        <v>1.1988304093567252</v>
      </c>
      <c r="AI21" s="19">
        <f t="shared" si="3"/>
        <v>2.3285024154589373</v>
      </c>
      <c r="AJ21" s="18">
        <f t="shared" si="3"/>
        <v>0.73076923076923073</v>
      </c>
      <c r="AK21" s="12">
        <f t="shared" si="3"/>
        <v>0.95</v>
      </c>
      <c r="AL21" s="12">
        <f t="shared" si="3"/>
        <v>0.16788321167883211</v>
      </c>
      <c r="AM21" s="12">
        <f t="shared" si="3"/>
        <v>6.9264069264069264E-2</v>
      </c>
      <c r="AN21" s="12">
        <f t="shared" si="3"/>
        <v>5.0209205020920501E-2</v>
      </c>
      <c r="AO21" s="12">
        <f t="shared" si="3"/>
        <v>1.8174273858921162</v>
      </c>
      <c r="AP21" s="12">
        <f t="shared" si="3"/>
        <v>3.0705394190871371</v>
      </c>
      <c r="AQ21" s="12">
        <f t="shared" si="3"/>
        <v>1.013986013986014</v>
      </c>
      <c r="AR21" s="19">
        <f t="shared" si="3"/>
        <v>0.70606060606060606</v>
      </c>
    </row>
    <row r="22" spans="2:44" ht="15" customHeight="1">
      <c r="B22" s="93"/>
      <c r="C22" s="96"/>
      <c r="D22" s="5">
        <v>0.75</v>
      </c>
      <c r="E22" s="39">
        <v>18</v>
      </c>
      <c r="F22" s="40">
        <v>122</v>
      </c>
      <c r="G22" s="40">
        <v>245</v>
      </c>
      <c r="H22" s="40">
        <v>490</v>
      </c>
      <c r="I22" s="40">
        <v>980</v>
      </c>
      <c r="J22" s="40">
        <v>1976</v>
      </c>
      <c r="K22" s="40">
        <v>3888</v>
      </c>
      <c r="L22" s="40">
        <v>13120</v>
      </c>
      <c r="M22" s="41">
        <v>33024</v>
      </c>
      <c r="N22" s="39">
        <v>28</v>
      </c>
      <c r="O22" s="40">
        <v>122</v>
      </c>
      <c r="P22" s="40">
        <v>247</v>
      </c>
      <c r="Q22" s="40">
        <v>494</v>
      </c>
      <c r="R22" s="40">
        <v>988</v>
      </c>
      <c r="S22" s="40">
        <v>1976</v>
      </c>
      <c r="T22" s="40">
        <v>3920</v>
      </c>
      <c r="U22" s="40">
        <v>11968</v>
      </c>
      <c r="V22" s="41">
        <v>27520</v>
      </c>
      <c r="X22" s="93"/>
      <c r="Y22" s="96"/>
      <c r="Z22" s="5">
        <v>0.75</v>
      </c>
      <c r="AA22" s="18">
        <f t="shared" si="2"/>
        <v>1</v>
      </c>
      <c r="AB22" s="12">
        <f t="shared" si="2"/>
        <v>0.16393442622950818</v>
      </c>
      <c r="AC22" s="12">
        <f t="shared" si="2"/>
        <v>0.10204081632653061</v>
      </c>
      <c r="AD22" s="12">
        <f t="shared" si="3"/>
        <v>3.8040816326530611</v>
      </c>
      <c r="AE22" s="12">
        <f t="shared" si="3"/>
        <v>2.6612244897959183</v>
      </c>
      <c r="AF22" s="12">
        <f t="shared" si="3"/>
        <v>2.5748987854251011</v>
      </c>
      <c r="AG22" s="12">
        <f t="shared" si="3"/>
        <v>2.2551440329218106</v>
      </c>
      <c r="AH22" s="12">
        <f t="shared" si="3"/>
        <v>2.6731707317073172</v>
      </c>
      <c r="AI22" s="19">
        <f t="shared" si="3"/>
        <v>0.63178294573643412</v>
      </c>
      <c r="AJ22" s="18">
        <f t="shared" si="3"/>
        <v>0.75</v>
      </c>
      <c r="AK22" s="12">
        <f t="shared" si="3"/>
        <v>0.16393442622950818</v>
      </c>
      <c r="AL22" s="12">
        <f t="shared" si="3"/>
        <v>0.11336032388663968</v>
      </c>
      <c r="AM22" s="12">
        <f t="shared" si="3"/>
        <v>0.10728744939271255</v>
      </c>
      <c r="AN22" s="12">
        <f t="shared" si="3"/>
        <v>2.6072874493927127</v>
      </c>
      <c r="AO22" s="12">
        <f t="shared" si="3"/>
        <v>3.5465587044534415</v>
      </c>
      <c r="AP22" s="12">
        <f t="shared" si="3"/>
        <v>18.416326530612245</v>
      </c>
      <c r="AQ22" s="12">
        <f t="shared" si="3"/>
        <v>7.144385026737968</v>
      </c>
      <c r="AR22" s="19">
        <f t="shared" si="3"/>
        <v>5.8418604651162793</v>
      </c>
    </row>
    <row r="23" spans="2:44" ht="15" customHeight="1" thickBot="1">
      <c r="B23" s="93"/>
      <c r="C23" s="97"/>
      <c r="D23" s="6">
        <v>1</v>
      </c>
      <c r="E23" s="42">
        <v>68</v>
      </c>
      <c r="F23" s="43">
        <v>105</v>
      </c>
      <c r="G23" s="43">
        <v>239</v>
      </c>
      <c r="H23" s="43">
        <v>426</v>
      </c>
      <c r="I23" s="43">
        <v>836</v>
      </c>
      <c r="J23" s="43">
        <v>1464</v>
      </c>
      <c r="K23" s="43">
        <v>3280</v>
      </c>
      <c r="L23" s="43">
        <v>9152</v>
      </c>
      <c r="M23" s="44">
        <v>24192</v>
      </c>
      <c r="N23" s="42">
        <v>60</v>
      </c>
      <c r="O23" s="43">
        <v>121</v>
      </c>
      <c r="P23" s="43">
        <v>243</v>
      </c>
      <c r="Q23" s="43">
        <v>490</v>
      </c>
      <c r="R23" s="43">
        <v>932</v>
      </c>
      <c r="S23" s="43">
        <v>1768</v>
      </c>
      <c r="T23" s="43">
        <v>3344</v>
      </c>
      <c r="U23" s="43">
        <v>6688</v>
      </c>
      <c r="V23" s="44">
        <v>23424</v>
      </c>
      <c r="X23" s="93"/>
      <c r="Y23" s="97"/>
      <c r="Z23" s="6">
        <v>1</v>
      </c>
      <c r="AA23" s="20">
        <f t="shared" si="2"/>
        <v>0.27941176470588236</v>
      </c>
      <c r="AB23" s="21">
        <f t="shared" si="2"/>
        <v>5.8285714285714283</v>
      </c>
      <c r="AC23" s="21">
        <f t="shared" si="2"/>
        <v>3.3640167364016738</v>
      </c>
      <c r="AD23" s="21">
        <f t="shared" si="3"/>
        <v>2.76056338028169</v>
      </c>
      <c r="AE23" s="21">
        <f t="shared" si="3"/>
        <v>2.7751196172248802</v>
      </c>
      <c r="AF23" s="21">
        <f t="shared" si="3"/>
        <v>2.5027322404371586</v>
      </c>
      <c r="AG23" s="21">
        <f t="shared" si="3"/>
        <v>1.9609756097560975</v>
      </c>
      <c r="AH23" s="21">
        <f t="shared" si="3"/>
        <v>4</v>
      </c>
      <c r="AI23" s="22">
        <f t="shared" si="3"/>
        <v>0.74603174603174605</v>
      </c>
      <c r="AJ23" s="20">
        <f t="shared" si="3"/>
        <v>0.31666666666666665</v>
      </c>
      <c r="AK23" s="21">
        <f t="shared" si="3"/>
        <v>0.47107438016528924</v>
      </c>
      <c r="AL23" s="21">
        <f t="shared" si="3"/>
        <v>0.87654320987654322</v>
      </c>
      <c r="AM23" s="21">
        <f t="shared" si="3"/>
        <v>0.96734693877551026</v>
      </c>
      <c r="AN23" s="21">
        <f t="shared" si="3"/>
        <v>1.1072961373390557</v>
      </c>
      <c r="AO23" s="21">
        <f t="shared" si="3"/>
        <v>0.66515837104072395</v>
      </c>
      <c r="AP23" s="21">
        <f t="shared" si="3"/>
        <v>0.40909090909090912</v>
      </c>
      <c r="AQ23" s="21">
        <f t="shared" si="3"/>
        <v>0.4138755980861244</v>
      </c>
      <c r="AR23" s="22">
        <f t="shared" si="3"/>
        <v>0.26092896174863389</v>
      </c>
    </row>
    <row r="24" spans="2:44" ht="15" customHeight="1">
      <c r="B24" s="93"/>
      <c r="C24" s="95" t="s">
        <v>8</v>
      </c>
      <c r="D24" s="7">
        <v>0.25</v>
      </c>
      <c r="E24" s="24">
        <v>16174</v>
      </c>
      <c r="F24" s="25">
        <v>27233</v>
      </c>
      <c r="G24" s="25">
        <v>38272</v>
      </c>
      <c r="H24" s="25">
        <v>43794</v>
      </c>
      <c r="I24" s="25">
        <v>43751</v>
      </c>
      <c r="J24" s="25">
        <v>43755</v>
      </c>
      <c r="K24" s="25">
        <v>43788</v>
      </c>
      <c r="L24" s="25">
        <v>43780</v>
      </c>
      <c r="M24" s="26">
        <v>43793</v>
      </c>
      <c r="N24" s="24">
        <v>16618</v>
      </c>
      <c r="O24" s="25">
        <v>29343</v>
      </c>
      <c r="P24" s="25">
        <v>45678</v>
      </c>
      <c r="Q24" s="25">
        <v>58789</v>
      </c>
      <c r="R24" s="25">
        <v>59580</v>
      </c>
      <c r="S24" s="25">
        <v>59446</v>
      </c>
      <c r="T24" s="25">
        <v>59474</v>
      </c>
      <c r="U24" s="25">
        <v>59506</v>
      </c>
      <c r="V24" s="26">
        <v>59506</v>
      </c>
      <c r="X24" s="93"/>
      <c r="Y24" s="98" t="s">
        <v>8</v>
      </c>
      <c r="Z24" s="4">
        <v>0.25</v>
      </c>
      <c r="AA24" s="15">
        <f t="shared" si="2"/>
        <v>1.0626313837022381</v>
      </c>
      <c r="AB24" s="16">
        <f t="shared" si="2"/>
        <v>1.1006866669114677</v>
      </c>
      <c r="AC24" s="16">
        <f t="shared" si="2"/>
        <v>1.2044836956521738</v>
      </c>
      <c r="AD24" s="16">
        <f t="shared" si="3"/>
        <v>1.3086495867013745</v>
      </c>
      <c r="AE24" s="16">
        <f t="shared" si="3"/>
        <v>1.7200292564741377</v>
      </c>
      <c r="AF24" s="16">
        <f t="shared" si="3"/>
        <v>2.1003085361672951</v>
      </c>
      <c r="AG24" s="16">
        <f t="shared" si="3"/>
        <v>2.2531058737553669</v>
      </c>
      <c r="AH24" s="16">
        <f t="shared" si="3"/>
        <v>2.2495660118775698</v>
      </c>
      <c r="AI24" s="17">
        <f t="shared" si="3"/>
        <v>2.2519809101911266</v>
      </c>
      <c r="AJ24" s="15">
        <f t="shared" si="3"/>
        <v>1.0813575640871345</v>
      </c>
      <c r="AK24" s="16">
        <f t="shared" si="3"/>
        <v>1.1123606993149984</v>
      </c>
      <c r="AL24" s="16">
        <f t="shared" si="3"/>
        <v>1.2160120845921449</v>
      </c>
      <c r="AM24" s="16">
        <f t="shared" si="3"/>
        <v>1.3422068754358809</v>
      </c>
      <c r="AN24" s="16">
        <f t="shared" si="3"/>
        <v>1.7147700570661295</v>
      </c>
      <c r="AO24" s="16">
        <f t="shared" si="3"/>
        <v>2.0506005450324665</v>
      </c>
      <c r="AP24" s="16">
        <f t="shared" si="3"/>
        <v>2.3894643037293606</v>
      </c>
      <c r="AQ24" s="16">
        <f t="shared" si="3"/>
        <v>2.3786172822908616</v>
      </c>
      <c r="AR24" s="17">
        <f t="shared" si="3"/>
        <v>2.3953382852149363</v>
      </c>
    </row>
    <row r="25" spans="2:44" ht="15" customHeight="1">
      <c r="B25" s="93"/>
      <c r="C25" s="96"/>
      <c r="D25" s="5">
        <v>0.5</v>
      </c>
      <c r="E25" s="27">
        <v>37161</v>
      </c>
      <c r="F25" s="28">
        <v>54584</v>
      </c>
      <c r="G25" s="28">
        <v>63366</v>
      </c>
      <c r="H25" s="28">
        <v>63361</v>
      </c>
      <c r="I25" s="28">
        <v>63337</v>
      </c>
      <c r="J25" s="28">
        <v>63336</v>
      </c>
      <c r="K25" s="28">
        <v>67310</v>
      </c>
      <c r="L25" s="28">
        <v>67307</v>
      </c>
      <c r="M25" s="29">
        <v>67353</v>
      </c>
      <c r="N25" s="27">
        <v>39036</v>
      </c>
      <c r="O25" s="28">
        <v>61241</v>
      </c>
      <c r="P25" s="28">
        <v>81928</v>
      </c>
      <c r="Q25" s="28">
        <v>80675</v>
      </c>
      <c r="R25" s="28">
        <v>80655</v>
      </c>
      <c r="S25" s="28">
        <v>80624</v>
      </c>
      <c r="T25" s="28">
        <v>87002</v>
      </c>
      <c r="U25" s="28">
        <v>87096</v>
      </c>
      <c r="V25" s="29">
        <v>87022</v>
      </c>
      <c r="X25" s="93"/>
      <c r="Y25" s="96"/>
      <c r="Z25" s="5">
        <v>0.5</v>
      </c>
      <c r="AA25" s="18">
        <f t="shared" si="2"/>
        <v>1.1236242297031835</v>
      </c>
      <c r="AB25" s="12">
        <f t="shared" si="2"/>
        <v>1.2259819727392642</v>
      </c>
      <c r="AC25" s="12">
        <f t="shared" si="2"/>
        <v>1.4565224252753843</v>
      </c>
      <c r="AD25" s="12">
        <f t="shared" si="3"/>
        <v>2.2441091523176717</v>
      </c>
      <c r="AE25" s="12">
        <f t="shared" si="3"/>
        <v>2.4145917867912909</v>
      </c>
      <c r="AF25" s="12">
        <f t="shared" si="3"/>
        <v>2.4139194139194138</v>
      </c>
      <c r="AG25" s="12">
        <f t="shared" si="3"/>
        <v>2.271608973406626</v>
      </c>
      <c r="AH25" s="12">
        <f t="shared" si="3"/>
        <v>2.2628998469698547</v>
      </c>
      <c r="AI25" s="19">
        <f t="shared" si="3"/>
        <v>2.2621857972176445</v>
      </c>
      <c r="AJ25" s="18">
        <f t="shared" si="3"/>
        <v>1.1462752331181474</v>
      </c>
      <c r="AK25" s="12">
        <f t="shared" si="3"/>
        <v>1.2414232295357686</v>
      </c>
      <c r="AL25" s="12">
        <f t="shared" si="3"/>
        <v>1.4019382872766331</v>
      </c>
      <c r="AM25" s="12">
        <f t="shared" si="3"/>
        <v>2.0751286024171058</v>
      </c>
      <c r="AN25" s="12">
        <f t="shared" si="3"/>
        <v>2.8149401772983698</v>
      </c>
      <c r="AO25" s="12">
        <f t="shared" si="3"/>
        <v>3.1763122643381623</v>
      </c>
      <c r="AP25" s="12">
        <f t="shared" si="3"/>
        <v>2.9281855589526677</v>
      </c>
      <c r="AQ25" s="12">
        <f t="shared" si="3"/>
        <v>2.9446472857536512</v>
      </c>
      <c r="AR25" s="19">
        <f t="shared" si="3"/>
        <v>2.94354301211188</v>
      </c>
    </row>
    <row r="26" spans="2:44" ht="15" customHeight="1">
      <c r="B26" s="93"/>
      <c r="C26" s="96"/>
      <c r="D26" s="5">
        <v>0.75</v>
      </c>
      <c r="E26" s="27">
        <v>68855</v>
      </c>
      <c r="F26" s="28">
        <v>77905</v>
      </c>
      <c r="G26" s="28">
        <v>77938</v>
      </c>
      <c r="H26" s="28">
        <v>77980</v>
      </c>
      <c r="I26" s="28">
        <v>77933</v>
      </c>
      <c r="J26" s="28">
        <v>77995</v>
      </c>
      <c r="K26" s="28">
        <v>78984</v>
      </c>
      <c r="L26" s="28">
        <v>79021</v>
      </c>
      <c r="M26" s="29">
        <v>79097</v>
      </c>
      <c r="N26" s="27">
        <v>72778</v>
      </c>
      <c r="O26" s="28">
        <v>95750</v>
      </c>
      <c r="P26" s="28">
        <v>95439</v>
      </c>
      <c r="Q26" s="28">
        <v>95497</v>
      </c>
      <c r="R26" s="28">
        <v>95422</v>
      </c>
      <c r="S26" s="28">
        <v>95427</v>
      </c>
      <c r="T26" s="28">
        <v>97689</v>
      </c>
      <c r="U26" s="28">
        <v>97887</v>
      </c>
      <c r="V26" s="29">
        <v>97805</v>
      </c>
      <c r="X26" s="93"/>
      <c r="Y26" s="96"/>
      <c r="Z26" s="5">
        <v>0.75</v>
      </c>
      <c r="AA26" s="18">
        <f t="shared" si="2"/>
        <v>1.2175441144433956</v>
      </c>
      <c r="AB26" s="12">
        <f t="shared" si="2"/>
        <v>1.6865926448880046</v>
      </c>
      <c r="AC26" s="12">
        <f t="shared" si="2"/>
        <v>2.8475326541609998</v>
      </c>
      <c r="AD26" s="12">
        <f t="shared" si="3"/>
        <v>2.9289304949987178</v>
      </c>
      <c r="AE26" s="12">
        <f t="shared" si="3"/>
        <v>2.9416550113559081</v>
      </c>
      <c r="AF26" s="12">
        <f t="shared" si="3"/>
        <v>2.9284569523687414</v>
      </c>
      <c r="AG26" s="12">
        <f t="shared" si="3"/>
        <v>2.8965613288767345</v>
      </c>
      <c r="AH26" s="12">
        <f t="shared" si="3"/>
        <v>2.8911175510307388</v>
      </c>
      <c r="AI26" s="19">
        <f t="shared" si="3"/>
        <v>2.8868225090711404</v>
      </c>
      <c r="AJ26" s="18">
        <f t="shared" si="3"/>
        <v>1.2529060979966473</v>
      </c>
      <c r="AK26" s="12">
        <f t="shared" si="3"/>
        <v>1.5159373368146214</v>
      </c>
      <c r="AL26" s="12">
        <f t="shared" si="3"/>
        <v>2.3381950774840474</v>
      </c>
      <c r="AM26" s="12">
        <f t="shared" si="3"/>
        <v>3.596175796098307</v>
      </c>
      <c r="AN26" s="12">
        <f t="shared" si="3"/>
        <v>4.1136739955146613</v>
      </c>
      <c r="AO26" s="12">
        <f t="shared" si="3"/>
        <v>4.0655160489169733</v>
      </c>
      <c r="AP26" s="12">
        <f t="shared" si="3"/>
        <v>3.9656358443632342</v>
      </c>
      <c r="AQ26" s="12">
        <f t="shared" si="3"/>
        <v>3.9560615812109883</v>
      </c>
      <c r="AR26" s="19">
        <f t="shared" si="3"/>
        <v>3.9723020295485916</v>
      </c>
    </row>
    <row r="27" spans="2:44" ht="15" customHeight="1" thickBot="1">
      <c r="B27" s="94"/>
      <c r="C27" s="97"/>
      <c r="D27" s="6">
        <v>1</v>
      </c>
      <c r="E27" s="30">
        <v>88211</v>
      </c>
      <c r="F27" s="31">
        <v>88211</v>
      </c>
      <c r="G27" s="31">
        <v>88210</v>
      </c>
      <c r="H27" s="31">
        <v>88210</v>
      </c>
      <c r="I27" s="31">
        <v>88210</v>
      </c>
      <c r="J27" s="31">
        <v>88212</v>
      </c>
      <c r="K27" s="31">
        <v>88210</v>
      </c>
      <c r="L27" s="31">
        <v>88211</v>
      </c>
      <c r="M27" s="32">
        <v>88211</v>
      </c>
      <c r="N27" s="30">
        <v>105211</v>
      </c>
      <c r="O27" s="31">
        <v>105205</v>
      </c>
      <c r="P27" s="31">
        <v>105208</v>
      </c>
      <c r="Q27" s="31">
        <v>105212</v>
      </c>
      <c r="R27" s="31">
        <v>105223</v>
      </c>
      <c r="S27" s="31">
        <v>105221</v>
      </c>
      <c r="T27" s="31">
        <v>105216</v>
      </c>
      <c r="U27" s="31">
        <v>105210</v>
      </c>
      <c r="V27" s="32">
        <v>105213</v>
      </c>
      <c r="X27" s="94"/>
      <c r="Y27" s="97"/>
      <c r="Z27" s="6">
        <v>1</v>
      </c>
      <c r="AA27" s="20">
        <f t="shared" si="2"/>
        <v>3.5050957363594111</v>
      </c>
      <c r="AB27" s="21">
        <f t="shared" si="2"/>
        <v>4.0050107129496322</v>
      </c>
      <c r="AC27" s="21">
        <f t="shared" si="2"/>
        <v>4.0011336583153838</v>
      </c>
      <c r="AD27" s="21">
        <f t="shared" si="3"/>
        <v>4.0136152363677589</v>
      </c>
      <c r="AE27" s="21">
        <f t="shared" si="3"/>
        <v>3.9914295431356988</v>
      </c>
      <c r="AF27" s="21">
        <f t="shared" si="3"/>
        <v>4.0178887226227724</v>
      </c>
      <c r="AG27" s="21">
        <f t="shared" si="3"/>
        <v>4.0091826323546087</v>
      </c>
      <c r="AH27" s="21">
        <f t="shared" si="3"/>
        <v>3.9976646903447417</v>
      </c>
      <c r="AI27" s="22">
        <f t="shared" si="3"/>
        <v>4.0158823729466846</v>
      </c>
      <c r="AJ27" s="20">
        <f t="shared" si="3"/>
        <v>2.964880098088603</v>
      </c>
      <c r="AK27" s="21">
        <f t="shared" si="3"/>
        <v>4.9281878237726344</v>
      </c>
      <c r="AL27" s="21">
        <f t="shared" si="3"/>
        <v>5.3426640559653258</v>
      </c>
      <c r="AM27" s="21">
        <f t="shared" si="3"/>
        <v>5.3426225145420672</v>
      </c>
      <c r="AN27" s="21">
        <f t="shared" si="3"/>
        <v>5.3420830046662804</v>
      </c>
      <c r="AO27" s="21">
        <f t="shared" si="3"/>
        <v>5.3393429068341867</v>
      </c>
      <c r="AP27" s="21">
        <f t="shared" si="3"/>
        <v>5.3431892487834549</v>
      </c>
      <c r="AQ27" s="21">
        <f t="shared" si="3"/>
        <v>5.3435034692519725</v>
      </c>
      <c r="AR27" s="22">
        <f t="shared" si="3"/>
        <v>5.3435887200250916</v>
      </c>
    </row>
    <row r="28" spans="2:44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44" ht="15" customHeight="1" thickBot="1">
      <c r="B29" s="112" t="s">
        <v>81</v>
      </c>
      <c r="C29" s="113"/>
      <c r="D29" s="113"/>
      <c r="E29" s="83" t="s">
        <v>82</v>
      </c>
      <c r="F29" s="84"/>
      <c r="G29" s="84"/>
      <c r="H29" s="84"/>
      <c r="I29" s="84"/>
      <c r="J29" s="84"/>
      <c r="K29" s="84"/>
      <c r="L29" s="84"/>
      <c r="M29" s="85"/>
      <c r="N29" s="83" t="s">
        <v>83</v>
      </c>
      <c r="O29" s="84"/>
      <c r="P29" s="84"/>
      <c r="Q29" s="84"/>
      <c r="R29" s="84"/>
      <c r="S29" s="84"/>
      <c r="T29" s="84"/>
      <c r="U29" s="84"/>
      <c r="V29" s="85"/>
      <c r="X29" s="13" t="s">
        <v>20</v>
      </c>
      <c r="Y29" s="14">
        <f>(COUNTIF(AA4:AR11,"&lt;1.1")+COUNTIF(AA16:AR23,"&lt;1.1"))/(COUNT(AA4:AR11)+COUNT(AA16:AR23))</f>
        <v>0.80902777777777779</v>
      </c>
      <c r="Z29" s="109" t="s">
        <v>19</v>
      </c>
      <c r="AA29" s="110"/>
      <c r="AB29" s="110"/>
      <c r="AC29" s="110"/>
      <c r="AD29" s="111"/>
    </row>
    <row r="30" spans="2:44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2" t="s">
        <v>23</v>
      </c>
      <c r="M30" s="3" t="s">
        <v>17</v>
      </c>
      <c r="N30" s="1" t="s">
        <v>0</v>
      </c>
      <c r="O30" s="2" t="s">
        <v>1</v>
      </c>
      <c r="P30" s="2" t="s">
        <v>2</v>
      </c>
      <c r="Q30" s="2" t="s">
        <v>3</v>
      </c>
      <c r="R30" s="2" t="s">
        <v>4</v>
      </c>
      <c r="S30" s="2" t="s">
        <v>18</v>
      </c>
      <c r="T30" s="2" t="s">
        <v>16</v>
      </c>
      <c r="U30" s="2" t="s">
        <v>23</v>
      </c>
      <c r="V30" s="3" t="s">
        <v>17</v>
      </c>
      <c r="X30" s="13" t="s">
        <v>21</v>
      </c>
      <c r="Y30" s="23">
        <f>(COUNTIF(AA4:AR11,"&lt;1.1"))/(COUNT(AA4:AR11))</f>
        <v>0.89583333333333337</v>
      </c>
      <c r="Z30" s="109" t="s">
        <v>19</v>
      </c>
      <c r="AA30" s="110"/>
      <c r="AB30" s="110"/>
      <c r="AC30" s="110"/>
      <c r="AD30" s="111"/>
    </row>
    <row r="31" spans="2:44" ht="15" customHeight="1" thickBot="1">
      <c r="B31" s="92" t="s">
        <v>5</v>
      </c>
      <c r="C31" s="98" t="s">
        <v>6</v>
      </c>
      <c r="D31" s="4">
        <v>0.25</v>
      </c>
      <c r="E31" s="36">
        <v>318</v>
      </c>
      <c r="F31" s="37">
        <v>382</v>
      </c>
      <c r="G31" s="37">
        <v>422</v>
      </c>
      <c r="H31" s="37">
        <v>478</v>
      </c>
      <c r="I31" s="37">
        <v>502</v>
      </c>
      <c r="J31" s="37">
        <v>502</v>
      </c>
      <c r="K31" s="37">
        <v>506</v>
      </c>
      <c r="L31" s="37">
        <v>3312</v>
      </c>
      <c r="M31" s="38">
        <v>10944</v>
      </c>
      <c r="N31" s="36">
        <v>370</v>
      </c>
      <c r="O31" s="37">
        <v>450</v>
      </c>
      <c r="P31" s="37">
        <v>540</v>
      </c>
      <c r="Q31" s="37">
        <v>628</v>
      </c>
      <c r="R31" s="37">
        <v>764</v>
      </c>
      <c r="S31" s="37">
        <v>804</v>
      </c>
      <c r="T31" s="37">
        <v>820</v>
      </c>
      <c r="U31" s="37">
        <v>2384</v>
      </c>
      <c r="V31" s="38">
        <v>6240</v>
      </c>
      <c r="X31" s="13" t="s">
        <v>22</v>
      </c>
      <c r="Y31" s="23">
        <f>COUNTIF(AA16:AR23,"&lt;1.1")/+COUNT(AA16:AR23)</f>
        <v>0.72222222222222221</v>
      </c>
      <c r="Z31" s="109" t="s">
        <v>19</v>
      </c>
      <c r="AA31" s="110"/>
      <c r="AB31" s="110"/>
      <c r="AC31" s="110"/>
      <c r="AD31" s="111"/>
    </row>
    <row r="32" spans="2:44" ht="15" customHeight="1">
      <c r="B32" s="93"/>
      <c r="C32" s="96"/>
      <c r="D32" s="5">
        <v>0.5</v>
      </c>
      <c r="E32" s="39">
        <v>270</v>
      </c>
      <c r="F32" s="40">
        <v>330</v>
      </c>
      <c r="G32" s="40">
        <v>410</v>
      </c>
      <c r="H32" s="40">
        <v>494</v>
      </c>
      <c r="I32" s="40">
        <v>580</v>
      </c>
      <c r="J32" s="40">
        <v>596</v>
      </c>
      <c r="K32" s="40">
        <v>604</v>
      </c>
      <c r="L32" s="40">
        <v>3344</v>
      </c>
      <c r="M32" s="41">
        <v>9792</v>
      </c>
      <c r="N32" s="39">
        <v>270</v>
      </c>
      <c r="O32" s="40">
        <v>350</v>
      </c>
      <c r="P32" s="40">
        <v>450</v>
      </c>
      <c r="Q32" s="40">
        <v>556</v>
      </c>
      <c r="R32" s="40">
        <v>764</v>
      </c>
      <c r="S32" s="40">
        <v>1012</v>
      </c>
      <c r="T32" s="40">
        <v>1032</v>
      </c>
      <c r="U32" s="40">
        <v>2480</v>
      </c>
      <c r="V32" s="41">
        <v>6368</v>
      </c>
    </row>
    <row r="33" spans="2:31" ht="15" customHeight="1">
      <c r="B33" s="93"/>
      <c r="C33" s="96"/>
      <c r="D33" s="5">
        <v>0.75</v>
      </c>
      <c r="E33" s="39">
        <v>225</v>
      </c>
      <c r="F33" s="40">
        <v>282</v>
      </c>
      <c r="G33" s="40">
        <v>358</v>
      </c>
      <c r="H33" s="40">
        <v>482</v>
      </c>
      <c r="I33" s="40">
        <v>812</v>
      </c>
      <c r="J33" s="40">
        <v>1688</v>
      </c>
      <c r="K33" s="40">
        <v>2960</v>
      </c>
      <c r="L33" s="40">
        <v>4320</v>
      </c>
      <c r="M33" s="41">
        <v>8640</v>
      </c>
      <c r="N33" s="39">
        <v>183</v>
      </c>
      <c r="O33" s="40">
        <v>266</v>
      </c>
      <c r="P33" s="40">
        <v>346</v>
      </c>
      <c r="Q33" s="40">
        <v>474</v>
      </c>
      <c r="R33" s="40">
        <v>644</v>
      </c>
      <c r="S33" s="40">
        <v>1320</v>
      </c>
      <c r="T33" s="40">
        <v>2224</v>
      </c>
      <c r="U33" s="40">
        <v>3248</v>
      </c>
      <c r="V33" s="41">
        <v>6880</v>
      </c>
    </row>
    <row r="34" spans="2:31" ht="15" customHeight="1" thickBot="1">
      <c r="B34" s="93"/>
      <c r="C34" s="97"/>
      <c r="D34" s="6">
        <v>1</v>
      </c>
      <c r="E34" s="42">
        <v>106</v>
      </c>
      <c r="F34" s="43">
        <v>120</v>
      </c>
      <c r="G34" s="43">
        <v>157</v>
      </c>
      <c r="H34" s="43">
        <v>241</v>
      </c>
      <c r="I34" s="43">
        <v>442</v>
      </c>
      <c r="J34" s="43">
        <v>892</v>
      </c>
      <c r="K34" s="43">
        <v>1704</v>
      </c>
      <c r="L34" s="43">
        <v>2800</v>
      </c>
      <c r="M34" s="44">
        <v>6432</v>
      </c>
      <c r="N34" s="42">
        <v>97</v>
      </c>
      <c r="O34" s="43">
        <v>108</v>
      </c>
      <c r="P34" s="43">
        <v>125</v>
      </c>
      <c r="Q34" s="43">
        <v>165</v>
      </c>
      <c r="R34" s="43">
        <v>258</v>
      </c>
      <c r="S34" s="43">
        <v>490</v>
      </c>
      <c r="T34" s="43">
        <v>916</v>
      </c>
      <c r="U34" s="43">
        <v>1720</v>
      </c>
      <c r="V34" s="44">
        <v>4016</v>
      </c>
    </row>
    <row r="35" spans="2:31" ht="15" customHeight="1">
      <c r="B35" s="93"/>
      <c r="C35" s="98" t="s">
        <v>7</v>
      </c>
      <c r="D35" s="4">
        <v>0.25</v>
      </c>
      <c r="E35" s="36">
        <v>884</v>
      </c>
      <c r="F35" s="37">
        <v>900</v>
      </c>
      <c r="G35" s="37">
        <v>948</v>
      </c>
      <c r="H35" s="37">
        <v>884</v>
      </c>
      <c r="I35" s="37">
        <v>884</v>
      </c>
      <c r="J35" s="37">
        <v>892</v>
      </c>
      <c r="K35" s="37">
        <v>892</v>
      </c>
      <c r="L35" s="37">
        <v>10560</v>
      </c>
      <c r="M35" s="38">
        <v>19328</v>
      </c>
      <c r="N35" s="36">
        <v>844</v>
      </c>
      <c r="O35" s="37">
        <v>908</v>
      </c>
      <c r="P35" s="37">
        <v>996</v>
      </c>
      <c r="Q35" s="37">
        <v>1128</v>
      </c>
      <c r="R35" s="37">
        <v>1240</v>
      </c>
      <c r="S35" s="37">
        <v>1304</v>
      </c>
      <c r="T35" s="37">
        <v>1320</v>
      </c>
      <c r="U35" s="37">
        <v>13888</v>
      </c>
      <c r="V35" s="38">
        <v>95744</v>
      </c>
    </row>
    <row r="36" spans="2:31" ht="15" customHeight="1">
      <c r="B36" s="93"/>
      <c r="C36" s="96"/>
      <c r="D36" s="5">
        <v>0.5</v>
      </c>
      <c r="E36" s="39">
        <v>556</v>
      </c>
      <c r="F36" s="40">
        <v>868</v>
      </c>
      <c r="G36" s="40">
        <v>908</v>
      </c>
      <c r="H36" s="40">
        <v>964</v>
      </c>
      <c r="I36" s="40">
        <v>1020</v>
      </c>
      <c r="J36" s="40">
        <v>1064</v>
      </c>
      <c r="K36" s="40">
        <v>1064</v>
      </c>
      <c r="L36" s="40">
        <v>9920</v>
      </c>
      <c r="M36" s="41">
        <v>47872</v>
      </c>
      <c r="N36" s="39">
        <v>716</v>
      </c>
      <c r="O36" s="40">
        <v>820</v>
      </c>
      <c r="P36" s="40">
        <v>908</v>
      </c>
      <c r="Q36" s="40">
        <v>1048</v>
      </c>
      <c r="R36" s="40">
        <v>1464</v>
      </c>
      <c r="S36" s="40">
        <v>2096</v>
      </c>
      <c r="T36" s="40">
        <v>2128</v>
      </c>
      <c r="U36" s="40">
        <v>4768</v>
      </c>
      <c r="V36" s="41">
        <v>13632</v>
      </c>
    </row>
    <row r="37" spans="2:31" ht="15" customHeight="1">
      <c r="B37" s="93"/>
      <c r="C37" s="96"/>
      <c r="D37" s="5">
        <v>0.75</v>
      </c>
      <c r="E37" s="39">
        <v>474</v>
      </c>
      <c r="F37" s="40">
        <v>548</v>
      </c>
      <c r="G37" s="40">
        <v>756</v>
      </c>
      <c r="H37" s="40">
        <v>932</v>
      </c>
      <c r="I37" s="40">
        <v>1768</v>
      </c>
      <c r="J37" s="40">
        <v>2928</v>
      </c>
      <c r="K37" s="40">
        <v>5664</v>
      </c>
      <c r="L37" s="40">
        <v>7136</v>
      </c>
      <c r="M37" s="41">
        <v>12864</v>
      </c>
      <c r="N37" s="39">
        <v>620</v>
      </c>
      <c r="O37" s="40">
        <v>692</v>
      </c>
      <c r="P37" s="40">
        <v>828</v>
      </c>
      <c r="Q37" s="40">
        <v>980</v>
      </c>
      <c r="R37" s="40">
        <v>1400</v>
      </c>
      <c r="S37" s="40">
        <v>2576</v>
      </c>
      <c r="T37" s="40">
        <v>4048</v>
      </c>
      <c r="U37" s="40">
        <v>5152</v>
      </c>
      <c r="V37" s="41">
        <v>9408</v>
      </c>
    </row>
    <row r="38" spans="2:31" ht="15" customHeight="1" thickBot="1">
      <c r="B38" s="93"/>
      <c r="C38" s="97"/>
      <c r="D38" s="6">
        <v>1</v>
      </c>
      <c r="E38" s="42">
        <v>153</v>
      </c>
      <c r="F38" s="43">
        <v>193</v>
      </c>
      <c r="G38" s="43">
        <v>266</v>
      </c>
      <c r="H38" s="43">
        <v>430</v>
      </c>
      <c r="I38" s="43">
        <v>796</v>
      </c>
      <c r="J38" s="43">
        <v>1640</v>
      </c>
      <c r="K38" s="62">
        <v>3056</v>
      </c>
      <c r="L38" s="43">
        <v>4256</v>
      </c>
      <c r="M38" s="44">
        <v>7968</v>
      </c>
      <c r="N38" s="42">
        <v>139</v>
      </c>
      <c r="O38" s="43">
        <v>161</v>
      </c>
      <c r="P38" s="43">
        <v>203</v>
      </c>
      <c r="Q38" s="43">
        <v>286</v>
      </c>
      <c r="R38" s="43">
        <v>486</v>
      </c>
      <c r="S38" s="43">
        <v>924</v>
      </c>
      <c r="T38" s="62">
        <v>1672</v>
      </c>
      <c r="U38" s="43">
        <v>2544</v>
      </c>
      <c r="V38" s="44">
        <v>4896</v>
      </c>
    </row>
    <row r="39" spans="2:31" ht="15" customHeight="1">
      <c r="B39" s="93"/>
      <c r="C39" s="98" t="s">
        <v>8</v>
      </c>
      <c r="D39" s="4">
        <v>0.25</v>
      </c>
      <c r="E39" s="36">
        <v>27932</v>
      </c>
      <c r="F39" s="37">
        <v>43812</v>
      </c>
      <c r="G39" s="37">
        <v>73974</v>
      </c>
      <c r="H39" s="37">
        <v>76103</v>
      </c>
      <c r="I39" s="37">
        <v>76417</v>
      </c>
      <c r="J39" s="37">
        <v>76126</v>
      </c>
      <c r="K39" s="37">
        <v>76254</v>
      </c>
      <c r="L39" s="37">
        <v>76122</v>
      </c>
      <c r="M39" s="38">
        <v>76110</v>
      </c>
      <c r="N39" s="36">
        <v>30401</v>
      </c>
      <c r="O39" s="37">
        <v>48382</v>
      </c>
      <c r="P39" s="37">
        <v>74400</v>
      </c>
      <c r="Q39" s="37">
        <v>114495</v>
      </c>
      <c r="R39" s="37">
        <v>130841</v>
      </c>
      <c r="S39" s="37">
        <v>129321</v>
      </c>
      <c r="T39" s="37">
        <v>129117</v>
      </c>
      <c r="U39" s="37">
        <v>129067</v>
      </c>
      <c r="V39" s="38">
        <v>129507</v>
      </c>
    </row>
    <row r="40" spans="2:31" ht="15" customHeight="1">
      <c r="B40" s="93"/>
      <c r="C40" s="96"/>
      <c r="D40" s="5">
        <v>0.5</v>
      </c>
      <c r="E40" s="39">
        <v>41752</v>
      </c>
      <c r="F40" s="40">
        <v>66910</v>
      </c>
      <c r="G40" s="40">
        <v>92322</v>
      </c>
      <c r="H40" s="40">
        <v>142193</v>
      </c>
      <c r="I40" s="40">
        <v>152948</v>
      </c>
      <c r="J40" s="40">
        <v>152922</v>
      </c>
      <c r="K40" s="40">
        <v>152894</v>
      </c>
      <c r="L40" s="40">
        <v>152315</v>
      </c>
      <c r="M40" s="41">
        <v>152329</v>
      </c>
      <c r="N40" s="39">
        <v>44734</v>
      </c>
      <c r="O40" s="40">
        <v>76032</v>
      </c>
      <c r="P40" s="40">
        <v>114875</v>
      </c>
      <c r="Q40" s="40">
        <v>167433</v>
      </c>
      <c r="R40" s="40">
        <v>227023</v>
      </c>
      <c r="S40" s="40">
        <v>256091</v>
      </c>
      <c r="T40" s="40">
        <v>254773</v>
      </c>
      <c r="U40" s="40">
        <v>256434</v>
      </c>
      <c r="V40" s="41">
        <v>256165</v>
      </c>
    </row>
    <row r="41" spans="2:31" ht="15" customHeight="1">
      <c r="B41" s="93"/>
      <c r="C41" s="96"/>
      <c r="D41" s="5">
        <v>0.75</v>
      </c>
      <c r="E41" s="39">
        <v>51512</v>
      </c>
      <c r="F41" s="40">
        <v>89944</v>
      </c>
      <c r="G41" s="40">
        <v>138319</v>
      </c>
      <c r="H41" s="40">
        <v>171919</v>
      </c>
      <c r="I41" s="40">
        <v>225737</v>
      </c>
      <c r="J41" s="40">
        <v>275711</v>
      </c>
      <c r="K41" s="40">
        <v>296021</v>
      </c>
      <c r="L41" s="40">
        <v>295423</v>
      </c>
      <c r="M41" s="41">
        <v>295799</v>
      </c>
      <c r="N41" s="39">
        <v>53927</v>
      </c>
      <c r="O41" s="40">
        <v>97929</v>
      </c>
      <c r="P41" s="40">
        <v>166639</v>
      </c>
      <c r="Q41" s="40">
        <v>236628</v>
      </c>
      <c r="R41" s="40">
        <v>306405</v>
      </c>
      <c r="S41" s="40">
        <v>365624</v>
      </c>
      <c r="T41" s="40">
        <v>426256</v>
      </c>
      <c r="U41" s="40">
        <v>424612</v>
      </c>
      <c r="V41" s="41">
        <v>427675</v>
      </c>
    </row>
    <row r="42" spans="2:31" ht="15" customHeight="1" thickBot="1">
      <c r="B42" s="94"/>
      <c r="C42" s="97"/>
      <c r="D42" s="6">
        <v>1</v>
      </c>
      <c r="E42" s="42">
        <v>60809</v>
      </c>
      <c r="F42" s="43">
        <v>115754</v>
      </c>
      <c r="G42" s="43">
        <v>209334</v>
      </c>
      <c r="H42" s="43">
        <v>339129</v>
      </c>
      <c r="I42" s="43">
        <v>461519</v>
      </c>
      <c r="J42" s="43">
        <v>537206</v>
      </c>
      <c r="K42" s="43">
        <v>571075</v>
      </c>
      <c r="L42" s="43">
        <v>571144</v>
      </c>
      <c r="M42" s="44">
        <v>571232</v>
      </c>
      <c r="N42" s="42">
        <v>61846</v>
      </c>
      <c r="O42" s="43">
        <v>120135</v>
      </c>
      <c r="P42" s="43">
        <v>226806</v>
      </c>
      <c r="Q42" s="43">
        <v>401536</v>
      </c>
      <c r="R42" s="43">
        <v>628186</v>
      </c>
      <c r="S42" s="43">
        <v>820636</v>
      </c>
      <c r="T42" s="43">
        <v>851228</v>
      </c>
      <c r="U42" s="43">
        <v>854712</v>
      </c>
      <c r="V42" s="44">
        <v>853407</v>
      </c>
    </row>
    <row r="43" spans="2:31" ht="15" customHeight="1">
      <c r="B43" s="83" t="s">
        <v>9</v>
      </c>
      <c r="C43" s="98" t="s">
        <v>6</v>
      </c>
      <c r="D43" s="4">
        <v>0.25</v>
      </c>
      <c r="E43" s="36">
        <v>13</v>
      </c>
      <c r="F43" s="37">
        <v>14</v>
      </c>
      <c r="G43" s="37">
        <v>16</v>
      </c>
      <c r="H43" s="37">
        <v>17</v>
      </c>
      <c r="I43" s="37">
        <v>18</v>
      </c>
      <c r="J43" s="37">
        <v>20</v>
      </c>
      <c r="K43" s="37">
        <v>31</v>
      </c>
      <c r="L43" s="37">
        <v>2704</v>
      </c>
      <c r="M43" s="38">
        <v>7072</v>
      </c>
      <c r="N43" s="36">
        <v>13</v>
      </c>
      <c r="O43" s="37">
        <v>14</v>
      </c>
      <c r="P43" s="37">
        <v>16</v>
      </c>
      <c r="Q43" s="37">
        <v>20</v>
      </c>
      <c r="R43" s="37">
        <v>23</v>
      </c>
      <c r="S43" s="37">
        <v>26</v>
      </c>
      <c r="T43" s="37">
        <v>34</v>
      </c>
      <c r="U43" s="37">
        <v>1992</v>
      </c>
      <c r="V43" s="38">
        <v>5856</v>
      </c>
    </row>
    <row r="44" spans="2:31" ht="15" customHeight="1">
      <c r="B44" s="93"/>
      <c r="C44" s="96"/>
      <c r="D44" s="5">
        <v>0.5</v>
      </c>
      <c r="E44" s="39">
        <v>13</v>
      </c>
      <c r="F44" s="40">
        <v>14</v>
      </c>
      <c r="G44" s="40">
        <v>16</v>
      </c>
      <c r="H44" s="40">
        <v>18</v>
      </c>
      <c r="I44" s="40">
        <v>828</v>
      </c>
      <c r="J44" s="40">
        <v>1480</v>
      </c>
      <c r="K44" s="40">
        <v>2640</v>
      </c>
      <c r="L44" s="40">
        <v>4640</v>
      </c>
      <c r="M44" s="41">
        <v>11072</v>
      </c>
      <c r="N44" s="39">
        <v>13</v>
      </c>
      <c r="O44" s="40">
        <v>14</v>
      </c>
      <c r="P44" s="40">
        <v>17</v>
      </c>
      <c r="Q44" s="40">
        <v>20</v>
      </c>
      <c r="R44" s="40">
        <v>27</v>
      </c>
      <c r="S44" s="40">
        <v>812</v>
      </c>
      <c r="T44" s="40">
        <v>1800</v>
      </c>
      <c r="U44" s="40">
        <v>3088</v>
      </c>
      <c r="V44" s="41">
        <v>6688</v>
      </c>
    </row>
    <row r="45" spans="2:31" ht="15" customHeight="1">
      <c r="B45" s="93"/>
      <c r="C45" s="96"/>
      <c r="D45" s="5">
        <v>0.75</v>
      </c>
      <c r="E45" s="39">
        <v>13</v>
      </c>
      <c r="F45" s="40">
        <v>15</v>
      </c>
      <c r="G45" s="40">
        <v>17</v>
      </c>
      <c r="H45" s="40">
        <v>486</v>
      </c>
      <c r="I45" s="40">
        <v>836</v>
      </c>
      <c r="J45" s="40">
        <v>1384</v>
      </c>
      <c r="K45" s="40">
        <v>2160</v>
      </c>
      <c r="L45" s="40">
        <v>4256</v>
      </c>
      <c r="M45" s="41">
        <v>11968</v>
      </c>
      <c r="N45" s="39">
        <v>13</v>
      </c>
      <c r="O45" s="40">
        <v>15</v>
      </c>
      <c r="P45" s="40">
        <v>19</v>
      </c>
      <c r="Q45" s="40">
        <v>30</v>
      </c>
      <c r="R45" s="40">
        <v>334</v>
      </c>
      <c r="S45" s="40">
        <v>684</v>
      </c>
      <c r="T45" s="40">
        <v>1384</v>
      </c>
      <c r="U45" s="40">
        <v>2736</v>
      </c>
      <c r="V45" s="41">
        <v>6560</v>
      </c>
      <c r="AE45" s="11" t="s">
        <v>64</v>
      </c>
    </row>
    <row r="46" spans="2:31" ht="15" customHeight="1" thickBot="1">
      <c r="B46" s="93"/>
      <c r="C46" s="97"/>
      <c r="D46" s="6">
        <v>1</v>
      </c>
      <c r="E46" s="42">
        <v>13</v>
      </c>
      <c r="F46" s="43">
        <v>306</v>
      </c>
      <c r="G46" s="43">
        <v>478</v>
      </c>
      <c r="H46" s="43">
        <v>596</v>
      </c>
      <c r="I46" s="43">
        <v>724</v>
      </c>
      <c r="J46" s="43">
        <v>1032</v>
      </c>
      <c r="K46" s="43">
        <v>1304</v>
      </c>
      <c r="L46" s="43">
        <v>3312</v>
      </c>
      <c r="M46" s="44">
        <v>9024</v>
      </c>
      <c r="N46" s="42">
        <v>14</v>
      </c>
      <c r="O46" s="43">
        <v>20</v>
      </c>
      <c r="P46" s="43">
        <v>177</v>
      </c>
      <c r="Q46" s="43">
        <v>354</v>
      </c>
      <c r="R46" s="43">
        <v>462</v>
      </c>
      <c r="S46" s="43">
        <v>748</v>
      </c>
      <c r="T46" s="43">
        <v>1096</v>
      </c>
      <c r="U46" s="43">
        <v>1672</v>
      </c>
      <c r="V46" s="44">
        <v>4048</v>
      </c>
    </row>
    <row r="47" spans="2:31" ht="15" customHeight="1">
      <c r="B47" s="93"/>
      <c r="C47" s="98" t="s">
        <v>7</v>
      </c>
      <c r="D47" s="4">
        <v>0.25</v>
      </c>
      <c r="E47" s="36">
        <v>17</v>
      </c>
      <c r="F47" s="37">
        <v>18</v>
      </c>
      <c r="G47" s="37">
        <v>21</v>
      </c>
      <c r="H47" s="37">
        <v>26</v>
      </c>
      <c r="I47" s="37">
        <v>26</v>
      </c>
      <c r="J47" s="37">
        <v>30</v>
      </c>
      <c r="K47" s="37">
        <v>5792</v>
      </c>
      <c r="L47" s="37">
        <v>12480</v>
      </c>
      <c r="M47" s="38">
        <v>16192</v>
      </c>
      <c r="N47" s="36">
        <v>17</v>
      </c>
      <c r="O47" s="37">
        <v>18</v>
      </c>
      <c r="P47" s="37">
        <v>21</v>
      </c>
      <c r="Q47" s="37">
        <v>31</v>
      </c>
      <c r="R47" s="37">
        <v>39</v>
      </c>
      <c r="S47" s="37">
        <v>48</v>
      </c>
      <c r="T47" s="37">
        <v>92</v>
      </c>
      <c r="U47" s="37">
        <v>2576</v>
      </c>
      <c r="V47" s="38">
        <v>7712</v>
      </c>
    </row>
    <row r="48" spans="2:31" ht="15" customHeight="1">
      <c r="B48" s="93"/>
      <c r="C48" s="96"/>
      <c r="D48" s="5">
        <v>0.5</v>
      </c>
      <c r="E48" s="39">
        <v>17</v>
      </c>
      <c r="F48" s="40">
        <v>19</v>
      </c>
      <c r="G48" s="40">
        <v>22</v>
      </c>
      <c r="H48" s="40">
        <v>26</v>
      </c>
      <c r="I48" s="40">
        <v>2736</v>
      </c>
      <c r="J48" s="40">
        <v>7520</v>
      </c>
      <c r="K48" s="40">
        <v>11456</v>
      </c>
      <c r="L48" s="40">
        <v>13120</v>
      </c>
      <c r="M48" s="41">
        <v>61696</v>
      </c>
      <c r="N48" s="39">
        <v>19</v>
      </c>
      <c r="O48" s="40">
        <v>19</v>
      </c>
      <c r="P48" s="40">
        <v>23</v>
      </c>
      <c r="Q48" s="40">
        <v>32</v>
      </c>
      <c r="R48" s="40">
        <v>48</v>
      </c>
      <c r="S48" s="40">
        <v>3504</v>
      </c>
      <c r="T48" s="40">
        <v>11840</v>
      </c>
      <c r="U48" s="40">
        <v>9280</v>
      </c>
      <c r="V48" s="41">
        <v>14912</v>
      </c>
    </row>
    <row r="49" spans="2:22" ht="15" customHeight="1">
      <c r="B49" s="93"/>
      <c r="C49" s="96"/>
      <c r="D49" s="5">
        <v>0.75</v>
      </c>
      <c r="E49" s="39">
        <v>18</v>
      </c>
      <c r="F49" s="40">
        <v>20</v>
      </c>
      <c r="G49" s="40">
        <v>25</v>
      </c>
      <c r="H49" s="40">
        <v>1864</v>
      </c>
      <c r="I49" s="40">
        <v>2608</v>
      </c>
      <c r="J49" s="40">
        <v>5088</v>
      </c>
      <c r="K49" s="40">
        <v>8768</v>
      </c>
      <c r="L49" s="40">
        <v>35072</v>
      </c>
      <c r="M49" s="41">
        <v>20864</v>
      </c>
      <c r="N49" s="39">
        <v>21</v>
      </c>
      <c r="O49" s="40">
        <v>20</v>
      </c>
      <c r="P49" s="40">
        <v>28</v>
      </c>
      <c r="Q49" s="40">
        <v>53</v>
      </c>
      <c r="R49" s="40">
        <v>2576</v>
      </c>
      <c r="S49" s="40">
        <v>7008</v>
      </c>
      <c r="T49" s="40">
        <v>72192</v>
      </c>
      <c r="U49" s="40">
        <v>85504</v>
      </c>
      <c r="V49" s="41">
        <v>160768</v>
      </c>
    </row>
    <row r="50" spans="2:22" ht="15" customHeight="1" thickBot="1">
      <c r="B50" s="93"/>
      <c r="C50" s="97"/>
      <c r="D50" s="6">
        <v>1</v>
      </c>
      <c r="E50" s="42">
        <v>19</v>
      </c>
      <c r="F50" s="43">
        <v>612</v>
      </c>
      <c r="G50" s="43">
        <v>804</v>
      </c>
      <c r="H50" s="43">
        <v>1176</v>
      </c>
      <c r="I50" s="43">
        <v>2320</v>
      </c>
      <c r="J50" s="43">
        <v>3664</v>
      </c>
      <c r="K50" s="43">
        <v>6432</v>
      </c>
      <c r="L50" s="43">
        <v>36608</v>
      </c>
      <c r="M50" s="44">
        <v>18048</v>
      </c>
      <c r="N50" s="42">
        <v>19</v>
      </c>
      <c r="O50" s="43">
        <v>57</v>
      </c>
      <c r="P50" s="43">
        <v>213</v>
      </c>
      <c r="Q50" s="43">
        <v>474</v>
      </c>
      <c r="R50" s="43">
        <v>1032</v>
      </c>
      <c r="S50" s="43">
        <v>1176</v>
      </c>
      <c r="T50" s="43">
        <v>1368</v>
      </c>
      <c r="U50" s="43">
        <v>2768</v>
      </c>
      <c r="V50" s="44">
        <v>6112</v>
      </c>
    </row>
    <row r="51" spans="2:22" ht="15" customHeight="1">
      <c r="B51" s="93"/>
      <c r="C51" s="98" t="s">
        <v>8</v>
      </c>
      <c r="D51" s="4">
        <v>0.25</v>
      </c>
      <c r="E51" s="24">
        <v>17187</v>
      </c>
      <c r="F51" s="25">
        <v>29975</v>
      </c>
      <c r="G51" s="25">
        <v>46098</v>
      </c>
      <c r="H51" s="25">
        <v>57311</v>
      </c>
      <c r="I51" s="25">
        <v>75253</v>
      </c>
      <c r="J51" s="25">
        <v>91899</v>
      </c>
      <c r="K51" s="25">
        <v>98659</v>
      </c>
      <c r="L51" s="25">
        <v>98486</v>
      </c>
      <c r="M51" s="26">
        <v>98621</v>
      </c>
      <c r="N51" s="24">
        <v>17970</v>
      </c>
      <c r="O51" s="25">
        <v>32640</v>
      </c>
      <c r="P51" s="25">
        <v>55545</v>
      </c>
      <c r="Q51" s="25">
        <v>78907</v>
      </c>
      <c r="R51" s="25">
        <v>102166</v>
      </c>
      <c r="S51" s="25">
        <v>121900</v>
      </c>
      <c r="T51" s="25">
        <v>142111</v>
      </c>
      <c r="U51" s="25">
        <v>141542</v>
      </c>
      <c r="V51" s="26">
        <v>142537</v>
      </c>
    </row>
    <row r="52" spans="2:22" ht="15" customHeight="1">
      <c r="B52" s="93"/>
      <c r="C52" s="96"/>
      <c r="D52" s="5">
        <v>0.5</v>
      </c>
      <c r="E52" s="27">
        <v>41755</v>
      </c>
      <c r="F52" s="28">
        <v>66919</v>
      </c>
      <c r="G52" s="28">
        <v>92294</v>
      </c>
      <c r="H52" s="28">
        <v>142189</v>
      </c>
      <c r="I52" s="28">
        <v>152933</v>
      </c>
      <c r="J52" s="28">
        <v>152888</v>
      </c>
      <c r="K52" s="28">
        <v>152902</v>
      </c>
      <c r="L52" s="28">
        <v>152309</v>
      </c>
      <c r="M52" s="29">
        <v>152365</v>
      </c>
      <c r="N52" s="27">
        <v>44746</v>
      </c>
      <c r="O52" s="28">
        <v>76026</v>
      </c>
      <c r="P52" s="28">
        <v>114858</v>
      </c>
      <c r="Q52" s="28">
        <v>167411</v>
      </c>
      <c r="R52" s="28">
        <v>227039</v>
      </c>
      <c r="S52" s="28">
        <v>256087</v>
      </c>
      <c r="T52" s="28">
        <v>254758</v>
      </c>
      <c r="U52" s="28">
        <v>256467</v>
      </c>
      <c r="V52" s="29">
        <v>256153</v>
      </c>
    </row>
    <row r="53" spans="2:22" ht="15" customHeight="1">
      <c r="B53" s="93"/>
      <c r="C53" s="96"/>
      <c r="D53" s="5">
        <v>0.75</v>
      </c>
      <c r="E53" s="27">
        <v>83834</v>
      </c>
      <c r="F53" s="28">
        <v>131394</v>
      </c>
      <c r="G53" s="28">
        <v>221931</v>
      </c>
      <c r="H53" s="28">
        <v>228398</v>
      </c>
      <c r="I53" s="28">
        <v>229252</v>
      </c>
      <c r="J53" s="28">
        <v>228405</v>
      </c>
      <c r="K53" s="28">
        <v>228782</v>
      </c>
      <c r="L53" s="28">
        <v>228459</v>
      </c>
      <c r="M53" s="29">
        <v>228339</v>
      </c>
      <c r="N53" s="27">
        <v>91184</v>
      </c>
      <c r="O53" s="28">
        <v>145151</v>
      </c>
      <c r="P53" s="28">
        <v>223155</v>
      </c>
      <c r="Q53" s="28">
        <v>343424</v>
      </c>
      <c r="R53" s="28">
        <v>392535</v>
      </c>
      <c r="S53" s="28">
        <v>387960</v>
      </c>
      <c r="T53" s="28">
        <v>387399</v>
      </c>
      <c r="U53" s="28">
        <v>387247</v>
      </c>
      <c r="V53" s="29">
        <v>388511</v>
      </c>
    </row>
    <row r="54" spans="2:22" ht="15" customHeight="1" thickBot="1">
      <c r="B54" s="94"/>
      <c r="C54" s="97"/>
      <c r="D54" s="6">
        <v>1</v>
      </c>
      <c r="E54" s="30">
        <v>309188</v>
      </c>
      <c r="F54" s="31">
        <v>353286</v>
      </c>
      <c r="G54" s="31">
        <v>352940</v>
      </c>
      <c r="H54" s="31">
        <v>354041</v>
      </c>
      <c r="I54" s="31">
        <v>352084</v>
      </c>
      <c r="J54" s="31">
        <v>354426</v>
      </c>
      <c r="K54" s="31">
        <v>353650</v>
      </c>
      <c r="L54" s="31">
        <v>352638</v>
      </c>
      <c r="M54" s="32">
        <v>354245</v>
      </c>
      <c r="N54" s="30">
        <v>311938</v>
      </c>
      <c r="O54" s="31">
        <v>518470</v>
      </c>
      <c r="P54" s="31">
        <v>562091</v>
      </c>
      <c r="Q54" s="31">
        <v>562108</v>
      </c>
      <c r="R54" s="31">
        <v>562110</v>
      </c>
      <c r="S54" s="31">
        <v>561811</v>
      </c>
      <c r="T54" s="31">
        <v>562189</v>
      </c>
      <c r="U54" s="31">
        <v>562190</v>
      </c>
      <c r="V54" s="32">
        <v>562215</v>
      </c>
    </row>
  </sheetData>
  <mergeCells count="36">
    <mergeCell ref="AJ2:AR2"/>
    <mergeCell ref="B2:D3"/>
    <mergeCell ref="E2:M2"/>
    <mergeCell ref="N2:V2"/>
    <mergeCell ref="X2:Z3"/>
    <mergeCell ref="AA2:AI2"/>
    <mergeCell ref="B4:B15"/>
    <mergeCell ref="C4:C7"/>
    <mergeCell ref="X4:X15"/>
    <mergeCell ref="Y4:Y7"/>
    <mergeCell ref="C8:C11"/>
    <mergeCell ref="Y8:Y11"/>
    <mergeCell ref="C12:C15"/>
    <mergeCell ref="Y12:Y15"/>
    <mergeCell ref="B16:B27"/>
    <mergeCell ref="C16:C19"/>
    <mergeCell ref="X16:X27"/>
    <mergeCell ref="Y16:Y19"/>
    <mergeCell ref="C20:C23"/>
    <mergeCell ref="Y20:Y23"/>
    <mergeCell ref="C24:C27"/>
    <mergeCell ref="Y24:Y27"/>
    <mergeCell ref="E29:M29"/>
    <mergeCell ref="N29:V29"/>
    <mergeCell ref="Z29:AD29"/>
    <mergeCell ref="Z30:AD30"/>
    <mergeCell ref="B31:B42"/>
    <mergeCell ref="C31:C34"/>
    <mergeCell ref="Z31:AD31"/>
    <mergeCell ref="C35:C38"/>
    <mergeCell ref="C39:C42"/>
    <mergeCell ref="B43:B54"/>
    <mergeCell ref="C43:C46"/>
    <mergeCell ref="C47:C50"/>
    <mergeCell ref="C51:C54"/>
    <mergeCell ref="B29:D30"/>
  </mergeCells>
  <phoneticPr fontId="1" type="noConversion"/>
  <conditionalFormatting sqref="Y29">
    <cfRule type="cellIs" dxfId="263" priority="18" operator="lessThan">
      <formula>0.8</formula>
    </cfRule>
  </conditionalFormatting>
  <conditionalFormatting sqref="Y30:Y31">
    <cfRule type="cellIs" dxfId="262" priority="17" operator="lessThan">
      <formula>0.8</formula>
    </cfRule>
  </conditionalFormatting>
  <conditionalFormatting sqref="N31:V38 N43:V50 E43:M45 E50:M50 F49:M49 E48:M48 E46:E47 G46:M47">
    <cfRule type="expression" dxfId="261" priority="12">
      <formula>AA4&gt;1.1</formula>
    </cfRule>
  </conditionalFormatting>
  <conditionalFormatting sqref="E31:M38">
    <cfRule type="expression" dxfId="260" priority="11">
      <formula>AA4&gt;1.1</formula>
    </cfRule>
  </conditionalFormatting>
  <conditionalFormatting sqref="AA4:AR11 AA17:AR19 AA16:AB16 AD16:AR16 AA21:AR23 AA20 AD20:AR20">
    <cfRule type="cellIs" dxfId="259" priority="5" operator="lessThan">
      <formula>0.9</formula>
    </cfRule>
    <cfRule type="cellIs" dxfId="258" priority="6" operator="greaterThan">
      <formula>1.1</formula>
    </cfRule>
  </conditionalFormatting>
  <conditionalFormatting sqref="AA12:AR15 AA24:AR27">
    <cfRule type="cellIs" dxfId="257" priority="3" operator="lessThan">
      <formula>0.95</formula>
    </cfRule>
    <cfRule type="cellIs" dxfId="256" priority="4" operator="greaterThan">
      <formula>1.05</formula>
    </cfRule>
  </conditionalFormatting>
  <conditionalFormatting sqref="N4:V11 N16:V23 E16:M18 E23:M23 F22:M22 E21:M21 E19:E20 G19:M20">
    <cfRule type="expression" dxfId="255" priority="2">
      <formula>AA1048438&gt;1.1</formula>
    </cfRule>
  </conditionalFormatting>
  <conditionalFormatting sqref="E4:M11">
    <cfRule type="expression" dxfId="254" priority="1">
      <formula>AA1048438&gt;1.1</formula>
    </cfRule>
  </conditionalFormatting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2:AI32"/>
  <sheetViews>
    <sheetView tabSelected="1" zoomScale="85" zoomScaleNormal="85" workbookViewId="0">
      <selection activeCell="A4" sqref="A4"/>
    </sheetView>
  </sheetViews>
  <sheetFormatPr defaultColWidth="9" defaultRowHeight="19.5" customHeight="1"/>
  <cols>
    <col min="1" max="1" width="9" style="11"/>
    <col min="2" max="2" width="28.3984375" style="11" bestFit="1" customWidth="1"/>
    <col min="3" max="3" width="10.09765625" style="11" bestFit="1" customWidth="1"/>
    <col min="4" max="5" width="10.5" style="11" customWidth="1"/>
    <col min="6" max="14" width="9.59765625" style="11" customWidth="1"/>
    <col min="15" max="15" width="25.296875" style="11" customWidth="1"/>
    <col min="16" max="18" width="9.59765625" style="11" customWidth="1"/>
    <col min="19" max="20" width="8.09765625" style="11" customWidth="1"/>
    <col min="21" max="16384" width="9" style="11"/>
  </cols>
  <sheetData>
    <row r="2" spans="1:35" ht="19.5" customHeight="1">
      <c r="B2" s="123" t="s">
        <v>101</v>
      </c>
      <c r="C2" s="134" t="s">
        <v>86</v>
      </c>
      <c r="D2" s="126"/>
      <c r="E2" s="135" t="s">
        <v>99</v>
      </c>
      <c r="F2" s="136"/>
      <c r="G2" s="137" t="s">
        <v>100</v>
      </c>
      <c r="H2" s="138"/>
      <c r="I2" s="139" t="s">
        <v>87</v>
      </c>
      <c r="J2" s="130"/>
      <c r="K2" s="140" t="s">
        <v>89</v>
      </c>
      <c r="L2" s="140"/>
      <c r="N2" s="11" t="s">
        <v>90</v>
      </c>
      <c r="O2" s="123" t="s">
        <v>101</v>
      </c>
      <c r="P2" s="134" t="s">
        <v>86</v>
      </c>
      <c r="Q2" s="126"/>
      <c r="R2" s="126"/>
      <c r="S2" s="127"/>
      <c r="T2" s="160" t="s">
        <v>99</v>
      </c>
      <c r="U2" s="160"/>
      <c r="V2" s="160"/>
      <c r="W2" s="160"/>
      <c r="X2" s="161" t="s">
        <v>100</v>
      </c>
      <c r="Y2" s="161"/>
      <c r="Z2" s="161"/>
      <c r="AA2" s="161"/>
      <c r="AB2" s="139" t="s">
        <v>87</v>
      </c>
      <c r="AC2" s="130"/>
      <c r="AD2" s="130"/>
      <c r="AE2" s="131"/>
      <c r="AF2" s="140" t="s">
        <v>89</v>
      </c>
      <c r="AG2" s="140"/>
      <c r="AH2" s="140"/>
      <c r="AI2" s="140"/>
    </row>
    <row r="3" spans="1:35" ht="19.5" customHeight="1">
      <c r="A3" s="11" t="s">
        <v>103</v>
      </c>
      <c r="B3" s="124"/>
      <c r="C3" s="141"/>
      <c r="D3" s="128"/>
      <c r="E3" s="142"/>
      <c r="F3" s="143"/>
      <c r="G3" s="144"/>
      <c r="H3" s="145"/>
      <c r="I3" s="146"/>
      <c r="J3" s="132"/>
      <c r="K3" s="140"/>
      <c r="L3" s="140"/>
      <c r="O3" s="124"/>
      <c r="P3" s="141"/>
      <c r="Q3" s="128"/>
      <c r="R3" s="128"/>
      <c r="S3" s="129"/>
      <c r="T3" s="160"/>
      <c r="U3" s="160"/>
      <c r="V3" s="160"/>
      <c r="W3" s="160"/>
      <c r="X3" s="161"/>
      <c r="Y3" s="161"/>
      <c r="Z3" s="161"/>
      <c r="AA3" s="161"/>
      <c r="AB3" s="146"/>
      <c r="AC3" s="132"/>
      <c r="AD3" s="132"/>
      <c r="AE3" s="133"/>
      <c r="AF3" s="140"/>
      <c r="AG3" s="140"/>
      <c r="AH3" s="140"/>
      <c r="AI3" s="140"/>
    </row>
    <row r="4" spans="1:35" ht="19.5" customHeight="1">
      <c r="B4" s="125"/>
      <c r="C4" s="147" t="s">
        <v>91</v>
      </c>
      <c r="D4" s="147" t="s">
        <v>88</v>
      </c>
      <c r="E4" s="148" t="s">
        <v>92</v>
      </c>
      <c r="F4" s="148" t="s">
        <v>93</v>
      </c>
      <c r="G4" s="149" t="s">
        <v>91</v>
      </c>
      <c r="H4" s="149" t="s">
        <v>88</v>
      </c>
      <c r="I4" s="150" t="s">
        <v>91</v>
      </c>
      <c r="J4" s="150" t="s">
        <v>88</v>
      </c>
      <c r="K4" s="150" t="s">
        <v>91</v>
      </c>
      <c r="L4" s="150" t="s">
        <v>88</v>
      </c>
      <c r="O4" s="125"/>
      <c r="P4" s="147" t="s">
        <v>88</v>
      </c>
      <c r="Q4" s="147" t="s">
        <v>94</v>
      </c>
      <c r="R4" s="147" t="s">
        <v>95</v>
      </c>
      <c r="S4" s="147" t="s">
        <v>96</v>
      </c>
      <c r="T4" s="148" t="s">
        <v>88</v>
      </c>
      <c r="U4" s="148" t="s">
        <v>94</v>
      </c>
      <c r="V4" s="148" t="s">
        <v>97</v>
      </c>
      <c r="W4" s="148" t="s">
        <v>98</v>
      </c>
      <c r="X4" s="149" t="s">
        <v>88</v>
      </c>
      <c r="Y4" s="149" t="s">
        <v>94</v>
      </c>
      <c r="Z4" s="149" t="s">
        <v>97</v>
      </c>
      <c r="AA4" s="149" t="s">
        <v>98</v>
      </c>
      <c r="AB4" s="150" t="s">
        <v>88</v>
      </c>
      <c r="AC4" s="149" t="s">
        <v>94</v>
      </c>
      <c r="AD4" s="150" t="s">
        <v>97</v>
      </c>
      <c r="AE4" s="150" t="s">
        <v>98</v>
      </c>
      <c r="AF4" s="150" t="s">
        <v>88</v>
      </c>
      <c r="AG4" s="149" t="s">
        <v>94</v>
      </c>
      <c r="AH4" s="150" t="s">
        <v>97</v>
      </c>
      <c r="AI4" s="150" t="s">
        <v>98</v>
      </c>
    </row>
    <row r="5" spans="1:35" ht="54" customHeight="1">
      <c r="B5" s="9" t="s">
        <v>10</v>
      </c>
      <c r="C5" s="151">
        <v>3500</v>
      </c>
      <c r="D5" s="151">
        <v>3500</v>
      </c>
      <c r="E5" s="152">
        <v>3578.24</v>
      </c>
      <c r="F5" s="152">
        <v>3578.29</v>
      </c>
      <c r="G5" s="152">
        <v>3578.25</v>
      </c>
      <c r="H5" s="152">
        <v>3578.27</v>
      </c>
      <c r="I5" s="10">
        <f t="shared" ref="I5:J8" si="0">G5/C5</f>
        <v>1.022357142857143</v>
      </c>
      <c r="J5" s="10">
        <f t="shared" si="0"/>
        <v>1.0223628571428571</v>
      </c>
      <c r="K5" s="10">
        <f t="shared" ref="K5:L8" si="1">G5/E5</f>
        <v>1.0000027946700054</v>
      </c>
      <c r="L5" s="10">
        <f t="shared" si="1"/>
        <v>0.99999441073809003</v>
      </c>
      <c r="O5" s="9" t="s">
        <v>10</v>
      </c>
      <c r="P5" s="151">
        <v>3500</v>
      </c>
      <c r="Q5" s="151">
        <v>3500</v>
      </c>
      <c r="R5" s="151">
        <v>3500</v>
      </c>
      <c r="S5" s="151">
        <v>3500</v>
      </c>
      <c r="T5" s="152">
        <v>3578.22</v>
      </c>
      <c r="U5" s="152">
        <v>3578.4</v>
      </c>
      <c r="V5" s="152">
        <v>3578.34</v>
      </c>
      <c r="W5" s="152">
        <v>3578.22</v>
      </c>
      <c r="X5" s="153">
        <v>3578.29</v>
      </c>
      <c r="Y5" s="153">
        <v>3578.26</v>
      </c>
      <c r="Z5" s="153">
        <v>3578.28</v>
      </c>
      <c r="AA5" s="153">
        <v>3578.23</v>
      </c>
      <c r="AB5" s="10">
        <f>X5/P5</f>
        <v>1.0223685714285715</v>
      </c>
      <c r="AC5" s="10">
        <f t="shared" ref="AC5:AE8" si="2">Y5/Q5</f>
        <v>1.0223600000000002</v>
      </c>
      <c r="AD5" s="10">
        <f t="shared" si="2"/>
        <v>1.0223657142857143</v>
      </c>
      <c r="AE5" s="10">
        <f t="shared" si="2"/>
        <v>1.0223514285714286</v>
      </c>
      <c r="AF5" s="10">
        <f>X5/T5</f>
        <v>1.0000195627993806</v>
      </c>
      <c r="AG5" s="10">
        <f t="shared" ref="AG5:AI8" si="3">Y5/U5</f>
        <v>0.99996087636932707</v>
      </c>
      <c r="AH5" s="10">
        <f t="shared" si="3"/>
        <v>0.99998323244856557</v>
      </c>
      <c r="AI5" s="10">
        <f t="shared" si="3"/>
        <v>1.0000027946856258</v>
      </c>
    </row>
    <row r="6" spans="1:35" ht="54" customHeight="1">
      <c r="B6" s="9" t="s">
        <v>11</v>
      </c>
      <c r="C6" s="151">
        <v>1600</v>
      </c>
      <c r="D6" s="151">
        <v>1600</v>
      </c>
      <c r="E6" s="152">
        <v>1623.65</v>
      </c>
      <c r="F6" s="152">
        <v>3011.75</v>
      </c>
      <c r="G6" s="152">
        <v>1623.65</v>
      </c>
      <c r="H6" s="152">
        <v>3011.73</v>
      </c>
      <c r="I6" s="10">
        <f t="shared" si="0"/>
        <v>1.01478125</v>
      </c>
      <c r="J6" s="10">
        <f t="shared" si="0"/>
        <v>1.88233125</v>
      </c>
      <c r="K6" s="10">
        <f t="shared" si="1"/>
        <v>1</v>
      </c>
      <c r="L6" s="10">
        <f t="shared" si="1"/>
        <v>0.99999335934257494</v>
      </c>
      <c r="O6" s="9" t="s">
        <v>11</v>
      </c>
      <c r="P6" s="151">
        <v>3300</v>
      </c>
      <c r="Q6" s="151">
        <v>3400</v>
      </c>
      <c r="R6" s="151">
        <v>3400</v>
      </c>
      <c r="S6" s="151">
        <v>3400</v>
      </c>
      <c r="T6" s="152">
        <v>3315.73</v>
      </c>
      <c r="U6" s="152">
        <v>3514.07</v>
      </c>
      <c r="V6" s="152">
        <v>3515.6</v>
      </c>
      <c r="W6" s="152">
        <v>3464.21</v>
      </c>
      <c r="X6" s="153">
        <v>3318.45</v>
      </c>
      <c r="Y6" s="153">
        <v>3478.27</v>
      </c>
      <c r="Z6" s="153">
        <v>3476.5</v>
      </c>
      <c r="AA6" s="153">
        <v>3472.82</v>
      </c>
      <c r="AB6" s="10">
        <f>X6/P6</f>
        <v>1.005590909090909</v>
      </c>
      <c r="AC6" s="10">
        <f t="shared" si="2"/>
        <v>1.0230205882352941</v>
      </c>
      <c r="AD6" s="10">
        <f t="shared" si="2"/>
        <v>1.0225</v>
      </c>
      <c r="AE6" s="10">
        <f t="shared" si="2"/>
        <v>1.0214176470588237</v>
      </c>
      <c r="AF6" s="10">
        <f t="shared" ref="AF6:AF8" si="4">X6/T6</f>
        <v>1.000820332174212</v>
      </c>
      <c r="AG6" s="10">
        <f t="shared" si="3"/>
        <v>0.98981238279260231</v>
      </c>
      <c r="AH6" s="10">
        <f t="shared" si="3"/>
        <v>0.98887814313346234</v>
      </c>
      <c r="AI6" s="10">
        <f t="shared" si="3"/>
        <v>1.0024854151451559</v>
      </c>
    </row>
    <row r="7" spans="1:35" ht="54" customHeight="1">
      <c r="B7" s="9" t="s">
        <v>12</v>
      </c>
      <c r="C7" s="151">
        <v>700000</v>
      </c>
      <c r="D7" s="151">
        <v>850000</v>
      </c>
      <c r="E7" s="152">
        <v>735289.8</v>
      </c>
      <c r="F7" s="152">
        <v>850694.65</v>
      </c>
      <c r="G7" s="152">
        <v>735290.55</v>
      </c>
      <c r="H7" s="152">
        <v>850792.23</v>
      </c>
      <c r="I7" s="154">
        <f t="shared" si="0"/>
        <v>1.0504150714285716</v>
      </c>
      <c r="J7" s="10">
        <f t="shared" si="0"/>
        <v>1.0009320352941176</v>
      </c>
      <c r="K7" s="10">
        <f t="shared" si="1"/>
        <v>1.0000010200059894</v>
      </c>
      <c r="L7" s="10">
        <f t="shared" si="1"/>
        <v>1.0001147062579974</v>
      </c>
      <c r="O7" s="9" t="s">
        <v>12</v>
      </c>
      <c r="P7" s="151">
        <v>850000</v>
      </c>
      <c r="Q7" s="151">
        <v>850000</v>
      </c>
      <c r="R7" s="151">
        <v>850000</v>
      </c>
      <c r="S7" s="151">
        <v>850000</v>
      </c>
      <c r="T7" s="152">
        <v>851006.35</v>
      </c>
      <c r="U7" s="152">
        <v>850691.16</v>
      </c>
      <c r="V7" s="152">
        <v>851136.33</v>
      </c>
      <c r="W7" s="152">
        <v>850826.3</v>
      </c>
      <c r="X7" s="153">
        <v>850729.52</v>
      </c>
      <c r="Y7" s="153">
        <v>850683.21</v>
      </c>
      <c r="Z7" s="153">
        <v>851200.93</v>
      </c>
      <c r="AA7" s="153">
        <v>851002.2</v>
      </c>
      <c r="AB7" s="10">
        <f>X7/P7</f>
        <v>1.0008582588235295</v>
      </c>
      <c r="AC7" s="10">
        <f t="shared" si="2"/>
        <v>1.0008037764705882</v>
      </c>
      <c r="AD7" s="10">
        <f t="shared" si="2"/>
        <v>1.0014128588235294</v>
      </c>
      <c r="AE7" s="10">
        <f t="shared" si="2"/>
        <v>1.0011790588235294</v>
      </c>
      <c r="AF7" s="10">
        <f t="shared" si="4"/>
        <v>0.99967470277983239</v>
      </c>
      <c r="AG7" s="10">
        <f t="shared" si="3"/>
        <v>0.99999065465779602</v>
      </c>
      <c r="AH7" s="10">
        <f t="shared" si="3"/>
        <v>1.0000758985343747</v>
      </c>
      <c r="AI7" s="10">
        <f t="shared" si="3"/>
        <v>1.0002067402006731</v>
      </c>
    </row>
    <row r="8" spans="1:35" ht="54" customHeight="1">
      <c r="B8" s="9" t="s">
        <v>13</v>
      </c>
      <c r="C8" s="155">
        <v>60000</v>
      </c>
      <c r="D8" s="155">
        <v>95000</v>
      </c>
      <c r="E8" s="152">
        <v>64877.77</v>
      </c>
      <c r="F8" s="152">
        <v>119806.87</v>
      </c>
      <c r="G8" s="152">
        <v>64877.84</v>
      </c>
      <c r="H8" s="152">
        <v>119806.05</v>
      </c>
      <c r="I8" s="10">
        <f t="shared" si="0"/>
        <v>1.0812973333333333</v>
      </c>
      <c r="J8" s="10">
        <f t="shared" si="0"/>
        <v>1.2611163157894738</v>
      </c>
      <c r="K8" s="10">
        <f t="shared" si="1"/>
        <v>1.0000010789520046</v>
      </c>
      <c r="L8" s="10">
        <f t="shared" si="1"/>
        <v>0.99999315565125779</v>
      </c>
      <c r="O8" s="9" t="s">
        <v>13</v>
      </c>
      <c r="P8" s="155">
        <v>135000</v>
      </c>
      <c r="Q8" s="155">
        <v>230000</v>
      </c>
      <c r="R8" s="155">
        <v>310000</v>
      </c>
      <c r="S8" s="155">
        <v>330000</v>
      </c>
      <c r="T8" s="152">
        <v>160931.01999999999</v>
      </c>
      <c r="U8" s="152">
        <v>252521.83</v>
      </c>
      <c r="V8" s="152">
        <v>331855.35999999999</v>
      </c>
      <c r="W8" s="152">
        <v>354438.1</v>
      </c>
      <c r="X8" s="153">
        <v>160925.81</v>
      </c>
      <c r="Y8" s="153">
        <v>252519.44</v>
      </c>
      <c r="Z8" s="153">
        <v>331856.28999999998</v>
      </c>
      <c r="AA8" s="153">
        <v>354440.49</v>
      </c>
      <c r="AB8" s="10">
        <f>X8/P8</f>
        <v>1.192043037037037</v>
      </c>
      <c r="AC8" s="10">
        <f t="shared" si="2"/>
        <v>1.0979106086956523</v>
      </c>
      <c r="AD8" s="10">
        <f t="shared" si="2"/>
        <v>1.0705041612903226</v>
      </c>
      <c r="AE8" s="10">
        <f t="shared" si="2"/>
        <v>1.0740620909090908</v>
      </c>
      <c r="AF8" s="10">
        <f t="shared" si="4"/>
        <v>0.999967625880952</v>
      </c>
      <c r="AG8" s="10">
        <f t="shared" si="3"/>
        <v>0.99999053547172545</v>
      </c>
      <c r="AH8" s="10">
        <f t="shared" si="3"/>
        <v>1.0000028024257315</v>
      </c>
      <c r="AI8" s="10">
        <f t="shared" si="3"/>
        <v>1.0000067430674073</v>
      </c>
    </row>
    <row r="9" spans="1:35" ht="54" customHeight="1">
      <c r="B9" s="156"/>
      <c r="C9" s="157"/>
      <c r="D9" s="157"/>
      <c r="E9" s="157"/>
      <c r="F9" s="157"/>
      <c r="G9" s="157"/>
      <c r="H9" s="157"/>
      <c r="I9" s="157"/>
      <c r="J9" s="157"/>
      <c r="K9" s="157"/>
      <c r="L9" s="157"/>
      <c r="O9" s="156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</row>
    <row r="10" spans="1:35" ht="54" customHeight="1">
      <c r="B10" s="158" t="s">
        <v>102</v>
      </c>
      <c r="C10" s="159" t="s">
        <v>86</v>
      </c>
      <c r="D10" s="159"/>
      <c r="E10" s="135" t="s">
        <v>99</v>
      </c>
      <c r="F10" s="136"/>
      <c r="G10" s="137" t="s">
        <v>100</v>
      </c>
      <c r="H10" s="138"/>
      <c r="I10" s="140" t="s">
        <v>87</v>
      </c>
      <c r="J10" s="140"/>
      <c r="K10" s="140" t="s">
        <v>89</v>
      </c>
      <c r="L10" s="140"/>
      <c r="O10" s="158" t="s">
        <v>102</v>
      </c>
      <c r="P10" s="159" t="s">
        <v>86</v>
      </c>
      <c r="Q10" s="159"/>
      <c r="R10" s="159"/>
      <c r="S10" s="159"/>
      <c r="T10" s="160" t="s">
        <v>99</v>
      </c>
      <c r="U10" s="160"/>
      <c r="V10" s="160"/>
      <c r="W10" s="160"/>
      <c r="X10" s="161" t="s">
        <v>100</v>
      </c>
      <c r="Y10" s="161"/>
      <c r="Z10" s="161"/>
      <c r="AA10" s="161"/>
      <c r="AB10" s="140" t="s">
        <v>87</v>
      </c>
      <c r="AC10" s="140"/>
      <c r="AD10" s="140"/>
      <c r="AE10" s="140"/>
      <c r="AF10" s="140" t="s">
        <v>89</v>
      </c>
      <c r="AG10" s="140"/>
      <c r="AH10" s="140"/>
      <c r="AI10" s="140"/>
    </row>
    <row r="11" spans="1:35" ht="54" customHeight="1">
      <c r="B11" s="158"/>
      <c r="C11" s="159"/>
      <c r="D11" s="159"/>
      <c r="E11" s="142"/>
      <c r="F11" s="143"/>
      <c r="G11" s="144"/>
      <c r="H11" s="145"/>
      <c r="I11" s="140"/>
      <c r="J11" s="140"/>
      <c r="K11" s="140"/>
      <c r="L11" s="140"/>
      <c r="O11" s="158"/>
      <c r="P11" s="159"/>
      <c r="Q11" s="159"/>
      <c r="R11" s="159"/>
      <c r="S11" s="159"/>
      <c r="T11" s="160"/>
      <c r="U11" s="160"/>
      <c r="V11" s="160"/>
      <c r="W11" s="160"/>
      <c r="X11" s="161"/>
      <c r="Y11" s="161"/>
      <c r="Z11" s="161"/>
      <c r="AA11" s="161"/>
      <c r="AB11" s="140"/>
      <c r="AC11" s="140"/>
      <c r="AD11" s="140"/>
      <c r="AE11" s="140"/>
      <c r="AF11" s="140"/>
      <c r="AG11" s="140"/>
      <c r="AH11" s="140"/>
      <c r="AI11" s="140"/>
    </row>
    <row r="12" spans="1:35" ht="54" customHeight="1">
      <c r="B12" s="158"/>
      <c r="C12" s="147" t="s">
        <v>91</v>
      </c>
      <c r="D12" s="147" t="s">
        <v>88</v>
      </c>
      <c r="E12" s="148" t="s">
        <v>92</v>
      </c>
      <c r="F12" s="148" t="s">
        <v>93</v>
      </c>
      <c r="G12" s="149" t="s">
        <v>91</v>
      </c>
      <c r="H12" s="149" t="s">
        <v>88</v>
      </c>
      <c r="I12" s="150" t="s">
        <v>91</v>
      </c>
      <c r="J12" s="150" t="s">
        <v>88</v>
      </c>
      <c r="K12" s="150" t="s">
        <v>91</v>
      </c>
      <c r="L12" s="150" t="s">
        <v>88</v>
      </c>
      <c r="O12" s="158"/>
      <c r="P12" s="147" t="s">
        <v>88</v>
      </c>
      <c r="Q12" s="147" t="s">
        <v>94</v>
      </c>
      <c r="R12" s="147" t="s">
        <v>95</v>
      </c>
      <c r="S12" s="147" t="s">
        <v>96</v>
      </c>
      <c r="T12" s="148" t="s">
        <v>88</v>
      </c>
      <c r="U12" s="148" t="s">
        <v>94</v>
      </c>
      <c r="V12" s="148" t="s">
        <v>97</v>
      </c>
      <c r="W12" s="148" t="s">
        <v>98</v>
      </c>
      <c r="X12" s="149" t="s">
        <v>88</v>
      </c>
      <c r="Y12" s="149" t="s">
        <v>94</v>
      </c>
      <c r="Z12" s="149" t="s">
        <v>97</v>
      </c>
      <c r="AA12" s="149" t="s">
        <v>98</v>
      </c>
      <c r="AB12" s="150" t="s">
        <v>88</v>
      </c>
      <c r="AC12" s="149" t="s">
        <v>94</v>
      </c>
      <c r="AD12" s="150" t="s">
        <v>97</v>
      </c>
      <c r="AE12" s="150" t="s">
        <v>98</v>
      </c>
      <c r="AF12" s="150" t="s">
        <v>88</v>
      </c>
      <c r="AG12" s="149" t="s">
        <v>94</v>
      </c>
      <c r="AH12" s="150" t="s">
        <v>97</v>
      </c>
      <c r="AI12" s="150" t="s">
        <v>98</v>
      </c>
    </row>
    <row r="13" spans="1:35" ht="54" customHeight="1">
      <c r="B13" s="9" t="s">
        <v>10</v>
      </c>
      <c r="C13" s="151">
        <v>5100</v>
      </c>
      <c r="D13" s="162">
        <v>8500</v>
      </c>
      <c r="E13" s="152">
        <v>5119.92</v>
      </c>
      <c r="F13" s="152">
        <v>8533.26</v>
      </c>
      <c r="G13" s="163">
        <v>5119.96</v>
      </c>
      <c r="H13" s="163">
        <v>8533.2099999999991</v>
      </c>
      <c r="I13" s="10">
        <f t="shared" ref="I13:J16" si="5">G13/C13</f>
        <v>1.0039137254901962</v>
      </c>
      <c r="J13" s="10">
        <f t="shared" si="5"/>
        <v>1.0039070588235293</v>
      </c>
      <c r="K13" s="10">
        <f t="shared" ref="K13:L16" si="6">G13/E13</f>
        <v>1.0000078126220722</v>
      </c>
      <c r="L13" s="10">
        <f t="shared" si="6"/>
        <v>0.99999414057464542</v>
      </c>
      <c r="O13" s="9" t="s">
        <v>10</v>
      </c>
      <c r="P13" s="151">
        <v>12000</v>
      </c>
      <c r="Q13" s="151">
        <v>13000</v>
      </c>
      <c r="R13" s="151">
        <v>13000</v>
      </c>
      <c r="S13" s="151">
        <v>13000</v>
      </c>
      <c r="T13" s="152">
        <v>12080.76</v>
      </c>
      <c r="U13" s="152">
        <v>13507.39</v>
      </c>
      <c r="V13" s="152">
        <v>7149.32</v>
      </c>
      <c r="W13" s="152">
        <v>7148.86</v>
      </c>
      <c r="X13" s="152">
        <v>13355.51</v>
      </c>
      <c r="Y13" s="153">
        <v>13506.68</v>
      </c>
      <c r="Z13" s="153">
        <v>13349.57</v>
      </c>
      <c r="AA13" s="153">
        <v>13341.81</v>
      </c>
      <c r="AB13" s="10">
        <f>X13/P13</f>
        <v>1.1129591666666667</v>
      </c>
      <c r="AC13" s="10">
        <f t="shared" ref="AC13:AE16" si="7">Y13/Q13</f>
        <v>1.0389753846153846</v>
      </c>
      <c r="AD13" s="10">
        <f t="shared" si="7"/>
        <v>1.0268900000000001</v>
      </c>
      <c r="AE13" s="10">
        <f t="shared" si="7"/>
        <v>1.0262930769230769</v>
      </c>
      <c r="AF13" s="10">
        <f>X13/T13</f>
        <v>1.1055190236375858</v>
      </c>
      <c r="AG13" s="10">
        <f t="shared" ref="AG13:AI16" si="8">Y13/U13</f>
        <v>0.99994743618123128</v>
      </c>
      <c r="AH13" s="10">
        <f t="shared" si="8"/>
        <v>1.8672503119177768</v>
      </c>
      <c r="AI13" s="10">
        <f t="shared" si="8"/>
        <v>1.8662849741077598</v>
      </c>
    </row>
    <row r="14" spans="1:35" ht="54" customHeight="1">
      <c r="B14" s="9" t="s">
        <v>11</v>
      </c>
      <c r="C14" s="151">
        <v>1600</v>
      </c>
      <c r="D14" s="162">
        <v>3000</v>
      </c>
      <c r="E14" s="152">
        <v>1623.47</v>
      </c>
      <c r="F14" s="152">
        <v>3011.74</v>
      </c>
      <c r="G14" s="163">
        <v>1623.65</v>
      </c>
      <c r="H14" s="163">
        <v>3011.72</v>
      </c>
      <c r="I14" s="10">
        <f t="shared" si="5"/>
        <v>1.01478125</v>
      </c>
      <c r="J14" s="10">
        <f t="shared" si="5"/>
        <v>1.0039066666666665</v>
      </c>
      <c r="K14" s="10">
        <f t="shared" si="6"/>
        <v>1.0001108736225492</v>
      </c>
      <c r="L14" s="10">
        <f t="shared" si="6"/>
        <v>0.99999335932052569</v>
      </c>
      <c r="O14" s="9" t="s">
        <v>11</v>
      </c>
      <c r="P14" s="151">
        <v>3300</v>
      </c>
      <c r="Q14" s="151">
        <v>5350</v>
      </c>
      <c r="R14" s="151">
        <v>6300</v>
      </c>
      <c r="S14" s="151">
        <v>6300</v>
      </c>
      <c r="T14" s="152">
        <v>3316.3</v>
      </c>
      <c r="U14" s="152">
        <v>5383.1</v>
      </c>
      <c r="V14" s="164">
        <v>6351.53</v>
      </c>
      <c r="W14" s="153">
        <v>6351.06</v>
      </c>
      <c r="X14" s="152">
        <v>6351.8</v>
      </c>
      <c r="Y14" s="153">
        <v>5383.1</v>
      </c>
      <c r="Z14" s="153">
        <v>6351.82</v>
      </c>
      <c r="AA14" s="153">
        <v>6351.85</v>
      </c>
      <c r="AB14" s="10">
        <f>X14/P14</f>
        <v>1.9247878787878789</v>
      </c>
      <c r="AC14" s="10">
        <f t="shared" si="7"/>
        <v>1.0061869158878505</v>
      </c>
      <c r="AD14" s="10">
        <f t="shared" si="7"/>
        <v>1.0082253968253967</v>
      </c>
      <c r="AE14" s="10">
        <f t="shared" si="7"/>
        <v>1.0082301587301588</v>
      </c>
      <c r="AF14" s="10">
        <f t="shared" ref="AF14:AF16" si="9">X14/T14</f>
        <v>1.915327322618581</v>
      </c>
      <c r="AG14" s="10">
        <f t="shared" si="8"/>
        <v>1</v>
      </c>
      <c r="AH14" s="10">
        <f t="shared" si="8"/>
        <v>1.0000456582902073</v>
      </c>
      <c r="AI14" s="10">
        <f t="shared" si="8"/>
        <v>1.0001243886847235</v>
      </c>
    </row>
    <row r="15" spans="1:35" ht="54" customHeight="1">
      <c r="B15" s="9" t="s">
        <v>12</v>
      </c>
      <c r="C15" s="151">
        <v>700000</v>
      </c>
      <c r="D15" s="162">
        <v>1250000</v>
      </c>
      <c r="E15" s="152">
        <v>735285.15</v>
      </c>
      <c r="F15" s="152">
        <v>1282039.1399999999</v>
      </c>
      <c r="G15" s="163">
        <v>735289.12</v>
      </c>
      <c r="H15" s="163">
        <v>1282033.31</v>
      </c>
      <c r="I15" s="10">
        <f t="shared" si="5"/>
        <v>1.0504130285714286</v>
      </c>
      <c r="J15" s="10">
        <f t="shared" si="5"/>
        <v>1.025626648</v>
      </c>
      <c r="K15" s="10">
        <f t="shared" si="6"/>
        <v>1.0000053992658493</v>
      </c>
      <c r="L15" s="10">
        <f t="shared" si="6"/>
        <v>0.99999545255693223</v>
      </c>
      <c r="O15" s="9" t="s">
        <v>12</v>
      </c>
      <c r="P15" s="151">
        <v>1700000</v>
      </c>
      <c r="Q15" s="151">
        <v>2100000</v>
      </c>
      <c r="R15" s="151">
        <v>2000000</v>
      </c>
      <c r="S15" s="162">
        <v>2000000</v>
      </c>
      <c r="T15" s="152">
        <v>1742885.36</v>
      </c>
      <c r="U15" s="152">
        <v>2120274.21</v>
      </c>
      <c r="V15" s="152">
        <v>1704560.69</v>
      </c>
      <c r="W15" s="152">
        <v>1704540.45</v>
      </c>
      <c r="X15" s="152">
        <v>2076025.63</v>
      </c>
      <c r="Y15" s="153">
        <v>2118474.23</v>
      </c>
      <c r="Z15" s="153">
        <v>2077050.56</v>
      </c>
      <c r="AA15" s="153">
        <v>2075305.99</v>
      </c>
      <c r="AB15" s="10">
        <f>X15/P15</f>
        <v>1.2211915470588235</v>
      </c>
      <c r="AC15" s="10">
        <f t="shared" si="7"/>
        <v>1.0087972523809523</v>
      </c>
      <c r="AD15" s="10">
        <f t="shared" si="7"/>
        <v>1.03852528</v>
      </c>
      <c r="AE15" s="10">
        <f t="shared" si="7"/>
        <v>1.037652995</v>
      </c>
      <c r="AF15" s="10">
        <f t="shared" si="9"/>
        <v>1.1911429619214884</v>
      </c>
      <c r="AG15" s="10">
        <f t="shared" si="8"/>
        <v>0.99915106263543152</v>
      </c>
      <c r="AH15" s="10">
        <f t="shared" si="8"/>
        <v>1.2185254371905057</v>
      </c>
      <c r="AI15" s="10">
        <f t="shared" si="8"/>
        <v>1.217516422094882</v>
      </c>
    </row>
    <row r="16" spans="1:35" ht="54" customHeight="1">
      <c r="B16" s="9" t="s">
        <v>13</v>
      </c>
      <c r="C16" s="155">
        <v>60000</v>
      </c>
      <c r="D16" s="165">
        <v>115000</v>
      </c>
      <c r="E16" s="152">
        <v>64877.45</v>
      </c>
      <c r="F16" s="152">
        <v>119806.58</v>
      </c>
      <c r="G16" s="163">
        <v>64877.75</v>
      </c>
      <c r="H16" s="163">
        <v>119805.89</v>
      </c>
      <c r="I16" s="10">
        <f t="shared" si="5"/>
        <v>1.0812958333333333</v>
      </c>
      <c r="J16" s="10">
        <f t="shared" si="5"/>
        <v>1.041790347826087</v>
      </c>
      <c r="K16" s="10">
        <f t="shared" si="6"/>
        <v>1.0000046241028278</v>
      </c>
      <c r="L16" s="10">
        <f t="shared" si="6"/>
        <v>0.99999424071699561</v>
      </c>
      <c r="O16" s="9" t="s">
        <v>13</v>
      </c>
      <c r="P16" s="155">
        <v>160000</v>
      </c>
      <c r="Q16" s="155">
        <v>250000</v>
      </c>
      <c r="R16" s="155">
        <v>320000</v>
      </c>
      <c r="S16" s="165">
        <v>350000</v>
      </c>
      <c r="T16" s="152">
        <v>160927.91</v>
      </c>
      <c r="U16" s="152">
        <v>252521.84</v>
      </c>
      <c r="V16" s="152">
        <v>331856.03000000003</v>
      </c>
      <c r="W16" s="152">
        <v>354439.63</v>
      </c>
      <c r="X16" s="152">
        <v>331855.82</v>
      </c>
      <c r="Y16" s="153">
        <v>252518.82</v>
      </c>
      <c r="Z16" s="153">
        <v>331856.18</v>
      </c>
      <c r="AA16" s="153">
        <v>354436.06</v>
      </c>
      <c r="AB16" s="10">
        <f>X16/P16</f>
        <v>2.0740988750000002</v>
      </c>
      <c r="AC16" s="10">
        <f t="shared" si="7"/>
        <v>1.0100752800000001</v>
      </c>
      <c r="AD16" s="10">
        <f t="shared" si="7"/>
        <v>1.0370505624999999</v>
      </c>
      <c r="AE16" s="10">
        <f t="shared" si="7"/>
        <v>1.0126744571428572</v>
      </c>
      <c r="AF16" s="10">
        <f t="shared" si="9"/>
        <v>2.0621396251277977</v>
      </c>
      <c r="AG16" s="10">
        <f t="shared" si="8"/>
        <v>0.99998804063838598</v>
      </c>
      <c r="AH16" s="10">
        <f t="shared" si="8"/>
        <v>1.0000004520032375</v>
      </c>
      <c r="AI16" s="10">
        <f t="shared" si="8"/>
        <v>0.99998992776287454</v>
      </c>
    </row>
    <row r="17" ht="54" customHeight="1"/>
    <row r="18" ht="17.100000000000001" customHeight="1"/>
    <row r="19" ht="17.399999999999999"/>
    <row r="20" ht="17.399999999999999"/>
    <row r="21" ht="17.399999999999999"/>
    <row r="22" ht="17.399999999999999"/>
    <row r="23" ht="17.399999999999999"/>
    <row r="24" ht="17.399999999999999"/>
    <row r="25" ht="17.399999999999999"/>
    <row r="26" ht="17.100000000000001" customHeight="1"/>
    <row r="27" ht="17.399999999999999"/>
    <row r="28" ht="17.399999999999999"/>
    <row r="29" ht="17.399999999999999"/>
    <row r="30" ht="17.399999999999999"/>
    <row r="31" ht="17.399999999999999"/>
    <row r="32" ht="17.399999999999999"/>
  </sheetData>
  <mergeCells count="24">
    <mergeCell ref="T2:W3"/>
    <mergeCell ref="X2:AA3"/>
    <mergeCell ref="AB2:AE3"/>
    <mergeCell ref="AF2:AI3"/>
    <mergeCell ref="C10:D11"/>
    <mergeCell ref="E10:F11"/>
    <mergeCell ref="G10:H11"/>
    <mergeCell ref="I10:J11"/>
    <mergeCell ref="K10:L11"/>
    <mergeCell ref="O10:O12"/>
    <mergeCell ref="P10:S11"/>
    <mergeCell ref="T10:W11"/>
    <mergeCell ref="X10:AA11"/>
    <mergeCell ref="AB10:AE11"/>
    <mergeCell ref="AF10:AI11"/>
    <mergeCell ref="C2:D3"/>
    <mergeCell ref="E2:F3"/>
    <mergeCell ref="G2:H3"/>
    <mergeCell ref="I2:J3"/>
    <mergeCell ref="K2:L3"/>
    <mergeCell ref="O2:O4"/>
    <mergeCell ref="P2:S3"/>
    <mergeCell ref="B10:B12"/>
    <mergeCell ref="B2:B4"/>
  </mergeCells>
  <phoneticPr fontId="1" type="noConversion"/>
  <conditionalFormatting sqref="J5:J8">
    <cfRule type="cellIs" dxfId="29" priority="28" operator="greaterThan">
      <formula>1</formula>
    </cfRule>
    <cfRule type="cellIs" dxfId="28" priority="29" operator="lessThan">
      <formula>1</formula>
    </cfRule>
    <cfRule type="cellIs" dxfId="27" priority="30" operator="greaterThan">
      <formula>1.05</formula>
    </cfRule>
  </conditionalFormatting>
  <conditionalFormatting sqref="I5:I8">
    <cfRule type="cellIs" dxfId="26" priority="25" operator="greaterThan">
      <formula>1</formula>
    </cfRule>
    <cfRule type="cellIs" dxfId="25" priority="26" operator="lessThan">
      <formula>1</formula>
    </cfRule>
    <cfRule type="cellIs" dxfId="24" priority="27" operator="greaterThan">
      <formula>1.05</formula>
    </cfRule>
  </conditionalFormatting>
  <conditionalFormatting sqref="L5:L8">
    <cfRule type="cellIs" dxfId="23" priority="22" operator="greaterThan">
      <formula>1</formula>
    </cfRule>
    <cfRule type="cellIs" dxfId="22" priority="23" operator="lessThan">
      <formula>0.95</formula>
    </cfRule>
    <cfRule type="cellIs" dxfId="21" priority="24" operator="greaterThan">
      <formula>1.05</formula>
    </cfRule>
  </conditionalFormatting>
  <conditionalFormatting sqref="K5:K8">
    <cfRule type="cellIs" dxfId="20" priority="19" operator="greaterThan">
      <formula>1</formula>
    </cfRule>
    <cfRule type="cellIs" dxfId="19" priority="20" operator="lessThan">
      <formula>0.95</formula>
    </cfRule>
    <cfRule type="cellIs" dxfId="18" priority="21" operator="greaterThan">
      <formula>1.05</formula>
    </cfRule>
  </conditionalFormatting>
  <conditionalFormatting sqref="J13:J16">
    <cfRule type="cellIs" dxfId="17" priority="16" operator="greaterThan">
      <formula>1</formula>
    </cfRule>
    <cfRule type="cellIs" dxfId="16" priority="17" operator="lessThan">
      <formula>1</formula>
    </cfRule>
    <cfRule type="cellIs" dxfId="15" priority="18" operator="greaterThan">
      <formula>1.05</formula>
    </cfRule>
  </conditionalFormatting>
  <conditionalFormatting sqref="I13:I16">
    <cfRule type="cellIs" dxfId="14" priority="13" operator="greaterThan">
      <formula>1</formula>
    </cfRule>
    <cfRule type="cellIs" dxfId="13" priority="14" operator="lessThan">
      <formula>1</formula>
    </cfRule>
    <cfRule type="cellIs" dxfId="12" priority="15" operator="greaterThan">
      <formula>1.05</formula>
    </cfRule>
  </conditionalFormatting>
  <conditionalFormatting sqref="L13:L16">
    <cfRule type="cellIs" dxfId="11" priority="10" operator="greaterThan">
      <formula>1</formula>
    </cfRule>
    <cfRule type="cellIs" dxfId="10" priority="11" operator="lessThan">
      <formula>0.95</formula>
    </cfRule>
    <cfRule type="cellIs" dxfId="9" priority="12" operator="greaterThan">
      <formula>1.05</formula>
    </cfRule>
  </conditionalFormatting>
  <conditionalFormatting sqref="K13:K16">
    <cfRule type="cellIs" dxfId="8" priority="7" operator="greaterThan">
      <formula>1</formula>
    </cfRule>
    <cfRule type="cellIs" dxfId="7" priority="8" operator="lessThan">
      <formula>0.95</formula>
    </cfRule>
    <cfRule type="cellIs" dxfId="6" priority="9" operator="greaterThan">
      <formula>1.05</formula>
    </cfRule>
  </conditionalFormatting>
  <conditionalFormatting sqref="AB5:AI8">
    <cfRule type="cellIs" dxfId="5" priority="4" operator="greaterThan">
      <formula>1</formula>
    </cfRule>
    <cfRule type="cellIs" dxfId="4" priority="5" operator="lessThan">
      <formula>0.98</formula>
    </cfRule>
    <cfRule type="cellIs" dxfId="3" priority="6" operator="greaterThan">
      <formula>1.05</formula>
    </cfRule>
  </conditionalFormatting>
  <conditionalFormatting sqref="AB13:AI16">
    <cfRule type="cellIs" dxfId="2" priority="1" operator="greaterThan">
      <formula>1</formula>
    </cfRule>
    <cfRule type="cellIs" dxfId="1" priority="2" operator="lessThan">
      <formula>0.98</formula>
    </cfRule>
    <cfRule type="cellIs" dxfId="0" priority="3" operator="greaterThan">
      <formula>1.05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N54"/>
  <sheetViews>
    <sheetView showGridLines="0" zoomScale="70" zoomScaleNormal="70" workbookViewId="0">
      <selection activeCell="C123" sqref="C123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9.69921875" style="11" customWidth="1"/>
    <col min="5" max="20" width="6.59765625" style="11" customWidth="1"/>
    <col min="21" max="21" width="3.09765625" style="11" customWidth="1"/>
    <col min="22" max="22" width="13.09765625" style="11" customWidth="1"/>
    <col min="23" max="23" width="11" style="11" bestFit="1" customWidth="1"/>
    <col min="24" max="24" width="8.09765625" style="11" customWidth="1"/>
    <col min="25" max="40" width="7.5" style="11" customWidth="1"/>
    <col min="41" max="16384" width="9" style="11"/>
  </cols>
  <sheetData>
    <row r="1" spans="2:40" ht="15" customHeight="1" thickBot="1"/>
    <row r="2" spans="2:40" ht="15" customHeight="1">
      <c r="B2" s="99" t="s">
        <v>25</v>
      </c>
      <c r="C2" s="100"/>
      <c r="D2" s="101"/>
      <c r="E2" s="83" t="s">
        <v>14</v>
      </c>
      <c r="F2" s="84"/>
      <c r="G2" s="84"/>
      <c r="H2" s="84"/>
      <c r="I2" s="84"/>
      <c r="J2" s="84"/>
      <c r="K2" s="84"/>
      <c r="L2" s="85"/>
      <c r="M2" s="83" t="s">
        <v>24</v>
      </c>
      <c r="N2" s="84"/>
      <c r="O2" s="84"/>
      <c r="P2" s="84"/>
      <c r="Q2" s="84"/>
      <c r="R2" s="84"/>
      <c r="S2" s="84"/>
      <c r="T2" s="85"/>
      <c r="V2" s="105" t="str">
        <f>CONCATENATE(B2, " vs", CHAR(10), B29)</f>
        <v>PM983a_EDW70M5Q_20200429 vs
PM9A3_GEA70F20_20201203</v>
      </c>
      <c r="W2" s="106"/>
      <c r="X2" s="106"/>
      <c r="Y2" s="83" t="s">
        <v>14</v>
      </c>
      <c r="Z2" s="84"/>
      <c r="AA2" s="84"/>
      <c r="AB2" s="84"/>
      <c r="AC2" s="84"/>
      <c r="AD2" s="84"/>
      <c r="AE2" s="84"/>
      <c r="AF2" s="85"/>
      <c r="AG2" s="83" t="s">
        <v>24</v>
      </c>
      <c r="AH2" s="84"/>
      <c r="AI2" s="84"/>
      <c r="AJ2" s="84"/>
      <c r="AK2" s="84"/>
      <c r="AL2" s="84"/>
      <c r="AM2" s="84"/>
      <c r="AN2" s="85"/>
    </row>
    <row r="3" spans="2:40" ht="20.25" customHeight="1" thickBot="1">
      <c r="B3" s="102"/>
      <c r="C3" s="103"/>
      <c r="D3" s="104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3" t="s">
        <v>17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18</v>
      </c>
      <c r="S3" s="2" t="s">
        <v>16</v>
      </c>
      <c r="T3" s="3" t="s">
        <v>17</v>
      </c>
      <c r="V3" s="107"/>
      <c r="W3" s="108"/>
      <c r="X3" s="108"/>
      <c r="Y3" s="1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18</v>
      </c>
      <c r="AE3" s="2" t="s">
        <v>16</v>
      </c>
      <c r="AF3" s="3" t="s">
        <v>17</v>
      </c>
      <c r="AG3" s="1" t="s">
        <v>0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18</v>
      </c>
      <c r="AM3" s="2" t="s">
        <v>16</v>
      </c>
      <c r="AN3" s="3" t="s">
        <v>17</v>
      </c>
    </row>
    <row r="4" spans="2:40" ht="15" customHeight="1">
      <c r="B4" s="86" t="s">
        <v>5</v>
      </c>
      <c r="C4" s="89" t="s">
        <v>6</v>
      </c>
      <c r="D4" s="4">
        <v>0.25</v>
      </c>
      <c r="E4" s="24">
        <v>548</v>
      </c>
      <c r="F4" s="25">
        <v>596</v>
      </c>
      <c r="G4" s="25">
        <v>676</v>
      </c>
      <c r="H4" s="25">
        <v>772</v>
      </c>
      <c r="I4" s="25">
        <v>852</v>
      </c>
      <c r="J4" s="25">
        <v>1032</v>
      </c>
      <c r="K4" s="25">
        <v>1432</v>
      </c>
      <c r="L4" s="26">
        <v>4320</v>
      </c>
      <c r="M4" s="24">
        <v>564</v>
      </c>
      <c r="N4" s="25">
        <v>628</v>
      </c>
      <c r="O4" s="25">
        <v>604</v>
      </c>
      <c r="P4" s="25">
        <v>612</v>
      </c>
      <c r="Q4" s="25">
        <v>684</v>
      </c>
      <c r="R4" s="25">
        <v>820</v>
      </c>
      <c r="S4" s="25">
        <v>1144</v>
      </c>
      <c r="T4" s="26">
        <v>3664</v>
      </c>
      <c r="V4" s="92" t="s">
        <v>5</v>
      </c>
      <c r="W4" s="95" t="s">
        <v>6</v>
      </c>
      <c r="X4" s="7">
        <v>0.25</v>
      </c>
      <c r="Y4" s="15">
        <f t="shared" ref="Y4" si="0">E31/E4</f>
        <v>0.48540145985401462</v>
      </c>
      <c r="Z4" s="16">
        <f t="shared" ref="Z4:AN4" si="1">F31/F4</f>
        <v>0.52684563758389258</v>
      </c>
      <c r="AA4" s="16">
        <f t="shared" si="1"/>
        <v>0.5650887573964497</v>
      </c>
      <c r="AB4" s="16">
        <f t="shared" si="1"/>
        <v>0.55181347150259064</v>
      </c>
      <c r="AC4" s="16">
        <f t="shared" si="1"/>
        <v>0.54694835680751175</v>
      </c>
      <c r="AD4" s="16">
        <f t="shared" si="1"/>
        <v>0.50775193798449614</v>
      </c>
      <c r="AE4" s="16">
        <f t="shared" si="1"/>
        <v>0.3994413407821229</v>
      </c>
      <c r="AF4" s="17">
        <f t="shared" si="1"/>
        <v>0.10231481481481482</v>
      </c>
      <c r="AG4" s="15">
        <f t="shared" si="1"/>
        <v>0.58510638297872342</v>
      </c>
      <c r="AH4" s="16">
        <f t="shared" si="1"/>
        <v>0.63375796178343946</v>
      </c>
      <c r="AI4" s="16">
        <f t="shared" si="1"/>
        <v>0.81788079470198671</v>
      </c>
      <c r="AJ4" s="16">
        <f t="shared" si="1"/>
        <v>0.92156862745098034</v>
      </c>
      <c r="AK4" s="16">
        <f t="shared" si="1"/>
        <v>0.89473684210526316</v>
      </c>
      <c r="AL4" s="16">
        <f t="shared" si="1"/>
        <v>0.80487804878048785</v>
      </c>
      <c r="AM4" s="16">
        <f t="shared" si="1"/>
        <v>0.59090909090909094</v>
      </c>
      <c r="AN4" s="17">
        <f t="shared" si="1"/>
        <v>0.17139737991266377</v>
      </c>
    </row>
    <row r="5" spans="2:40" ht="15" customHeight="1">
      <c r="B5" s="87"/>
      <c r="C5" s="90"/>
      <c r="D5" s="5">
        <v>0.5</v>
      </c>
      <c r="E5" s="27">
        <v>430</v>
      </c>
      <c r="F5" s="28">
        <v>506</v>
      </c>
      <c r="G5" s="28">
        <v>580</v>
      </c>
      <c r="H5" s="28">
        <v>636</v>
      </c>
      <c r="I5" s="28">
        <v>764</v>
      </c>
      <c r="J5" s="28">
        <v>932</v>
      </c>
      <c r="K5" s="28">
        <v>1400</v>
      </c>
      <c r="L5" s="29">
        <v>3760</v>
      </c>
      <c r="M5" s="27">
        <v>314</v>
      </c>
      <c r="N5" s="28">
        <v>494</v>
      </c>
      <c r="O5" s="28">
        <v>572</v>
      </c>
      <c r="P5" s="28">
        <v>580</v>
      </c>
      <c r="Q5" s="28">
        <v>612</v>
      </c>
      <c r="R5" s="28">
        <v>724</v>
      </c>
      <c r="S5" s="28">
        <v>1080</v>
      </c>
      <c r="T5" s="29">
        <v>3088</v>
      </c>
      <c r="V5" s="93"/>
      <c r="W5" s="96"/>
      <c r="X5" s="5">
        <v>0.5</v>
      </c>
      <c r="Y5" s="18">
        <f t="shared" ref="Y5:Y27" si="2">E32/E5</f>
        <v>0.49534883720930234</v>
      </c>
      <c r="Z5" s="12">
        <f t="shared" ref="Z5:Z27" si="3">F32/F5</f>
        <v>0.50988142292490124</v>
      </c>
      <c r="AA5" s="12">
        <f t="shared" ref="AA5:AA27" si="4">G32/G5</f>
        <v>0.53448275862068961</v>
      </c>
      <c r="AB5" s="12">
        <f t="shared" ref="AB5:AB27" si="5">H32/H5</f>
        <v>0.59433962264150941</v>
      </c>
      <c r="AC5" s="12">
        <f t="shared" ref="AC5:AC27" si="6">I32/I5</f>
        <v>0.61518324607329844</v>
      </c>
      <c r="AD5" s="12">
        <f t="shared" ref="AD5:AD27" si="7">J32/J5</f>
        <v>0.68240343347639487</v>
      </c>
      <c r="AE5" s="12">
        <f t="shared" ref="AE5:AE27" si="8">K32/K5</f>
        <v>0.68285714285714283</v>
      </c>
      <c r="AF5" s="19">
        <f t="shared" ref="AF5:AF27" si="9">L32/L5</f>
        <v>0.7191489361702128</v>
      </c>
      <c r="AG5" s="18">
        <f t="shared" ref="AG5:AG27" si="10">M32/M5</f>
        <v>0.67197452229299359</v>
      </c>
      <c r="AH5" s="12">
        <f t="shared" ref="AH5:AH27" si="11">N32/N5</f>
        <v>0.61133603238866396</v>
      </c>
      <c r="AI5" s="12">
        <f t="shared" ref="AI5:AI27" si="12">O32/O5</f>
        <v>0.6398601398601399</v>
      </c>
      <c r="AJ5" s="12">
        <f t="shared" ref="AJ5:AJ27" si="13">P32/P5</f>
        <v>0.79655172413793107</v>
      </c>
      <c r="AK5" s="12">
        <f t="shared" ref="AK5:AK27" si="14">Q32/Q5</f>
        <v>0.92156862745098034</v>
      </c>
      <c r="AL5" s="12">
        <f t="shared" ref="AL5:AL27" si="15">R32/R5</f>
        <v>1.0994475138121547</v>
      </c>
      <c r="AM5" s="12">
        <f t="shared" ref="AM5:AM27" si="16">S32/S5</f>
        <v>0.98518518518518516</v>
      </c>
      <c r="AN5" s="19">
        <f t="shared" ref="AN5:AN27" si="17">T32/T5</f>
        <v>0.26295336787564766</v>
      </c>
    </row>
    <row r="6" spans="2:40" ht="15" customHeight="1">
      <c r="B6" s="87"/>
      <c r="C6" s="90"/>
      <c r="D6" s="5">
        <v>0.75</v>
      </c>
      <c r="E6" s="27">
        <v>290</v>
      </c>
      <c r="F6" s="28">
        <v>374</v>
      </c>
      <c r="G6" s="28">
        <v>442</v>
      </c>
      <c r="H6" s="28">
        <v>516</v>
      </c>
      <c r="I6" s="28">
        <v>588</v>
      </c>
      <c r="J6" s="28">
        <v>772</v>
      </c>
      <c r="K6" s="28">
        <v>1032</v>
      </c>
      <c r="L6" s="29">
        <v>2768</v>
      </c>
      <c r="M6" s="27">
        <v>189</v>
      </c>
      <c r="N6" s="28">
        <v>282</v>
      </c>
      <c r="O6" s="28">
        <v>426</v>
      </c>
      <c r="P6" s="28">
        <v>524</v>
      </c>
      <c r="Q6" s="28">
        <v>572</v>
      </c>
      <c r="R6" s="28">
        <v>596</v>
      </c>
      <c r="S6" s="28">
        <v>788</v>
      </c>
      <c r="T6" s="29">
        <v>2224</v>
      </c>
      <c r="V6" s="93"/>
      <c r="W6" s="96"/>
      <c r="X6" s="5">
        <v>0.75</v>
      </c>
      <c r="Y6" s="18">
        <f t="shared" si="2"/>
        <v>0.42758620689655175</v>
      </c>
      <c r="Z6" s="12">
        <f t="shared" si="3"/>
        <v>0.5267379679144385</v>
      </c>
      <c r="AA6" s="12">
        <f t="shared" si="4"/>
        <v>0.58371040723981904</v>
      </c>
      <c r="AB6" s="12">
        <f t="shared" si="5"/>
        <v>0.60852713178294571</v>
      </c>
      <c r="AC6" s="12">
        <f t="shared" si="6"/>
        <v>0.6768707482993197</v>
      </c>
      <c r="AD6" s="12">
        <f t="shared" si="7"/>
        <v>0.68911917098445596</v>
      </c>
      <c r="AE6" s="12">
        <f t="shared" si="8"/>
        <v>0.77906976744186052</v>
      </c>
      <c r="AF6" s="19">
        <f t="shared" si="9"/>
        <v>0.8497109826589595</v>
      </c>
      <c r="AG6" s="18">
        <f t="shared" si="10"/>
        <v>0.58730158730158732</v>
      </c>
      <c r="AH6" s="12">
        <f t="shared" si="11"/>
        <v>0.62765957446808507</v>
      </c>
      <c r="AI6" s="12">
        <f t="shared" si="12"/>
        <v>0.63380281690140849</v>
      </c>
      <c r="AJ6" s="12">
        <f t="shared" si="13"/>
        <v>0.66030534351145043</v>
      </c>
      <c r="AK6" s="12">
        <f t="shared" si="14"/>
        <v>0.77972027972027969</v>
      </c>
      <c r="AL6" s="12">
        <f t="shared" si="15"/>
        <v>0.98657718120805371</v>
      </c>
      <c r="AM6" s="12">
        <f t="shared" si="16"/>
        <v>1.0609137055837563</v>
      </c>
      <c r="AN6" s="19">
        <f t="shared" si="17"/>
        <v>0.95683453237410077</v>
      </c>
    </row>
    <row r="7" spans="2:40" ht="15" customHeight="1" thickBot="1">
      <c r="B7" s="87"/>
      <c r="C7" s="91"/>
      <c r="D7" s="6">
        <v>1</v>
      </c>
      <c r="E7" s="30">
        <v>88</v>
      </c>
      <c r="F7" s="31">
        <v>106</v>
      </c>
      <c r="G7" s="31">
        <v>127</v>
      </c>
      <c r="H7" s="31">
        <v>147</v>
      </c>
      <c r="I7" s="31">
        <v>191</v>
      </c>
      <c r="J7" s="31">
        <v>286</v>
      </c>
      <c r="K7" s="31">
        <v>506</v>
      </c>
      <c r="L7" s="32">
        <v>1400</v>
      </c>
      <c r="M7" s="30">
        <v>87</v>
      </c>
      <c r="N7" s="31">
        <v>90</v>
      </c>
      <c r="O7" s="31">
        <v>115</v>
      </c>
      <c r="P7" s="31">
        <v>131</v>
      </c>
      <c r="Q7" s="31">
        <v>155</v>
      </c>
      <c r="R7" s="31">
        <v>203</v>
      </c>
      <c r="S7" s="31">
        <v>310</v>
      </c>
      <c r="T7" s="32">
        <v>708</v>
      </c>
      <c r="V7" s="93"/>
      <c r="W7" s="97"/>
      <c r="X7" s="6">
        <v>1</v>
      </c>
      <c r="Y7" s="20">
        <f t="shared" si="2"/>
        <v>0.78409090909090906</v>
      </c>
      <c r="Z7" s="21">
        <f t="shared" si="3"/>
        <v>0.839622641509434</v>
      </c>
      <c r="AA7" s="21">
        <f t="shared" si="4"/>
        <v>0.83464566929133854</v>
      </c>
      <c r="AB7" s="21">
        <f t="shared" si="5"/>
        <v>0.8231292517006803</v>
      </c>
      <c r="AC7" s="21">
        <f t="shared" si="6"/>
        <v>0.83246073298429324</v>
      </c>
      <c r="AD7" s="21">
        <f t="shared" si="7"/>
        <v>0.84265734265734271</v>
      </c>
      <c r="AE7" s="21">
        <f t="shared" si="8"/>
        <v>0.87351778656126478</v>
      </c>
      <c r="AF7" s="22">
        <f t="shared" si="9"/>
        <v>0.77142857142857146</v>
      </c>
      <c r="AG7" s="20">
        <f t="shared" si="10"/>
        <v>0.7816091954022989</v>
      </c>
      <c r="AH7" s="21">
        <f t="shared" si="11"/>
        <v>0.8</v>
      </c>
      <c r="AI7" s="21">
        <f t="shared" si="12"/>
        <v>0.84347826086956523</v>
      </c>
      <c r="AJ7" s="21">
        <f t="shared" si="13"/>
        <v>0.82442748091603058</v>
      </c>
      <c r="AK7" s="21">
        <f t="shared" si="14"/>
        <v>0.80645161290322576</v>
      </c>
      <c r="AL7" s="21">
        <f t="shared" si="15"/>
        <v>0.81280788177339902</v>
      </c>
      <c r="AM7" s="21">
        <f t="shared" si="16"/>
        <v>0.77741935483870972</v>
      </c>
      <c r="AN7" s="22">
        <f t="shared" si="17"/>
        <v>0.84180790960451979</v>
      </c>
    </row>
    <row r="8" spans="2:40" ht="15" customHeight="1">
      <c r="B8" s="87"/>
      <c r="C8" s="89" t="s">
        <v>7</v>
      </c>
      <c r="D8" s="4">
        <v>0.25</v>
      </c>
      <c r="E8" s="24">
        <v>892</v>
      </c>
      <c r="F8" s="25">
        <v>980</v>
      </c>
      <c r="G8" s="25">
        <v>1288</v>
      </c>
      <c r="H8" s="25">
        <v>1720</v>
      </c>
      <c r="I8" s="25">
        <v>1816</v>
      </c>
      <c r="J8" s="25">
        <v>1960</v>
      </c>
      <c r="K8" s="25">
        <v>2320</v>
      </c>
      <c r="L8" s="26">
        <v>5280</v>
      </c>
      <c r="M8" s="24">
        <v>980</v>
      </c>
      <c r="N8" s="25">
        <v>1020</v>
      </c>
      <c r="O8" s="25">
        <v>1064</v>
      </c>
      <c r="P8" s="25">
        <v>1112</v>
      </c>
      <c r="Q8" s="25">
        <v>1176</v>
      </c>
      <c r="R8" s="25">
        <v>1336</v>
      </c>
      <c r="S8" s="25">
        <v>1656</v>
      </c>
      <c r="T8" s="26">
        <v>4256</v>
      </c>
      <c r="V8" s="93"/>
      <c r="W8" s="98" t="s">
        <v>7</v>
      </c>
      <c r="X8" s="4">
        <v>0.25</v>
      </c>
      <c r="Y8" s="15">
        <f t="shared" si="2"/>
        <v>0.63228699551569512</v>
      </c>
      <c r="Z8" s="16">
        <f t="shared" si="3"/>
        <v>0.8693877551020408</v>
      </c>
      <c r="AA8" s="16">
        <f t="shared" si="4"/>
        <v>0.68633540372670809</v>
      </c>
      <c r="AB8" s="16">
        <f t="shared" si="5"/>
        <v>0.53720930232558139</v>
      </c>
      <c r="AC8" s="16">
        <f t="shared" si="6"/>
        <v>0.52202643171806162</v>
      </c>
      <c r="AD8" s="16">
        <f t="shared" si="7"/>
        <v>0.50408163265306127</v>
      </c>
      <c r="AE8" s="16">
        <f t="shared" si="8"/>
        <v>0.47931034482758622</v>
      </c>
      <c r="AF8" s="17">
        <f t="shared" si="9"/>
        <v>0.18409090909090908</v>
      </c>
      <c r="AG8" s="15">
        <f t="shared" si="10"/>
        <v>0.75510204081632648</v>
      </c>
      <c r="AH8" s="16">
        <f t="shared" si="11"/>
        <v>0.80392156862745101</v>
      </c>
      <c r="AI8" s="16">
        <f t="shared" si="12"/>
        <v>0.83834586466165417</v>
      </c>
      <c r="AJ8" s="16">
        <f t="shared" si="13"/>
        <v>0.85971223021582732</v>
      </c>
      <c r="AK8" s="16">
        <f t="shared" si="14"/>
        <v>0.86054421768707479</v>
      </c>
      <c r="AL8" s="16">
        <f t="shared" si="15"/>
        <v>0.82035928143712578</v>
      </c>
      <c r="AM8" s="16">
        <f t="shared" si="16"/>
        <v>0.72946859903381644</v>
      </c>
      <c r="AN8" s="17">
        <f t="shared" si="17"/>
        <v>0.2424812030075188</v>
      </c>
    </row>
    <row r="9" spans="2:40" ht="15" customHeight="1">
      <c r="B9" s="87"/>
      <c r="C9" s="90"/>
      <c r="D9" s="5">
        <v>0.5</v>
      </c>
      <c r="E9" s="27">
        <v>828</v>
      </c>
      <c r="F9" s="28">
        <v>876</v>
      </c>
      <c r="G9" s="28">
        <v>948</v>
      </c>
      <c r="H9" s="28">
        <v>1144</v>
      </c>
      <c r="I9" s="28">
        <v>1656</v>
      </c>
      <c r="J9" s="28">
        <v>1880</v>
      </c>
      <c r="K9" s="28">
        <v>2256</v>
      </c>
      <c r="L9" s="29">
        <v>4576</v>
      </c>
      <c r="M9" s="27">
        <v>972</v>
      </c>
      <c r="N9" s="28">
        <v>980</v>
      </c>
      <c r="O9" s="28">
        <v>1020</v>
      </c>
      <c r="P9" s="28">
        <v>1080</v>
      </c>
      <c r="Q9" s="28">
        <v>1128</v>
      </c>
      <c r="R9" s="28">
        <v>1240</v>
      </c>
      <c r="S9" s="28">
        <v>1576</v>
      </c>
      <c r="T9" s="29">
        <v>3632</v>
      </c>
      <c r="V9" s="93"/>
      <c r="W9" s="96"/>
      <c r="X9" s="5">
        <v>0.5</v>
      </c>
      <c r="Y9" s="18">
        <f t="shared" si="2"/>
        <v>0.65217391304347827</v>
      </c>
      <c r="Z9" s="12">
        <f t="shared" si="3"/>
        <v>0.63470319634703198</v>
      </c>
      <c r="AA9" s="12">
        <f t="shared" si="4"/>
        <v>0.89029535864978904</v>
      </c>
      <c r="AB9" s="12">
        <f t="shared" si="5"/>
        <v>0.77272727272727271</v>
      </c>
      <c r="AC9" s="12">
        <f t="shared" si="6"/>
        <v>0.56763285024154586</v>
      </c>
      <c r="AD9" s="12">
        <f t="shared" si="7"/>
        <v>0.58297872340425527</v>
      </c>
      <c r="AE9" s="12">
        <f t="shared" si="8"/>
        <v>0.62056737588652477</v>
      </c>
      <c r="AF9" s="19">
        <f t="shared" si="9"/>
        <v>0.87062937062937062</v>
      </c>
      <c r="AG9" s="18">
        <f t="shared" si="10"/>
        <v>0.75308641975308643</v>
      </c>
      <c r="AH9" s="12">
        <f t="shared" si="11"/>
        <v>0.74693877551020404</v>
      </c>
      <c r="AI9" s="12">
        <f t="shared" si="12"/>
        <v>0.7803921568627451</v>
      </c>
      <c r="AJ9" s="12">
        <f t="shared" si="13"/>
        <v>0.81851851851851853</v>
      </c>
      <c r="AK9" s="12">
        <f t="shared" si="14"/>
        <v>0.86170212765957444</v>
      </c>
      <c r="AL9" s="12">
        <f t="shared" si="15"/>
        <v>0.98709677419354835</v>
      </c>
      <c r="AM9" s="12">
        <f t="shared" si="16"/>
        <v>0.98984771573604058</v>
      </c>
      <c r="AN9" s="19">
        <f t="shared" si="17"/>
        <v>0.93832599118942728</v>
      </c>
    </row>
    <row r="10" spans="2:40" ht="15" customHeight="1">
      <c r="B10" s="87"/>
      <c r="C10" s="90"/>
      <c r="D10" s="5">
        <v>0.75</v>
      </c>
      <c r="E10" s="27">
        <v>780</v>
      </c>
      <c r="F10" s="28">
        <v>804</v>
      </c>
      <c r="G10" s="28">
        <v>836</v>
      </c>
      <c r="H10" s="28">
        <v>900</v>
      </c>
      <c r="I10" s="28">
        <v>1032</v>
      </c>
      <c r="J10" s="28">
        <v>1784</v>
      </c>
      <c r="K10" s="28">
        <v>2064</v>
      </c>
      <c r="L10" s="29">
        <v>3824</v>
      </c>
      <c r="M10" s="27">
        <v>804</v>
      </c>
      <c r="N10" s="28">
        <v>948</v>
      </c>
      <c r="O10" s="28">
        <v>988</v>
      </c>
      <c r="P10" s="28">
        <v>1032</v>
      </c>
      <c r="Q10" s="28">
        <v>1080</v>
      </c>
      <c r="R10" s="28">
        <v>1112</v>
      </c>
      <c r="S10" s="28">
        <v>1304</v>
      </c>
      <c r="T10" s="29">
        <v>2736</v>
      </c>
      <c r="V10" s="93"/>
      <c r="W10" s="96"/>
      <c r="X10" s="5">
        <v>0.75</v>
      </c>
      <c r="Y10" s="18">
        <f t="shared" si="2"/>
        <v>0.62820512820512819</v>
      </c>
      <c r="Z10" s="12">
        <f t="shared" si="3"/>
        <v>0.6616915422885572</v>
      </c>
      <c r="AA10" s="12">
        <f t="shared" si="4"/>
        <v>0.66507177033492826</v>
      </c>
      <c r="AB10" s="12">
        <f t="shared" si="5"/>
        <v>0.82222222222222219</v>
      </c>
      <c r="AC10" s="12">
        <f t="shared" si="6"/>
        <v>0.85658914728682167</v>
      </c>
      <c r="AD10" s="12">
        <f t="shared" si="7"/>
        <v>0.55381165919282516</v>
      </c>
      <c r="AE10" s="12">
        <f t="shared" si="8"/>
        <v>0.63953488372093026</v>
      </c>
      <c r="AF10" s="19">
        <f t="shared" si="9"/>
        <v>0.81589958158995812</v>
      </c>
      <c r="AG10" s="18">
        <f t="shared" si="10"/>
        <v>0.81094527363184077</v>
      </c>
      <c r="AH10" s="12">
        <f t="shared" si="11"/>
        <v>0.74683544303797467</v>
      </c>
      <c r="AI10" s="12">
        <f t="shared" si="12"/>
        <v>0.74898785425101211</v>
      </c>
      <c r="AJ10" s="12">
        <f t="shared" si="13"/>
        <v>0.74806201550387597</v>
      </c>
      <c r="AK10" s="12">
        <f t="shared" si="14"/>
        <v>0.81851851851851853</v>
      </c>
      <c r="AL10" s="12">
        <f t="shared" si="15"/>
        <v>0.95683453237410077</v>
      </c>
      <c r="AM10" s="12">
        <f t="shared" si="16"/>
        <v>1.0490797546012269</v>
      </c>
      <c r="AN10" s="19">
        <f t="shared" si="17"/>
        <v>1</v>
      </c>
    </row>
    <row r="11" spans="2:40" ht="15" customHeight="1" thickBot="1">
      <c r="B11" s="87"/>
      <c r="C11" s="91"/>
      <c r="D11" s="6">
        <v>1</v>
      </c>
      <c r="E11" s="30">
        <v>119</v>
      </c>
      <c r="F11" s="31">
        <v>155</v>
      </c>
      <c r="G11" s="31">
        <v>189</v>
      </c>
      <c r="H11" s="31">
        <v>237</v>
      </c>
      <c r="I11" s="31">
        <v>318</v>
      </c>
      <c r="J11" s="31">
        <v>498</v>
      </c>
      <c r="K11" s="31">
        <v>900</v>
      </c>
      <c r="L11" s="32">
        <v>2160</v>
      </c>
      <c r="M11" s="30">
        <v>108</v>
      </c>
      <c r="N11" s="31">
        <v>149</v>
      </c>
      <c r="O11" s="31">
        <v>173</v>
      </c>
      <c r="P11" s="31">
        <v>201</v>
      </c>
      <c r="Q11" s="31">
        <v>249</v>
      </c>
      <c r="R11" s="31">
        <v>338</v>
      </c>
      <c r="S11" s="31">
        <v>532</v>
      </c>
      <c r="T11" s="32">
        <v>1004</v>
      </c>
      <c r="V11" s="93"/>
      <c r="W11" s="97"/>
      <c r="X11" s="6">
        <v>1</v>
      </c>
      <c r="Y11" s="20">
        <f t="shared" si="2"/>
        <v>0.75630252100840334</v>
      </c>
      <c r="Z11" s="21">
        <f t="shared" si="3"/>
        <v>0.77419354838709675</v>
      </c>
      <c r="AA11" s="21">
        <f t="shared" si="4"/>
        <v>0.80952380952380953</v>
      </c>
      <c r="AB11" s="21">
        <f t="shared" si="5"/>
        <v>0.80590717299578063</v>
      </c>
      <c r="AC11" s="21">
        <f t="shared" si="6"/>
        <v>0.83647798742138368</v>
      </c>
      <c r="AD11" s="21">
        <f t="shared" si="7"/>
        <v>0.85542168674698793</v>
      </c>
      <c r="AE11" s="21">
        <f t="shared" si="8"/>
        <v>0.88444444444444448</v>
      </c>
      <c r="AF11" s="22">
        <f t="shared" si="9"/>
        <v>0.85555555555555551</v>
      </c>
      <c r="AG11" s="20">
        <f t="shared" si="10"/>
        <v>0.67592592592592593</v>
      </c>
      <c r="AH11" s="21">
        <f t="shared" si="11"/>
        <v>0.78523489932885904</v>
      </c>
      <c r="AI11" s="21">
        <f t="shared" si="12"/>
        <v>0.80346820809248554</v>
      </c>
      <c r="AJ11" s="21">
        <f t="shared" si="13"/>
        <v>0.80099502487562191</v>
      </c>
      <c r="AK11" s="21">
        <f t="shared" si="14"/>
        <v>0.81526104417670686</v>
      </c>
      <c r="AL11" s="21">
        <f t="shared" si="15"/>
        <v>0.83431952662721898</v>
      </c>
      <c r="AM11" s="21">
        <f t="shared" si="16"/>
        <v>0.79323308270676696</v>
      </c>
      <c r="AN11" s="22">
        <f t="shared" si="17"/>
        <v>0.77689243027888444</v>
      </c>
    </row>
    <row r="12" spans="2:40" ht="15" customHeight="1">
      <c r="B12" s="87"/>
      <c r="C12" s="89" t="s">
        <v>8</v>
      </c>
      <c r="D12" s="4">
        <v>0.25</v>
      </c>
      <c r="E12" s="24">
        <v>6192</v>
      </c>
      <c r="F12" s="25">
        <v>10484</v>
      </c>
      <c r="G12" s="25">
        <v>16082</v>
      </c>
      <c r="H12" s="25">
        <v>17410</v>
      </c>
      <c r="I12" s="25">
        <v>17436</v>
      </c>
      <c r="J12" s="25">
        <v>17467</v>
      </c>
      <c r="K12" s="25">
        <v>17556</v>
      </c>
      <c r="L12" s="26">
        <v>17566</v>
      </c>
      <c r="M12" s="24">
        <v>6914</v>
      </c>
      <c r="N12" s="25">
        <v>12185</v>
      </c>
      <c r="O12" s="25">
        <v>19737</v>
      </c>
      <c r="P12" s="25">
        <v>20568</v>
      </c>
      <c r="Q12" s="25">
        <v>20601</v>
      </c>
      <c r="R12" s="25">
        <v>20595</v>
      </c>
      <c r="S12" s="25">
        <v>20641</v>
      </c>
      <c r="T12" s="26">
        <v>20626</v>
      </c>
      <c r="V12" s="93"/>
      <c r="W12" s="98" t="s">
        <v>8</v>
      </c>
      <c r="X12" s="4">
        <v>0.25</v>
      </c>
      <c r="Y12" s="15">
        <f t="shared" si="2"/>
        <v>1.4032622739018088</v>
      </c>
      <c r="Z12" s="16">
        <f t="shared" si="3"/>
        <v>1.4318962228157193</v>
      </c>
      <c r="AA12" s="16">
        <f t="shared" si="4"/>
        <v>1.4396219375699539</v>
      </c>
      <c r="AB12" s="16">
        <f t="shared" si="5"/>
        <v>1.4959793222286042</v>
      </c>
      <c r="AC12" s="16">
        <f t="shared" si="6"/>
        <v>1.4970176646019728</v>
      </c>
      <c r="AD12" s="16">
        <f t="shared" si="7"/>
        <v>1.4932157783248412</v>
      </c>
      <c r="AE12" s="16">
        <f t="shared" si="8"/>
        <v>1.4304511278195489</v>
      </c>
      <c r="AF12" s="17">
        <f t="shared" si="9"/>
        <v>1.4610042126835934</v>
      </c>
      <c r="AG12" s="15">
        <f t="shared" si="10"/>
        <v>1.2804454729534278</v>
      </c>
      <c r="AH12" s="16">
        <f t="shared" si="11"/>
        <v>1.2782929831760361</v>
      </c>
      <c r="AI12" s="16">
        <f t="shared" si="12"/>
        <v>1.2394487510766581</v>
      </c>
      <c r="AJ12" s="16">
        <f t="shared" si="13"/>
        <v>1.5571761960326722</v>
      </c>
      <c r="AK12" s="16">
        <f t="shared" si="14"/>
        <v>1.5509926702587253</v>
      </c>
      <c r="AL12" s="16">
        <f t="shared" si="15"/>
        <v>1.5530954115076474</v>
      </c>
      <c r="AM12" s="16">
        <f t="shared" si="16"/>
        <v>1.5484230415193063</v>
      </c>
      <c r="AN12" s="17">
        <f t="shared" si="17"/>
        <v>1.5432463880539125</v>
      </c>
    </row>
    <row r="13" spans="2:40" ht="15" customHeight="1">
      <c r="B13" s="87"/>
      <c r="C13" s="90"/>
      <c r="D13" s="5">
        <v>0.5</v>
      </c>
      <c r="E13" s="27">
        <v>9193</v>
      </c>
      <c r="F13" s="28">
        <v>16125</v>
      </c>
      <c r="G13" s="28">
        <v>25943</v>
      </c>
      <c r="H13" s="28">
        <v>38858</v>
      </c>
      <c r="I13" s="28">
        <v>45207</v>
      </c>
      <c r="J13" s="28">
        <v>45459</v>
      </c>
      <c r="K13" s="28">
        <v>45886</v>
      </c>
      <c r="L13" s="29">
        <v>46011</v>
      </c>
      <c r="M13" s="27">
        <v>9940</v>
      </c>
      <c r="N13" s="28">
        <v>18172</v>
      </c>
      <c r="O13" s="28">
        <v>30404</v>
      </c>
      <c r="P13" s="28">
        <v>48312</v>
      </c>
      <c r="Q13" s="28">
        <v>56339</v>
      </c>
      <c r="R13" s="28">
        <v>56542</v>
      </c>
      <c r="S13" s="28">
        <v>56447</v>
      </c>
      <c r="T13" s="29">
        <v>56438</v>
      </c>
      <c r="V13" s="93"/>
      <c r="W13" s="96"/>
      <c r="X13" s="5">
        <v>0.5</v>
      </c>
      <c r="Y13" s="18">
        <f t="shared" si="2"/>
        <v>1.3050146850864788</v>
      </c>
      <c r="Z13" s="12">
        <f t="shared" si="3"/>
        <v>1.3691782945736435</v>
      </c>
      <c r="AA13" s="12">
        <f t="shared" si="4"/>
        <v>1.4403114520294491</v>
      </c>
      <c r="AB13" s="12">
        <f t="shared" si="5"/>
        <v>1.4084615780534253</v>
      </c>
      <c r="AC13" s="12">
        <f t="shared" si="6"/>
        <v>1.4047824451965403</v>
      </c>
      <c r="AD13" s="12">
        <f t="shared" si="7"/>
        <v>1.3992168767460789</v>
      </c>
      <c r="AE13" s="12">
        <f t="shared" si="8"/>
        <v>1.3853244998474481</v>
      </c>
      <c r="AF13" s="19">
        <f t="shared" si="9"/>
        <v>1.3813653256829888</v>
      </c>
      <c r="AG13" s="18">
        <f t="shared" si="10"/>
        <v>1.2353118712273641</v>
      </c>
      <c r="AH13" s="12">
        <f t="shared" si="11"/>
        <v>1.2536869909751265</v>
      </c>
      <c r="AI13" s="12">
        <f t="shared" si="12"/>
        <v>1.3083475858439679</v>
      </c>
      <c r="AJ13" s="12">
        <f t="shared" si="13"/>
        <v>1.2805307170061269</v>
      </c>
      <c r="AK13" s="12">
        <f t="shared" si="14"/>
        <v>1.4457658105397682</v>
      </c>
      <c r="AL13" s="12">
        <f t="shared" si="15"/>
        <v>1.4322273708040041</v>
      </c>
      <c r="AM13" s="12">
        <f t="shared" si="16"/>
        <v>1.4405371410349532</v>
      </c>
      <c r="AN13" s="19">
        <f t="shared" si="17"/>
        <v>1.4343704596194053</v>
      </c>
    </row>
    <row r="14" spans="2:40" ht="15" customHeight="1">
      <c r="B14" s="87"/>
      <c r="C14" s="90"/>
      <c r="D14" s="5">
        <v>0.75</v>
      </c>
      <c r="E14" s="27">
        <v>11464</v>
      </c>
      <c r="F14" s="28">
        <v>21371</v>
      </c>
      <c r="G14" s="28">
        <v>36951</v>
      </c>
      <c r="H14" s="28">
        <v>59109</v>
      </c>
      <c r="I14" s="28">
        <v>87975</v>
      </c>
      <c r="J14" s="28">
        <v>103014</v>
      </c>
      <c r="K14" s="28">
        <v>103381</v>
      </c>
      <c r="L14" s="29">
        <v>103310</v>
      </c>
      <c r="M14" s="27">
        <v>11956</v>
      </c>
      <c r="N14" s="28">
        <v>22911</v>
      </c>
      <c r="O14" s="28">
        <v>40839</v>
      </c>
      <c r="P14" s="28">
        <v>68506</v>
      </c>
      <c r="Q14" s="28">
        <v>107096</v>
      </c>
      <c r="R14" s="28">
        <v>135986</v>
      </c>
      <c r="S14" s="28">
        <v>135801</v>
      </c>
      <c r="T14" s="29">
        <v>135958</v>
      </c>
      <c r="V14" s="93"/>
      <c r="W14" s="96"/>
      <c r="X14" s="5">
        <v>0.75</v>
      </c>
      <c r="Y14" s="18">
        <f t="shared" si="2"/>
        <v>1.2233949755757152</v>
      </c>
      <c r="Z14" s="12">
        <f t="shared" si="3"/>
        <v>1.2485611342473446</v>
      </c>
      <c r="AA14" s="12">
        <f t="shared" si="4"/>
        <v>1.3177451219182159</v>
      </c>
      <c r="AB14" s="12">
        <f t="shared" si="5"/>
        <v>1.3794176859699876</v>
      </c>
      <c r="AC14" s="12">
        <f t="shared" si="6"/>
        <v>1.3026541631145212</v>
      </c>
      <c r="AD14" s="12">
        <f t="shared" si="7"/>
        <v>1.2790494495893763</v>
      </c>
      <c r="AE14" s="12">
        <f t="shared" si="8"/>
        <v>1.2784070573896558</v>
      </c>
      <c r="AF14" s="19">
        <f t="shared" si="9"/>
        <v>1.277824024779789</v>
      </c>
      <c r="AG14" s="18">
        <f t="shared" si="10"/>
        <v>1.197557711609234</v>
      </c>
      <c r="AH14" s="12">
        <f t="shared" si="11"/>
        <v>1.1981580900004365</v>
      </c>
      <c r="AI14" s="12">
        <f t="shared" si="12"/>
        <v>1.2460393251548765</v>
      </c>
      <c r="AJ14" s="12">
        <f t="shared" si="13"/>
        <v>1.3021487169007093</v>
      </c>
      <c r="AK14" s="12">
        <f t="shared" si="14"/>
        <v>1.2866493613206842</v>
      </c>
      <c r="AL14" s="12">
        <f t="shared" si="15"/>
        <v>1.3087229567749621</v>
      </c>
      <c r="AM14" s="12">
        <f t="shared" si="16"/>
        <v>1.3187458118865103</v>
      </c>
      <c r="AN14" s="19">
        <f t="shared" si="17"/>
        <v>1.32111387340208</v>
      </c>
    </row>
    <row r="15" spans="2:40" ht="15" customHeight="1" thickBot="1">
      <c r="B15" s="88"/>
      <c r="C15" s="91"/>
      <c r="D15" s="6">
        <v>1</v>
      </c>
      <c r="E15" s="30">
        <v>13411</v>
      </c>
      <c r="F15" s="31">
        <v>26923</v>
      </c>
      <c r="G15" s="31">
        <v>52265</v>
      </c>
      <c r="H15" s="31">
        <v>98380</v>
      </c>
      <c r="I15" s="31">
        <v>174987</v>
      </c>
      <c r="J15" s="31">
        <v>280549</v>
      </c>
      <c r="K15" s="31">
        <v>382294</v>
      </c>
      <c r="L15" s="32">
        <v>442939</v>
      </c>
      <c r="M15" s="30">
        <v>13538</v>
      </c>
      <c r="N15" s="31">
        <v>27322</v>
      </c>
      <c r="O15" s="31">
        <v>53540</v>
      </c>
      <c r="P15" s="31">
        <v>102841</v>
      </c>
      <c r="Q15" s="31">
        <v>190185</v>
      </c>
      <c r="R15" s="31">
        <v>328357</v>
      </c>
      <c r="S15" s="31">
        <v>490469</v>
      </c>
      <c r="T15" s="32">
        <v>536381</v>
      </c>
      <c r="V15" s="94"/>
      <c r="W15" s="97"/>
      <c r="X15" s="6">
        <v>1</v>
      </c>
      <c r="Y15" s="20">
        <f t="shared" si="2"/>
        <v>1.1940198344642459</v>
      </c>
      <c r="Z15" s="21">
        <f t="shared" si="3"/>
        <v>1.1752405006871449</v>
      </c>
      <c r="AA15" s="21">
        <f t="shared" si="4"/>
        <v>1.1768104850282215</v>
      </c>
      <c r="AB15" s="21">
        <f t="shared" si="5"/>
        <v>1.18457003455987</v>
      </c>
      <c r="AC15" s="21">
        <f t="shared" si="6"/>
        <v>1.1958374050643763</v>
      </c>
      <c r="AD15" s="21">
        <f t="shared" si="7"/>
        <v>1.2033798017458626</v>
      </c>
      <c r="AE15" s="21">
        <f t="shared" si="8"/>
        <v>1.2032179422120148</v>
      </c>
      <c r="AF15" s="22">
        <f t="shared" si="9"/>
        <v>1.1828603938691333</v>
      </c>
      <c r="AG15" s="20">
        <f t="shared" si="10"/>
        <v>1.18606884325602</v>
      </c>
      <c r="AH15" s="21">
        <f t="shared" si="11"/>
        <v>1.1667154673889173</v>
      </c>
      <c r="AI15" s="21">
        <f t="shared" si="12"/>
        <v>1.1694434067986552</v>
      </c>
      <c r="AJ15" s="21">
        <f t="shared" si="13"/>
        <v>1.175785921957196</v>
      </c>
      <c r="AK15" s="21">
        <f t="shared" si="14"/>
        <v>1.1895838262744169</v>
      </c>
      <c r="AL15" s="21">
        <f t="shared" si="15"/>
        <v>1.2046705262869377</v>
      </c>
      <c r="AM15" s="21">
        <f t="shared" si="16"/>
        <v>1.1036028780616105</v>
      </c>
      <c r="AN15" s="22">
        <f t="shared" si="17"/>
        <v>1.0102128897183158</v>
      </c>
    </row>
    <row r="16" spans="2:40" ht="15" customHeight="1">
      <c r="B16" s="83" t="s">
        <v>9</v>
      </c>
      <c r="C16" s="98" t="s">
        <v>6</v>
      </c>
      <c r="D16" s="4">
        <v>0.25</v>
      </c>
      <c r="E16" s="24">
        <v>16</v>
      </c>
      <c r="F16" s="25">
        <v>15</v>
      </c>
      <c r="G16" s="25">
        <v>13</v>
      </c>
      <c r="H16" s="25">
        <v>14</v>
      </c>
      <c r="I16" s="25">
        <v>15</v>
      </c>
      <c r="J16" s="25">
        <v>278</v>
      </c>
      <c r="K16" s="25">
        <v>612</v>
      </c>
      <c r="L16" s="26">
        <v>2416</v>
      </c>
      <c r="M16" s="24">
        <v>14</v>
      </c>
      <c r="N16" s="25">
        <v>15</v>
      </c>
      <c r="O16" s="25">
        <v>13</v>
      </c>
      <c r="P16" s="25">
        <v>14</v>
      </c>
      <c r="Q16" s="25">
        <v>16</v>
      </c>
      <c r="R16" s="25">
        <v>195</v>
      </c>
      <c r="S16" s="25">
        <v>450</v>
      </c>
      <c r="T16" s="26">
        <v>1960</v>
      </c>
      <c r="V16" s="86" t="s">
        <v>9</v>
      </c>
      <c r="W16" s="98" t="s">
        <v>6</v>
      </c>
      <c r="X16" s="4">
        <v>0.25</v>
      </c>
      <c r="Y16" s="15">
        <f t="shared" si="2"/>
        <v>0.6875</v>
      </c>
      <c r="Z16" s="16">
        <f t="shared" si="3"/>
        <v>0.8666666666666667</v>
      </c>
      <c r="AA16" s="16">
        <f t="shared" si="4"/>
        <v>1.1538461538461537</v>
      </c>
      <c r="AB16" s="16">
        <f t="shared" si="5"/>
        <v>1.2142857142857142</v>
      </c>
      <c r="AC16" s="16">
        <f t="shared" si="6"/>
        <v>1.2666666666666666</v>
      </c>
      <c r="AD16" s="16">
        <f t="shared" si="7"/>
        <v>7.1942446043165464E-2</v>
      </c>
      <c r="AE16" s="16">
        <f t="shared" si="8"/>
        <v>3.2679738562091505E-2</v>
      </c>
      <c r="AF16" s="17">
        <f t="shared" si="9"/>
        <v>9.1059602649006619E-3</v>
      </c>
      <c r="AG16" s="15">
        <f t="shared" si="10"/>
        <v>0.7857142857142857</v>
      </c>
      <c r="AH16" s="16">
        <f t="shared" si="11"/>
        <v>0.8666666666666667</v>
      </c>
      <c r="AI16" s="16">
        <f t="shared" si="12"/>
        <v>1.1538461538461537</v>
      </c>
      <c r="AJ16" s="16">
        <f t="shared" si="13"/>
        <v>1.2142857142857142</v>
      </c>
      <c r="AK16" s="16">
        <f t="shared" si="14"/>
        <v>1.3125</v>
      </c>
      <c r="AL16" s="16">
        <f t="shared" si="15"/>
        <v>0.12307692307692308</v>
      </c>
      <c r="AM16" s="16">
        <f t="shared" si="16"/>
        <v>4.8888888888888891E-2</v>
      </c>
      <c r="AN16" s="17">
        <f t="shared" si="17"/>
        <v>1.2244897959183673E-2</v>
      </c>
    </row>
    <row r="17" spans="2:40" ht="15" customHeight="1">
      <c r="B17" s="93"/>
      <c r="C17" s="96"/>
      <c r="D17" s="5">
        <v>0.5</v>
      </c>
      <c r="E17" s="27">
        <v>17</v>
      </c>
      <c r="F17" s="28">
        <v>16</v>
      </c>
      <c r="G17" s="28">
        <v>13</v>
      </c>
      <c r="H17" s="28">
        <v>14</v>
      </c>
      <c r="I17" s="28">
        <v>199</v>
      </c>
      <c r="J17" s="28">
        <v>498</v>
      </c>
      <c r="K17" s="28">
        <v>1096</v>
      </c>
      <c r="L17" s="29">
        <v>3696</v>
      </c>
      <c r="M17" s="27">
        <v>16</v>
      </c>
      <c r="N17" s="28">
        <v>16</v>
      </c>
      <c r="O17" s="28">
        <v>13</v>
      </c>
      <c r="P17" s="28">
        <v>14</v>
      </c>
      <c r="Q17" s="28">
        <v>165</v>
      </c>
      <c r="R17" s="28">
        <v>406</v>
      </c>
      <c r="S17" s="28">
        <v>900</v>
      </c>
      <c r="T17" s="29">
        <v>3088</v>
      </c>
      <c r="V17" s="87"/>
      <c r="W17" s="96"/>
      <c r="X17" s="5">
        <v>0.5</v>
      </c>
      <c r="Y17" s="18">
        <f t="shared" si="2"/>
        <v>0.6470588235294118</v>
      </c>
      <c r="Z17" s="12">
        <f t="shared" si="3"/>
        <v>0.8125</v>
      </c>
      <c r="AA17" s="12">
        <f t="shared" si="4"/>
        <v>1.1538461538461537</v>
      </c>
      <c r="AB17" s="12">
        <f t="shared" si="5"/>
        <v>1.2142857142857142</v>
      </c>
      <c r="AC17" s="12">
        <f t="shared" si="6"/>
        <v>1.1809045226130652</v>
      </c>
      <c r="AD17" s="12">
        <f t="shared" si="7"/>
        <v>1.1485943775100402</v>
      </c>
      <c r="AE17" s="12">
        <f t="shared" si="8"/>
        <v>1.1167883211678833</v>
      </c>
      <c r="AF17" s="19">
        <f t="shared" si="9"/>
        <v>1.2380952380952381</v>
      </c>
      <c r="AG17" s="18">
        <f t="shared" si="10"/>
        <v>0.75</v>
      </c>
      <c r="AH17" s="12">
        <f t="shared" si="11"/>
        <v>0.8125</v>
      </c>
      <c r="AI17" s="12">
        <f t="shared" si="12"/>
        <v>1.1538461538461537</v>
      </c>
      <c r="AJ17" s="12">
        <f t="shared" si="13"/>
        <v>1.2857142857142858</v>
      </c>
      <c r="AK17" s="12">
        <f t="shared" si="14"/>
        <v>0.12121212121212122</v>
      </c>
      <c r="AL17" s="12">
        <f t="shared" si="15"/>
        <v>1.1083743842364533</v>
      </c>
      <c r="AM17" s="12">
        <f t="shared" si="16"/>
        <v>1.1244444444444444</v>
      </c>
      <c r="AN17" s="19">
        <f t="shared" si="17"/>
        <v>1.0932642487046633</v>
      </c>
    </row>
    <row r="18" spans="2:40" ht="15" customHeight="1">
      <c r="B18" s="93"/>
      <c r="C18" s="96"/>
      <c r="D18" s="5">
        <v>0.75</v>
      </c>
      <c r="E18" s="27">
        <v>20</v>
      </c>
      <c r="F18" s="28">
        <v>18</v>
      </c>
      <c r="G18" s="28">
        <v>13</v>
      </c>
      <c r="H18" s="28">
        <v>123</v>
      </c>
      <c r="I18" s="28">
        <v>278</v>
      </c>
      <c r="J18" s="28">
        <v>564</v>
      </c>
      <c r="K18" s="28">
        <v>1144</v>
      </c>
      <c r="L18" s="29">
        <v>4256</v>
      </c>
      <c r="M18" s="27">
        <v>17</v>
      </c>
      <c r="N18" s="28">
        <v>17</v>
      </c>
      <c r="O18" s="28">
        <v>14</v>
      </c>
      <c r="P18" s="28">
        <v>113</v>
      </c>
      <c r="Q18" s="28">
        <v>237</v>
      </c>
      <c r="R18" s="28">
        <v>482</v>
      </c>
      <c r="S18" s="28">
        <v>980</v>
      </c>
      <c r="T18" s="29">
        <v>3664</v>
      </c>
      <c r="V18" s="87"/>
      <c r="W18" s="96"/>
      <c r="X18" s="5">
        <v>0.75</v>
      </c>
      <c r="Y18" s="18">
        <f t="shared" si="2"/>
        <v>0.55000000000000004</v>
      </c>
      <c r="Z18" s="12">
        <f t="shared" si="3"/>
        <v>0.72222222222222221</v>
      </c>
      <c r="AA18" s="12">
        <f t="shared" si="4"/>
        <v>1.1538461538461537</v>
      </c>
      <c r="AB18" s="12">
        <f t="shared" si="5"/>
        <v>1.3414634146341464</v>
      </c>
      <c r="AC18" s="12">
        <f t="shared" si="6"/>
        <v>1.1870503597122302</v>
      </c>
      <c r="AD18" s="12">
        <f t="shared" si="7"/>
        <v>1.1843971631205674</v>
      </c>
      <c r="AE18" s="12">
        <f t="shared" si="8"/>
        <v>1.1678321678321679</v>
      </c>
      <c r="AF18" s="19">
        <f t="shared" si="9"/>
        <v>1.2406015037593985</v>
      </c>
      <c r="AG18" s="18">
        <f t="shared" si="10"/>
        <v>0.76470588235294112</v>
      </c>
      <c r="AH18" s="12">
        <f t="shared" si="11"/>
        <v>0.82352941176470584</v>
      </c>
      <c r="AI18" s="12">
        <f t="shared" si="12"/>
        <v>1.0714285714285714</v>
      </c>
      <c r="AJ18" s="12">
        <f t="shared" si="13"/>
        <v>1.0530973451327434</v>
      </c>
      <c r="AK18" s="12">
        <f t="shared" si="14"/>
        <v>1.139240506329114</v>
      </c>
      <c r="AL18" s="12">
        <f t="shared" si="15"/>
        <v>1.1369294605809128</v>
      </c>
      <c r="AM18" s="12">
        <f t="shared" si="16"/>
        <v>1.1020408163265305</v>
      </c>
      <c r="AN18" s="19">
        <f t="shared" si="17"/>
        <v>1.1441048034934498</v>
      </c>
    </row>
    <row r="19" spans="2:40" ht="15" customHeight="1" thickBot="1">
      <c r="B19" s="93"/>
      <c r="C19" s="97"/>
      <c r="D19" s="6">
        <v>1</v>
      </c>
      <c r="E19" s="30">
        <v>21</v>
      </c>
      <c r="F19" s="31">
        <v>34</v>
      </c>
      <c r="G19" s="31">
        <v>70</v>
      </c>
      <c r="H19" s="31">
        <v>141</v>
      </c>
      <c r="I19" s="31">
        <v>278</v>
      </c>
      <c r="J19" s="31">
        <v>548</v>
      </c>
      <c r="K19" s="31">
        <v>1144</v>
      </c>
      <c r="L19" s="32">
        <v>4448</v>
      </c>
      <c r="M19" s="30">
        <v>20</v>
      </c>
      <c r="N19" s="31">
        <v>31</v>
      </c>
      <c r="O19" s="31">
        <v>64</v>
      </c>
      <c r="P19" s="31">
        <v>129</v>
      </c>
      <c r="Q19" s="31">
        <v>253</v>
      </c>
      <c r="R19" s="31">
        <v>506</v>
      </c>
      <c r="S19" s="31">
        <v>1048</v>
      </c>
      <c r="T19" s="32">
        <v>4080</v>
      </c>
      <c r="V19" s="87"/>
      <c r="W19" s="97"/>
      <c r="X19" s="6">
        <v>1</v>
      </c>
      <c r="Y19" s="20">
        <f t="shared" si="2"/>
        <v>0.5714285714285714</v>
      </c>
      <c r="Z19" s="21">
        <f t="shared" si="3"/>
        <v>1.2058823529411764</v>
      </c>
      <c r="AA19" s="21">
        <f t="shared" si="4"/>
        <v>1.1714285714285715</v>
      </c>
      <c r="AB19" s="21">
        <f t="shared" si="5"/>
        <v>1.1702127659574468</v>
      </c>
      <c r="AC19" s="21">
        <f t="shared" si="6"/>
        <v>1.2014388489208634</v>
      </c>
      <c r="AD19" s="21">
        <f t="shared" si="7"/>
        <v>1.218978102189781</v>
      </c>
      <c r="AE19" s="21">
        <f t="shared" si="8"/>
        <v>1.1678321678321679</v>
      </c>
      <c r="AF19" s="22">
        <f t="shared" si="9"/>
        <v>0.95683453237410077</v>
      </c>
      <c r="AG19" s="20">
        <f t="shared" si="10"/>
        <v>0.55000000000000004</v>
      </c>
      <c r="AH19" s="21">
        <f t="shared" si="11"/>
        <v>0.67741935483870963</v>
      </c>
      <c r="AI19" s="21">
        <f t="shared" si="12"/>
        <v>0.671875</v>
      </c>
      <c r="AJ19" s="21">
        <f t="shared" si="13"/>
        <v>0.67441860465116277</v>
      </c>
      <c r="AK19" s="21">
        <f t="shared" si="14"/>
        <v>0.69169960474308301</v>
      </c>
      <c r="AL19" s="21">
        <f t="shared" si="15"/>
        <v>0.69169960474308301</v>
      </c>
      <c r="AM19" s="21">
        <f t="shared" si="16"/>
        <v>0.66793893129770987</v>
      </c>
      <c r="AN19" s="22">
        <f t="shared" si="17"/>
        <v>0.69411764705882351</v>
      </c>
    </row>
    <row r="20" spans="2:40" ht="15" customHeight="1">
      <c r="B20" s="93"/>
      <c r="C20" s="98" t="s">
        <v>7</v>
      </c>
      <c r="D20" s="4">
        <v>0.25</v>
      </c>
      <c r="E20" s="24">
        <v>32</v>
      </c>
      <c r="F20" s="25">
        <v>35</v>
      </c>
      <c r="G20" s="25">
        <v>31</v>
      </c>
      <c r="H20" s="25">
        <v>20</v>
      </c>
      <c r="I20" s="25">
        <v>21</v>
      </c>
      <c r="J20" s="25">
        <v>410</v>
      </c>
      <c r="K20" s="25">
        <v>804</v>
      </c>
      <c r="L20" s="26">
        <v>2800</v>
      </c>
      <c r="M20" s="24">
        <v>28</v>
      </c>
      <c r="N20" s="25">
        <v>34</v>
      </c>
      <c r="O20" s="25">
        <v>29</v>
      </c>
      <c r="P20" s="25">
        <v>20</v>
      </c>
      <c r="Q20" s="25">
        <v>21</v>
      </c>
      <c r="R20" s="25">
        <v>290</v>
      </c>
      <c r="S20" s="25">
        <v>604</v>
      </c>
      <c r="T20" s="26">
        <v>2224</v>
      </c>
      <c r="V20" s="87"/>
      <c r="W20" s="98" t="s">
        <v>7</v>
      </c>
      <c r="X20" s="4">
        <v>0.25</v>
      </c>
      <c r="Y20" s="15">
        <f t="shared" si="2"/>
        <v>0.5</v>
      </c>
      <c r="Z20" s="16">
        <f t="shared" si="3"/>
        <v>0.48571428571428571</v>
      </c>
      <c r="AA20" s="16">
        <f t="shared" si="4"/>
        <v>0.61290322580645162</v>
      </c>
      <c r="AB20" s="16">
        <f t="shared" si="5"/>
        <v>1.1000000000000001</v>
      </c>
      <c r="AC20" s="16">
        <f t="shared" si="6"/>
        <v>1.2380952380952381</v>
      </c>
      <c r="AD20" s="16">
        <f t="shared" si="7"/>
        <v>6.5853658536585369E-2</v>
      </c>
      <c r="AE20" s="16">
        <f t="shared" si="8"/>
        <v>3.482587064676617E-2</v>
      </c>
      <c r="AF20" s="17">
        <f t="shared" si="9"/>
        <v>1.2142857142857143E-2</v>
      </c>
      <c r="AG20" s="15">
        <f t="shared" si="10"/>
        <v>0.9642857142857143</v>
      </c>
      <c r="AH20" s="16">
        <f t="shared" si="11"/>
        <v>0.88235294117647056</v>
      </c>
      <c r="AI20" s="16">
        <f t="shared" si="12"/>
        <v>0.93103448275862066</v>
      </c>
      <c r="AJ20" s="16">
        <f t="shared" si="13"/>
        <v>1.1499999999999999</v>
      </c>
      <c r="AK20" s="16">
        <f t="shared" si="14"/>
        <v>1.3333333333333333</v>
      </c>
      <c r="AL20" s="16">
        <f t="shared" si="15"/>
        <v>0.12413793103448276</v>
      </c>
      <c r="AM20" s="16">
        <f t="shared" si="16"/>
        <v>0.12913907284768211</v>
      </c>
      <c r="AN20" s="17">
        <f t="shared" si="17"/>
        <v>0.13399280575539568</v>
      </c>
    </row>
    <row r="21" spans="2:40" ht="15" customHeight="1">
      <c r="B21" s="93"/>
      <c r="C21" s="96"/>
      <c r="D21" s="5">
        <v>0.5</v>
      </c>
      <c r="E21" s="27">
        <v>34</v>
      </c>
      <c r="F21" s="28">
        <v>38</v>
      </c>
      <c r="G21" s="28">
        <v>34</v>
      </c>
      <c r="H21" s="28">
        <v>26</v>
      </c>
      <c r="I21" s="28">
        <v>262</v>
      </c>
      <c r="J21" s="28">
        <v>596</v>
      </c>
      <c r="K21" s="28">
        <v>1240</v>
      </c>
      <c r="L21" s="29">
        <v>4048</v>
      </c>
      <c r="M21" s="27">
        <v>31</v>
      </c>
      <c r="N21" s="28">
        <v>37</v>
      </c>
      <c r="O21" s="28">
        <v>32</v>
      </c>
      <c r="P21" s="28">
        <v>20</v>
      </c>
      <c r="Q21" s="28">
        <v>213</v>
      </c>
      <c r="R21" s="28">
        <v>482</v>
      </c>
      <c r="S21" s="28">
        <v>1020</v>
      </c>
      <c r="T21" s="29">
        <v>3408</v>
      </c>
      <c r="V21" s="87"/>
      <c r="W21" s="96"/>
      <c r="X21" s="5">
        <v>0.5</v>
      </c>
      <c r="Y21" s="18">
        <f t="shared" si="2"/>
        <v>0.47058823529411764</v>
      </c>
      <c r="Z21" s="12">
        <f t="shared" si="3"/>
        <v>0.44736842105263158</v>
      </c>
      <c r="AA21" s="12">
        <f t="shared" si="4"/>
        <v>0.55882352941176472</v>
      </c>
      <c r="AB21" s="12">
        <f t="shared" si="5"/>
        <v>0.88461538461538458</v>
      </c>
      <c r="AC21" s="12">
        <f t="shared" si="6"/>
        <v>1.1832061068702291</v>
      </c>
      <c r="AD21" s="12">
        <f t="shared" si="7"/>
        <v>1.080536912751678</v>
      </c>
      <c r="AE21" s="12">
        <f t="shared" si="8"/>
        <v>1.0516129032258064</v>
      </c>
      <c r="AF21" s="19">
        <f t="shared" si="9"/>
        <v>1.1462450592885376</v>
      </c>
      <c r="AG21" s="18">
        <f t="shared" si="10"/>
        <v>0.93548387096774188</v>
      </c>
      <c r="AH21" s="12">
        <f t="shared" si="11"/>
        <v>0.89189189189189189</v>
      </c>
      <c r="AI21" s="12">
        <f t="shared" si="12"/>
        <v>0.875</v>
      </c>
      <c r="AJ21" s="12">
        <f t="shared" si="13"/>
        <v>1.2</v>
      </c>
      <c r="AK21" s="12">
        <f t="shared" si="14"/>
        <v>0.12206572769953052</v>
      </c>
      <c r="AL21" s="12">
        <f t="shared" si="15"/>
        <v>1.0871369294605808</v>
      </c>
      <c r="AM21" s="12">
        <f t="shared" si="16"/>
        <v>1.0588235294117647</v>
      </c>
      <c r="AN21" s="19">
        <f t="shared" si="17"/>
        <v>1.1971830985915493</v>
      </c>
    </row>
    <row r="22" spans="2:40" ht="15" customHeight="1">
      <c r="B22" s="93"/>
      <c r="C22" s="96"/>
      <c r="D22" s="5">
        <v>0.75</v>
      </c>
      <c r="E22" s="27">
        <v>34</v>
      </c>
      <c r="F22" s="28">
        <v>40</v>
      </c>
      <c r="G22" s="28">
        <v>36</v>
      </c>
      <c r="H22" s="28">
        <v>145</v>
      </c>
      <c r="I22" s="28">
        <v>310</v>
      </c>
      <c r="J22" s="28">
        <v>612</v>
      </c>
      <c r="K22" s="28">
        <v>1240</v>
      </c>
      <c r="L22" s="29">
        <v>4640</v>
      </c>
      <c r="M22" s="27">
        <v>31</v>
      </c>
      <c r="N22" s="28">
        <v>39</v>
      </c>
      <c r="O22" s="28">
        <v>30</v>
      </c>
      <c r="P22" s="28">
        <v>129</v>
      </c>
      <c r="Q22" s="28">
        <v>266</v>
      </c>
      <c r="R22" s="28">
        <v>532</v>
      </c>
      <c r="S22" s="28">
        <v>1064</v>
      </c>
      <c r="T22" s="29">
        <v>4016</v>
      </c>
      <c r="V22" s="87"/>
      <c r="W22" s="96"/>
      <c r="X22" s="5">
        <v>0.75</v>
      </c>
      <c r="Y22" s="18">
        <f t="shared" si="2"/>
        <v>0.47058823529411764</v>
      </c>
      <c r="Z22" s="12">
        <f t="shared" si="3"/>
        <v>0.45</v>
      </c>
      <c r="AA22" s="12">
        <f t="shared" si="4"/>
        <v>0.55555555555555558</v>
      </c>
      <c r="AB22" s="12">
        <f t="shared" si="5"/>
        <v>1.1655172413793105</v>
      </c>
      <c r="AC22" s="12">
        <f t="shared" si="6"/>
        <v>1.0903225806451613</v>
      </c>
      <c r="AD22" s="12">
        <f t="shared" si="7"/>
        <v>1.0915032679738561</v>
      </c>
      <c r="AE22" s="12">
        <f t="shared" si="8"/>
        <v>5.9612903225806448</v>
      </c>
      <c r="AF22" s="19">
        <f t="shared" si="9"/>
        <v>1.1517241379310346</v>
      </c>
      <c r="AG22" s="18">
        <f t="shared" si="10"/>
        <v>0.967741935483871</v>
      </c>
      <c r="AH22" s="12">
        <f t="shared" si="11"/>
        <v>0.87179487179487181</v>
      </c>
      <c r="AI22" s="12">
        <f t="shared" si="12"/>
        <v>1</v>
      </c>
      <c r="AJ22" s="12">
        <f t="shared" si="13"/>
        <v>1.0775193798449612</v>
      </c>
      <c r="AK22" s="12">
        <f t="shared" si="14"/>
        <v>1.0451127819548873</v>
      </c>
      <c r="AL22" s="12">
        <f t="shared" si="15"/>
        <v>1.0300751879699248</v>
      </c>
      <c r="AM22" s="12">
        <f t="shared" si="16"/>
        <v>1.0300751879699248</v>
      </c>
      <c r="AN22" s="19">
        <f t="shared" si="17"/>
        <v>1.0916334661354581</v>
      </c>
    </row>
    <row r="23" spans="2:40" ht="15" customHeight="1" thickBot="1">
      <c r="B23" s="93"/>
      <c r="C23" s="97"/>
      <c r="D23" s="6">
        <v>1</v>
      </c>
      <c r="E23" s="30">
        <v>27</v>
      </c>
      <c r="F23" s="31">
        <v>38</v>
      </c>
      <c r="G23" s="31">
        <v>74</v>
      </c>
      <c r="H23" s="31">
        <v>145</v>
      </c>
      <c r="I23" s="31">
        <v>286</v>
      </c>
      <c r="J23" s="31">
        <v>572</v>
      </c>
      <c r="K23" s="31">
        <v>1160</v>
      </c>
      <c r="L23" s="32">
        <v>5792</v>
      </c>
      <c r="M23" s="30">
        <v>26</v>
      </c>
      <c r="N23" s="31">
        <v>35</v>
      </c>
      <c r="O23" s="31">
        <v>68</v>
      </c>
      <c r="P23" s="31">
        <v>133</v>
      </c>
      <c r="Q23" s="31">
        <v>262</v>
      </c>
      <c r="R23" s="31">
        <v>516</v>
      </c>
      <c r="S23" s="31">
        <v>1048</v>
      </c>
      <c r="T23" s="32">
        <v>5472</v>
      </c>
      <c r="V23" s="87"/>
      <c r="W23" s="97"/>
      <c r="X23" s="6">
        <v>1</v>
      </c>
      <c r="Y23" s="20">
        <f t="shared" si="2"/>
        <v>0.7407407407407407</v>
      </c>
      <c r="Z23" s="21">
        <f t="shared" si="3"/>
        <v>1.131578947368421</v>
      </c>
      <c r="AA23" s="21">
        <f t="shared" si="4"/>
        <v>1.1756756756756757</v>
      </c>
      <c r="AB23" s="21">
        <f t="shared" si="5"/>
        <v>1.2068965517241379</v>
      </c>
      <c r="AC23" s="21">
        <f t="shared" si="6"/>
        <v>1.1958041958041958</v>
      </c>
      <c r="AD23" s="21">
        <f t="shared" si="7"/>
        <v>1.1958041958041958</v>
      </c>
      <c r="AE23" s="21">
        <f t="shared" si="8"/>
        <v>1.1655172413793105</v>
      </c>
      <c r="AF23" s="22">
        <f t="shared" si="9"/>
        <v>0.91160220994475138</v>
      </c>
      <c r="AG23" s="20">
        <f t="shared" si="10"/>
        <v>0.57692307692307687</v>
      </c>
      <c r="AH23" s="21">
        <f t="shared" si="11"/>
        <v>0.65714285714285714</v>
      </c>
      <c r="AI23" s="21">
        <f t="shared" si="12"/>
        <v>0.66176470588235292</v>
      </c>
      <c r="AJ23" s="21">
        <f t="shared" si="13"/>
        <v>0.66917293233082709</v>
      </c>
      <c r="AK23" s="21">
        <f t="shared" si="14"/>
        <v>0.67557251908396942</v>
      </c>
      <c r="AL23" s="21">
        <f t="shared" si="15"/>
        <v>0.68604651162790697</v>
      </c>
      <c r="AM23" s="21">
        <f t="shared" si="16"/>
        <v>0.67557251908396942</v>
      </c>
      <c r="AN23" s="22">
        <f t="shared" si="17"/>
        <v>0.51754385964912286</v>
      </c>
    </row>
    <row r="24" spans="2:40" ht="15" customHeight="1">
      <c r="B24" s="93"/>
      <c r="C24" s="95" t="s">
        <v>8</v>
      </c>
      <c r="D24" s="7">
        <v>0.25</v>
      </c>
      <c r="E24" s="33">
        <v>3822</v>
      </c>
      <c r="F24" s="34">
        <v>7127</v>
      </c>
      <c r="G24" s="34">
        <v>12316</v>
      </c>
      <c r="H24" s="34">
        <v>19708</v>
      </c>
      <c r="I24" s="34">
        <v>29312</v>
      </c>
      <c r="J24" s="34">
        <v>34347</v>
      </c>
      <c r="K24" s="34">
        <v>34465</v>
      </c>
      <c r="L24" s="35">
        <v>34438</v>
      </c>
      <c r="M24" s="33">
        <v>3985</v>
      </c>
      <c r="N24" s="34">
        <v>7638</v>
      </c>
      <c r="O24" s="34">
        <v>13614</v>
      </c>
      <c r="P24" s="34">
        <v>22836</v>
      </c>
      <c r="Q24" s="34">
        <v>35711</v>
      </c>
      <c r="R24" s="34">
        <v>45332</v>
      </c>
      <c r="S24" s="34">
        <v>45263</v>
      </c>
      <c r="T24" s="35">
        <v>45323</v>
      </c>
      <c r="V24" s="87"/>
      <c r="W24" s="89" t="s">
        <v>8</v>
      </c>
      <c r="X24" s="4">
        <v>0.25</v>
      </c>
      <c r="Y24" s="15">
        <f t="shared" si="2"/>
        <v>1.2247514390371532</v>
      </c>
      <c r="Z24" s="16">
        <f t="shared" si="3"/>
        <v>1.2479304055002105</v>
      </c>
      <c r="AA24" s="16">
        <f t="shared" si="4"/>
        <v>1.3186099382916532</v>
      </c>
      <c r="AB24" s="16">
        <f t="shared" si="5"/>
        <v>1.3792368581286787</v>
      </c>
      <c r="AC24" s="16">
        <f t="shared" si="6"/>
        <v>1.3031864082969433</v>
      </c>
      <c r="AD24" s="16">
        <f t="shared" si="7"/>
        <v>1.2792674760532214</v>
      </c>
      <c r="AE24" s="16">
        <f t="shared" si="8"/>
        <v>1.2781082257362542</v>
      </c>
      <c r="AF24" s="17">
        <f t="shared" si="9"/>
        <v>1.2782681921133632</v>
      </c>
      <c r="AG24" s="15">
        <f t="shared" si="10"/>
        <v>1.1984943538268507</v>
      </c>
      <c r="AH24" s="16">
        <f t="shared" si="11"/>
        <v>1.1982194291699397</v>
      </c>
      <c r="AI24" s="16">
        <f t="shared" si="12"/>
        <v>1.2466578522109593</v>
      </c>
      <c r="AJ24" s="16">
        <f t="shared" si="13"/>
        <v>1.3025048169556841</v>
      </c>
      <c r="AK24" s="16">
        <f t="shared" si="14"/>
        <v>1.2863823471759401</v>
      </c>
      <c r="AL24" s="16">
        <f t="shared" si="15"/>
        <v>1.308700255889879</v>
      </c>
      <c r="AM24" s="16">
        <f t="shared" si="16"/>
        <v>1.3188255307867354</v>
      </c>
      <c r="AN24" s="17">
        <f t="shared" si="17"/>
        <v>1.3212055689164441</v>
      </c>
    </row>
    <row r="25" spans="2:40" ht="15" customHeight="1">
      <c r="B25" s="93"/>
      <c r="C25" s="96"/>
      <c r="D25" s="5">
        <v>0.5</v>
      </c>
      <c r="E25" s="27">
        <v>9192</v>
      </c>
      <c r="F25" s="28">
        <v>16131</v>
      </c>
      <c r="G25" s="28">
        <v>25936</v>
      </c>
      <c r="H25" s="28">
        <v>38867</v>
      </c>
      <c r="I25" s="28">
        <v>45226</v>
      </c>
      <c r="J25" s="28">
        <v>45458</v>
      </c>
      <c r="K25" s="28">
        <v>45883</v>
      </c>
      <c r="L25" s="29">
        <v>46022</v>
      </c>
      <c r="M25" s="27">
        <v>9949</v>
      </c>
      <c r="N25" s="28">
        <v>18180</v>
      </c>
      <c r="O25" s="28">
        <v>30401</v>
      </c>
      <c r="P25" s="28">
        <v>48300</v>
      </c>
      <c r="Q25" s="28">
        <v>56349</v>
      </c>
      <c r="R25" s="28">
        <v>56553</v>
      </c>
      <c r="S25" s="28">
        <v>56477</v>
      </c>
      <c r="T25" s="29">
        <v>56441</v>
      </c>
      <c r="V25" s="87"/>
      <c r="W25" s="90"/>
      <c r="X25" s="5">
        <v>0.5</v>
      </c>
      <c r="Y25" s="18">
        <f t="shared" si="2"/>
        <v>1.3046127067014794</v>
      </c>
      <c r="Z25" s="12">
        <f t="shared" si="3"/>
        <v>1.3683590601946563</v>
      </c>
      <c r="AA25" s="12">
        <f t="shared" si="4"/>
        <v>1.4410086366440469</v>
      </c>
      <c r="AB25" s="12">
        <f t="shared" si="5"/>
        <v>1.408161164998585</v>
      </c>
      <c r="AC25" s="12">
        <f t="shared" si="6"/>
        <v>1.4045239464025119</v>
      </c>
      <c r="AD25" s="12">
        <f t="shared" si="7"/>
        <v>1.3992476571780545</v>
      </c>
      <c r="AE25" s="12">
        <f t="shared" si="8"/>
        <v>1.3849573916265283</v>
      </c>
      <c r="AF25" s="19">
        <f t="shared" si="9"/>
        <v>1.380948242145061</v>
      </c>
      <c r="AG25" s="18">
        <f t="shared" si="10"/>
        <v>1.2338928535531208</v>
      </c>
      <c r="AH25" s="12">
        <f t="shared" si="11"/>
        <v>1.2523652365236524</v>
      </c>
      <c r="AI25" s="12">
        <f t="shared" si="12"/>
        <v>1.3080819709877964</v>
      </c>
      <c r="AJ25" s="12">
        <f t="shared" si="13"/>
        <v>1.2804554865424431</v>
      </c>
      <c r="AK25" s="12">
        <f t="shared" si="14"/>
        <v>1.4454559974444976</v>
      </c>
      <c r="AL25" s="12">
        <f t="shared" si="15"/>
        <v>1.4322140293176313</v>
      </c>
      <c r="AM25" s="12">
        <f t="shared" si="16"/>
        <v>1.4387449758308692</v>
      </c>
      <c r="AN25" s="19">
        <f t="shared" si="17"/>
        <v>1.4341524778086852</v>
      </c>
    </row>
    <row r="26" spans="2:40" ht="15" customHeight="1">
      <c r="B26" s="93"/>
      <c r="C26" s="96"/>
      <c r="D26" s="5">
        <v>0.75</v>
      </c>
      <c r="E26" s="27">
        <v>18582</v>
      </c>
      <c r="F26" s="28">
        <v>31456</v>
      </c>
      <c r="G26" s="28">
        <v>48270</v>
      </c>
      <c r="H26" s="28">
        <v>52244</v>
      </c>
      <c r="I26" s="28">
        <v>52317</v>
      </c>
      <c r="J26" s="28">
        <v>52400</v>
      </c>
      <c r="K26" s="28">
        <v>52664</v>
      </c>
      <c r="L26" s="29">
        <v>52705</v>
      </c>
      <c r="M26" s="27">
        <v>20728</v>
      </c>
      <c r="N26" s="28">
        <v>36562</v>
      </c>
      <c r="O26" s="28">
        <v>59192</v>
      </c>
      <c r="P26" s="28">
        <v>61694</v>
      </c>
      <c r="Q26" s="28">
        <v>61784</v>
      </c>
      <c r="R26" s="28">
        <v>61830</v>
      </c>
      <c r="S26" s="28">
        <v>61931</v>
      </c>
      <c r="T26" s="29">
        <v>61889</v>
      </c>
      <c r="V26" s="87"/>
      <c r="W26" s="90"/>
      <c r="X26" s="5">
        <v>0.75</v>
      </c>
      <c r="Y26" s="18">
        <f t="shared" si="2"/>
        <v>1.4048003444193304</v>
      </c>
      <c r="Z26" s="12">
        <f t="shared" si="3"/>
        <v>1.4321274160732451</v>
      </c>
      <c r="AA26" s="12">
        <f t="shared" si="4"/>
        <v>1.4395898073337476</v>
      </c>
      <c r="AB26" s="12">
        <f t="shared" si="5"/>
        <v>1.4962100911109411</v>
      </c>
      <c r="AC26" s="12">
        <f t="shared" si="6"/>
        <v>1.4962249364451325</v>
      </c>
      <c r="AD26" s="12">
        <f t="shared" si="7"/>
        <v>1.4931106870229007</v>
      </c>
      <c r="AE26" s="12">
        <f t="shared" si="8"/>
        <v>1.4301040559015645</v>
      </c>
      <c r="AF26" s="19">
        <f t="shared" si="9"/>
        <v>1.4611137463238781</v>
      </c>
      <c r="AG26" s="18">
        <f t="shared" si="10"/>
        <v>1.280924353531455</v>
      </c>
      <c r="AH26" s="12">
        <f t="shared" si="11"/>
        <v>1.2778841420053608</v>
      </c>
      <c r="AI26" s="12">
        <f t="shared" si="12"/>
        <v>1.2395762940937964</v>
      </c>
      <c r="AJ26" s="12">
        <f t="shared" si="13"/>
        <v>1.558190423704088</v>
      </c>
      <c r="AK26" s="12">
        <f t="shared" si="14"/>
        <v>1.5509193318658552</v>
      </c>
      <c r="AL26" s="12">
        <f t="shared" si="15"/>
        <v>1.5526281740255539</v>
      </c>
      <c r="AM26" s="12">
        <f t="shared" si="16"/>
        <v>1.5486589914582358</v>
      </c>
      <c r="AN26" s="19">
        <f t="shared" si="17"/>
        <v>1.5431498327651116</v>
      </c>
    </row>
    <row r="27" spans="2:40" ht="15" customHeight="1" thickBot="1">
      <c r="B27" s="94"/>
      <c r="C27" s="97"/>
      <c r="D27" s="6">
        <v>1</v>
      </c>
      <c r="E27" s="30">
        <v>58127</v>
      </c>
      <c r="F27" s="31">
        <v>58151</v>
      </c>
      <c r="G27" s="31">
        <v>58139</v>
      </c>
      <c r="H27" s="31">
        <v>58137</v>
      </c>
      <c r="I27" s="31">
        <v>58133</v>
      </c>
      <c r="J27" s="31">
        <v>58142</v>
      </c>
      <c r="K27" s="31">
        <v>58132</v>
      </c>
      <c r="L27" s="32">
        <v>58128</v>
      </c>
      <c r="M27" s="30">
        <v>63542</v>
      </c>
      <c r="N27" s="31">
        <v>63550</v>
      </c>
      <c r="O27" s="31">
        <v>63501</v>
      </c>
      <c r="P27" s="31">
        <v>63504</v>
      </c>
      <c r="Q27" s="31">
        <v>63514</v>
      </c>
      <c r="R27" s="31">
        <v>63518</v>
      </c>
      <c r="S27" s="31">
        <v>63513</v>
      </c>
      <c r="T27" s="32">
        <v>63533</v>
      </c>
      <c r="V27" s="88"/>
      <c r="W27" s="91"/>
      <c r="X27" s="6">
        <v>1</v>
      </c>
      <c r="Y27" s="20">
        <f t="shared" si="2"/>
        <v>1.5011956577838181</v>
      </c>
      <c r="Z27" s="21">
        <f t="shared" si="3"/>
        <v>1.5554848583859262</v>
      </c>
      <c r="AA27" s="21">
        <f t="shared" si="4"/>
        <v>1.5569411238583395</v>
      </c>
      <c r="AB27" s="21">
        <f t="shared" si="5"/>
        <v>1.5562722534702513</v>
      </c>
      <c r="AC27" s="21">
        <f t="shared" si="6"/>
        <v>1.5556568558305954</v>
      </c>
      <c r="AD27" s="21">
        <f t="shared" si="7"/>
        <v>1.5567919920195383</v>
      </c>
      <c r="AE27" s="21">
        <f t="shared" si="8"/>
        <v>1.5555287965320306</v>
      </c>
      <c r="AF27" s="22">
        <f t="shared" si="9"/>
        <v>1.5569088907239197</v>
      </c>
      <c r="AG27" s="20">
        <f t="shared" si="10"/>
        <v>1.378521293003053</v>
      </c>
      <c r="AH27" s="21">
        <f t="shared" si="11"/>
        <v>1.4301494885916601</v>
      </c>
      <c r="AI27" s="21">
        <f t="shared" si="12"/>
        <v>1.431253051133053</v>
      </c>
      <c r="AJ27" s="21">
        <f t="shared" si="13"/>
        <v>1.4311854371378181</v>
      </c>
      <c r="AK27" s="21">
        <f t="shared" si="14"/>
        <v>1.4309601032843153</v>
      </c>
      <c r="AL27" s="21">
        <f t="shared" si="15"/>
        <v>1.4308699896092447</v>
      </c>
      <c r="AM27" s="21">
        <f t="shared" si="16"/>
        <v>1.4309826334766111</v>
      </c>
      <c r="AN27" s="22">
        <f t="shared" si="17"/>
        <v>1.4305321643870115</v>
      </c>
    </row>
    <row r="28" spans="2:40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2:40" ht="15" customHeight="1" thickBot="1">
      <c r="B29" s="112" t="s">
        <v>61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5"/>
      <c r="M29" s="83" t="s">
        <v>24</v>
      </c>
      <c r="N29" s="84"/>
      <c r="O29" s="84"/>
      <c r="P29" s="84"/>
      <c r="Q29" s="84"/>
      <c r="R29" s="84"/>
      <c r="S29" s="84"/>
      <c r="T29" s="85"/>
      <c r="V29" s="13" t="s">
        <v>20</v>
      </c>
      <c r="W29" s="14">
        <f>(COUNTIF(Y4:AN11,"&lt;1.1")+COUNTIF(Y16:AN23,"&lt;1.1"))/(COUNT(Y4:AN11)+COUNT(Y16:AN23))</f>
        <v>0.80859375</v>
      </c>
      <c r="X29" s="109" t="s">
        <v>19</v>
      </c>
      <c r="Y29" s="110"/>
      <c r="Z29" s="110"/>
      <c r="AA29" s="110"/>
      <c r="AB29" s="111"/>
    </row>
    <row r="30" spans="2:40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3" t="s">
        <v>17</v>
      </c>
      <c r="M30" s="1" t="s">
        <v>0</v>
      </c>
      <c r="N30" s="2" t="s">
        <v>1</v>
      </c>
      <c r="O30" s="2" t="s">
        <v>2</v>
      </c>
      <c r="P30" s="2" t="s">
        <v>3</v>
      </c>
      <c r="Q30" s="2" t="s">
        <v>4</v>
      </c>
      <c r="R30" s="2" t="s">
        <v>18</v>
      </c>
      <c r="S30" s="2" t="s">
        <v>16</v>
      </c>
      <c r="T30" s="3" t="s">
        <v>17</v>
      </c>
      <c r="V30" s="13" t="s">
        <v>21</v>
      </c>
      <c r="W30" s="23">
        <f>(COUNTIF(Y4:AN11,"&lt;1.1"))/(COUNT(Y4:AN11))</f>
        <v>1</v>
      </c>
      <c r="X30" s="109" t="s">
        <v>19</v>
      </c>
      <c r="Y30" s="110"/>
      <c r="Z30" s="110"/>
      <c r="AA30" s="110"/>
      <c r="AB30" s="111"/>
    </row>
    <row r="31" spans="2:40" ht="15" customHeight="1" thickBot="1">
      <c r="B31" s="92" t="s">
        <v>5</v>
      </c>
      <c r="C31" s="98" t="s">
        <v>6</v>
      </c>
      <c r="D31" s="4">
        <v>0.25</v>
      </c>
      <c r="E31" s="36">
        <v>266</v>
      </c>
      <c r="F31" s="37">
        <v>314</v>
      </c>
      <c r="G31" s="37">
        <v>382</v>
      </c>
      <c r="H31" s="37">
        <v>426</v>
      </c>
      <c r="I31" s="37">
        <v>466</v>
      </c>
      <c r="J31" s="37">
        <v>524</v>
      </c>
      <c r="K31" s="37">
        <v>572</v>
      </c>
      <c r="L31" s="38">
        <v>442</v>
      </c>
      <c r="M31" s="36">
        <v>330</v>
      </c>
      <c r="N31" s="37">
        <v>398</v>
      </c>
      <c r="O31" s="37">
        <v>494</v>
      </c>
      <c r="P31" s="37">
        <v>564</v>
      </c>
      <c r="Q31" s="37">
        <v>612</v>
      </c>
      <c r="R31" s="37">
        <v>660</v>
      </c>
      <c r="S31" s="37">
        <v>676</v>
      </c>
      <c r="T31" s="38">
        <v>628</v>
      </c>
      <c r="V31" s="13" t="s">
        <v>22</v>
      </c>
      <c r="W31" s="23">
        <f>COUNTIF(Y16:AN23,"&lt;1.1")/+COUNT(Y16:AN23)</f>
        <v>0.6171875</v>
      </c>
      <c r="X31" s="109" t="s">
        <v>19</v>
      </c>
      <c r="Y31" s="110"/>
      <c r="Z31" s="110"/>
      <c r="AA31" s="110"/>
      <c r="AB31" s="111"/>
    </row>
    <row r="32" spans="2:40" ht="15" customHeight="1">
      <c r="B32" s="93"/>
      <c r="C32" s="96"/>
      <c r="D32" s="5">
        <v>0.5</v>
      </c>
      <c r="E32" s="39">
        <v>213</v>
      </c>
      <c r="F32" s="40">
        <v>258</v>
      </c>
      <c r="G32" s="40">
        <v>310</v>
      </c>
      <c r="H32" s="40">
        <v>378</v>
      </c>
      <c r="I32" s="40">
        <v>470</v>
      </c>
      <c r="J32" s="40">
        <v>636</v>
      </c>
      <c r="K32" s="40">
        <v>956</v>
      </c>
      <c r="L32" s="41">
        <v>2704</v>
      </c>
      <c r="M32" s="39">
        <v>211</v>
      </c>
      <c r="N32" s="40">
        <v>302</v>
      </c>
      <c r="O32" s="40">
        <v>366</v>
      </c>
      <c r="P32" s="40">
        <v>462</v>
      </c>
      <c r="Q32" s="40">
        <v>564</v>
      </c>
      <c r="R32" s="40">
        <v>796</v>
      </c>
      <c r="S32" s="40">
        <v>1064</v>
      </c>
      <c r="T32" s="41">
        <v>812</v>
      </c>
    </row>
    <row r="33" spans="2:20" ht="15" customHeight="1">
      <c r="B33" s="93"/>
      <c r="C33" s="96"/>
      <c r="D33" s="5">
        <v>0.75</v>
      </c>
      <c r="E33" s="39">
        <v>124</v>
      </c>
      <c r="F33" s="40">
        <v>197</v>
      </c>
      <c r="G33" s="40">
        <v>258</v>
      </c>
      <c r="H33" s="40">
        <v>314</v>
      </c>
      <c r="I33" s="40">
        <v>398</v>
      </c>
      <c r="J33" s="40">
        <v>532</v>
      </c>
      <c r="K33" s="40">
        <v>804</v>
      </c>
      <c r="L33" s="41">
        <v>2352</v>
      </c>
      <c r="M33" s="39">
        <v>111</v>
      </c>
      <c r="N33" s="40">
        <v>177</v>
      </c>
      <c r="O33" s="40">
        <v>270</v>
      </c>
      <c r="P33" s="40">
        <v>346</v>
      </c>
      <c r="Q33" s="40">
        <v>446</v>
      </c>
      <c r="R33" s="40">
        <v>588</v>
      </c>
      <c r="S33" s="40">
        <v>836</v>
      </c>
      <c r="T33" s="41">
        <v>2128</v>
      </c>
    </row>
    <row r="34" spans="2:20" ht="15" customHeight="1" thickBot="1">
      <c r="B34" s="93"/>
      <c r="C34" s="97"/>
      <c r="D34" s="6">
        <v>1</v>
      </c>
      <c r="E34" s="42">
        <v>69</v>
      </c>
      <c r="F34" s="43">
        <v>89</v>
      </c>
      <c r="G34" s="43">
        <v>106</v>
      </c>
      <c r="H34" s="43">
        <v>121</v>
      </c>
      <c r="I34" s="43">
        <v>159</v>
      </c>
      <c r="J34" s="43">
        <v>241</v>
      </c>
      <c r="K34" s="43">
        <v>442</v>
      </c>
      <c r="L34" s="44">
        <v>1080</v>
      </c>
      <c r="M34" s="42">
        <v>68</v>
      </c>
      <c r="N34" s="43">
        <v>72</v>
      </c>
      <c r="O34" s="43">
        <v>97</v>
      </c>
      <c r="P34" s="43">
        <v>108</v>
      </c>
      <c r="Q34" s="43">
        <v>125</v>
      </c>
      <c r="R34" s="43">
        <v>165</v>
      </c>
      <c r="S34" s="43">
        <v>241</v>
      </c>
      <c r="T34" s="44">
        <v>596</v>
      </c>
    </row>
    <row r="35" spans="2:20" ht="15" customHeight="1">
      <c r="B35" s="93"/>
      <c r="C35" s="98" t="s">
        <v>7</v>
      </c>
      <c r="D35" s="4">
        <v>0.25</v>
      </c>
      <c r="E35" s="36">
        <v>564</v>
      </c>
      <c r="F35" s="37">
        <v>852</v>
      </c>
      <c r="G35" s="37">
        <v>884</v>
      </c>
      <c r="H35" s="37">
        <v>924</v>
      </c>
      <c r="I35" s="37">
        <v>948</v>
      </c>
      <c r="J35" s="37">
        <v>988</v>
      </c>
      <c r="K35" s="37">
        <v>1112</v>
      </c>
      <c r="L35" s="38">
        <v>972</v>
      </c>
      <c r="M35" s="36">
        <v>740</v>
      </c>
      <c r="N35" s="37">
        <v>820</v>
      </c>
      <c r="O35" s="37">
        <v>892</v>
      </c>
      <c r="P35" s="37">
        <v>956</v>
      </c>
      <c r="Q35" s="37">
        <v>1012</v>
      </c>
      <c r="R35" s="37">
        <v>1096</v>
      </c>
      <c r="S35" s="37">
        <v>1208</v>
      </c>
      <c r="T35" s="38">
        <v>1032</v>
      </c>
    </row>
    <row r="36" spans="2:20" ht="15" customHeight="1">
      <c r="B36" s="93"/>
      <c r="C36" s="96"/>
      <c r="D36" s="5">
        <v>0.5</v>
      </c>
      <c r="E36" s="39">
        <v>540</v>
      </c>
      <c r="F36" s="40">
        <v>556</v>
      </c>
      <c r="G36" s="40">
        <v>844</v>
      </c>
      <c r="H36" s="40">
        <v>884</v>
      </c>
      <c r="I36" s="40">
        <v>940</v>
      </c>
      <c r="J36" s="40">
        <v>1096</v>
      </c>
      <c r="K36" s="40">
        <v>1400</v>
      </c>
      <c r="L36" s="41">
        <v>3984</v>
      </c>
      <c r="M36" s="39">
        <v>732</v>
      </c>
      <c r="N36" s="40">
        <v>732</v>
      </c>
      <c r="O36" s="40">
        <v>796</v>
      </c>
      <c r="P36" s="40">
        <v>884</v>
      </c>
      <c r="Q36" s="40">
        <v>972</v>
      </c>
      <c r="R36" s="40">
        <v>1224</v>
      </c>
      <c r="S36" s="40">
        <v>1560</v>
      </c>
      <c r="T36" s="41">
        <v>3408</v>
      </c>
    </row>
    <row r="37" spans="2:20" ht="15" customHeight="1">
      <c r="B37" s="93"/>
      <c r="C37" s="96"/>
      <c r="D37" s="5">
        <v>0.75</v>
      </c>
      <c r="E37" s="39">
        <v>490</v>
      </c>
      <c r="F37" s="40">
        <v>532</v>
      </c>
      <c r="G37" s="40">
        <v>556</v>
      </c>
      <c r="H37" s="40">
        <v>740</v>
      </c>
      <c r="I37" s="40">
        <v>884</v>
      </c>
      <c r="J37" s="40">
        <v>988</v>
      </c>
      <c r="K37" s="40">
        <v>1320</v>
      </c>
      <c r="L37" s="41">
        <v>3120</v>
      </c>
      <c r="M37" s="39">
        <v>652</v>
      </c>
      <c r="N37" s="40">
        <v>708</v>
      </c>
      <c r="O37" s="40">
        <v>740</v>
      </c>
      <c r="P37" s="40">
        <v>772</v>
      </c>
      <c r="Q37" s="40">
        <v>884</v>
      </c>
      <c r="R37" s="40">
        <v>1064</v>
      </c>
      <c r="S37" s="40">
        <v>1368</v>
      </c>
      <c r="T37" s="41">
        <v>2736</v>
      </c>
    </row>
    <row r="38" spans="2:20" ht="15" customHeight="1" thickBot="1">
      <c r="B38" s="93"/>
      <c r="C38" s="97"/>
      <c r="D38" s="6">
        <v>1</v>
      </c>
      <c r="E38" s="42">
        <v>90</v>
      </c>
      <c r="F38" s="43">
        <v>120</v>
      </c>
      <c r="G38" s="43">
        <v>153</v>
      </c>
      <c r="H38" s="43">
        <v>191</v>
      </c>
      <c r="I38" s="43">
        <v>266</v>
      </c>
      <c r="J38" s="43">
        <v>426</v>
      </c>
      <c r="K38" s="43">
        <v>796</v>
      </c>
      <c r="L38" s="44">
        <v>1848</v>
      </c>
      <c r="M38" s="42">
        <v>73</v>
      </c>
      <c r="N38" s="43">
        <v>117</v>
      </c>
      <c r="O38" s="43">
        <v>139</v>
      </c>
      <c r="P38" s="43">
        <v>161</v>
      </c>
      <c r="Q38" s="43">
        <v>203</v>
      </c>
      <c r="R38" s="43">
        <v>282</v>
      </c>
      <c r="S38" s="43">
        <v>422</v>
      </c>
      <c r="T38" s="44">
        <v>780</v>
      </c>
    </row>
    <row r="39" spans="2:20" ht="15" customHeight="1">
      <c r="B39" s="93"/>
      <c r="C39" s="98" t="s">
        <v>8</v>
      </c>
      <c r="D39" s="4">
        <v>0.25</v>
      </c>
      <c r="E39" s="36">
        <v>8689</v>
      </c>
      <c r="F39" s="37">
        <v>15012</v>
      </c>
      <c r="G39" s="37">
        <v>23152</v>
      </c>
      <c r="H39" s="37">
        <v>26045</v>
      </c>
      <c r="I39" s="37">
        <v>26102</v>
      </c>
      <c r="J39" s="37">
        <v>26082</v>
      </c>
      <c r="K39" s="37">
        <v>25113</v>
      </c>
      <c r="L39" s="38">
        <v>25664</v>
      </c>
      <c r="M39" s="36">
        <v>8853</v>
      </c>
      <c r="N39" s="37">
        <v>15576</v>
      </c>
      <c r="O39" s="37">
        <v>24463</v>
      </c>
      <c r="P39" s="37">
        <v>32028</v>
      </c>
      <c r="Q39" s="37">
        <v>31952</v>
      </c>
      <c r="R39" s="37">
        <v>31986</v>
      </c>
      <c r="S39" s="37">
        <v>31961</v>
      </c>
      <c r="T39" s="38">
        <v>31831</v>
      </c>
    </row>
    <row r="40" spans="2:20" ht="15" customHeight="1">
      <c r="B40" s="93"/>
      <c r="C40" s="96"/>
      <c r="D40" s="5">
        <v>0.5</v>
      </c>
      <c r="E40" s="39">
        <v>11997</v>
      </c>
      <c r="F40" s="40">
        <v>22078</v>
      </c>
      <c r="G40" s="40">
        <v>37366</v>
      </c>
      <c r="H40" s="40">
        <v>54730</v>
      </c>
      <c r="I40" s="40">
        <v>63506</v>
      </c>
      <c r="J40" s="40">
        <v>63607</v>
      </c>
      <c r="K40" s="40">
        <v>63567</v>
      </c>
      <c r="L40" s="41">
        <v>63558</v>
      </c>
      <c r="M40" s="39">
        <v>12279</v>
      </c>
      <c r="N40" s="40">
        <v>22782</v>
      </c>
      <c r="O40" s="40">
        <v>39779</v>
      </c>
      <c r="P40" s="40">
        <v>61865</v>
      </c>
      <c r="Q40" s="40">
        <v>81453</v>
      </c>
      <c r="R40" s="40">
        <v>80981</v>
      </c>
      <c r="S40" s="40">
        <v>81314</v>
      </c>
      <c r="T40" s="41">
        <v>80953</v>
      </c>
    </row>
    <row r="41" spans="2:20" ht="15" customHeight="1">
      <c r="B41" s="93"/>
      <c r="C41" s="96"/>
      <c r="D41" s="5">
        <v>0.75</v>
      </c>
      <c r="E41" s="39">
        <v>14025</v>
      </c>
      <c r="F41" s="40">
        <v>26683</v>
      </c>
      <c r="G41" s="40">
        <v>48692</v>
      </c>
      <c r="H41" s="40">
        <v>81536</v>
      </c>
      <c r="I41" s="40">
        <v>114601</v>
      </c>
      <c r="J41" s="40">
        <v>131760</v>
      </c>
      <c r="K41" s="40">
        <v>132163</v>
      </c>
      <c r="L41" s="41">
        <v>132012</v>
      </c>
      <c r="M41" s="39">
        <v>14318</v>
      </c>
      <c r="N41" s="40">
        <v>27451</v>
      </c>
      <c r="O41" s="40">
        <v>50887</v>
      </c>
      <c r="P41" s="40">
        <v>89205</v>
      </c>
      <c r="Q41" s="40">
        <v>137795</v>
      </c>
      <c r="R41" s="40">
        <v>177968</v>
      </c>
      <c r="S41" s="40">
        <v>179087</v>
      </c>
      <c r="T41" s="41">
        <v>179616</v>
      </c>
    </row>
    <row r="42" spans="2:20" ht="15" customHeight="1" thickBot="1">
      <c r="B42" s="94"/>
      <c r="C42" s="97"/>
      <c r="D42" s="6">
        <v>1</v>
      </c>
      <c r="E42" s="42">
        <v>16013</v>
      </c>
      <c r="F42" s="43">
        <v>31641</v>
      </c>
      <c r="G42" s="43">
        <v>61506</v>
      </c>
      <c r="H42" s="43">
        <v>116538</v>
      </c>
      <c r="I42" s="43">
        <v>209256</v>
      </c>
      <c r="J42" s="43">
        <v>337607</v>
      </c>
      <c r="K42" s="43">
        <v>459983</v>
      </c>
      <c r="L42" s="44">
        <v>523935</v>
      </c>
      <c r="M42" s="42">
        <v>16057</v>
      </c>
      <c r="N42" s="43">
        <v>31877</v>
      </c>
      <c r="O42" s="43">
        <v>62612</v>
      </c>
      <c r="P42" s="43">
        <v>120919</v>
      </c>
      <c r="Q42" s="43">
        <v>226241</v>
      </c>
      <c r="R42" s="43">
        <v>395562</v>
      </c>
      <c r="S42" s="43">
        <v>541283</v>
      </c>
      <c r="T42" s="44">
        <v>541859</v>
      </c>
    </row>
    <row r="43" spans="2:20" ht="15" customHeight="1">
      <c r="B43" s="83" t="s">
        <v>9</v>
      </c>
      <c r="C43" s="98" t="s">
        <v>6</v>
      </c>
      <c r="D43" s="4">
        <v>0.25</v>
      </c>
      <c r="E43" s="36">
        <v>11</v>
      </c>
      <c r="F43" s="37">
        <v>13</v>
      </c>
      <c r="G43" s="37">
        <v>15</v>
      </c>
      <c r="H43" s="37">
        <v>17</v>
      </c>
      <c r="I43" s="37">
        <v>19</v>
      </c>
      <c r="J43" s="37">
        <v>20</v>
      </c>
      <c r="K43" s="37">
        <v>20</v>
      </c>
      <c r="L43" s="38">
        <v>22</v>
      </c>
      <c r="M43" s="36">
        <v>11</v>
      </c>
      <c r="N43" s="37">
        <v>13</v>
      </c>
      <c r="O43" s="37">
        <v>15</v>
      </c>
      <c r="P43" s="37">
        <v>17</v>
      </c>
      <c r="Q43" s="37">
        <v>21</v>
      </c>
      <c r="R43" s="37">
        <v>24</v>
      </c>
      <c r="S43" s="37">
        <v>22</v>
      </c>
      <c r="T43" s="38">
        <v>24</v>
      </c>
    </row>
    <row r="44" spans="2:20" ht="15" customHeight="1">
      <c r="B44" s="93"/>
      <c r="C44" s="96"/>
      <c r="D44" s="5">
        <v>0.5</v>
      </c>
      <c r="E44" s="39">
        <v>11</v>
      </c>
      <c r="F44" s="40">
        <v>13</v>
      </c>
      <c r="G44" s="40">
        <v>15</v>
      </c>
      <c r="H44" s="40">
        <v>17</v>
      </c>
      <c r="I44" s="40">
        <v>235</v>
      </c>
      <c r="J44" s="40">
        <v>572</v>
      </c>
      <c r="K44" s="40">
        <v>1224</v>
      </c>
      <c r="L44" s="41">
        <v>4576</v>
      </c>
      <c r="M44" s="39">
        <v>12</v>
      </c>
      <c r="N44" s="40">
        <v>13</v>
      </c>
      <c r="O44" s="40">
        <v>15</v>
      </c>
      <c r="P44" s="40">
        <v>18</v>
      </c>
      <c r="Q44" s="40">
        <v>20</v>
      </c>
      <c r="R44" s="40">
        <v>450</v>
      </c>
      <c r="S44" s="40">
        <v>1012</v>
      </c>
      <c r="T44" s="41">
        <v>3376</v>
      </c>
    </row>
    <row r="45" spans="2:20" ht="15" customHeight="1">
      <c r="B45" s="93"/>
      <c r="C45" s="96"/>
      <c r="D45" s="5">
        <v>0.75</v>
      </c>
      <c r="E45" s="39">
        <v>11</v>
      </c>
      <c r="F45" s="40">
        <v>13</v>
      </c>
      <c r="G45" s="40">
        <v>15</v>
      </c>
      <c r="H45" s="40">
        <v>165</v>
      </c>
      <c r="I45" s="40">
        <v>330</v>
      </c>
      <c r="J45" s="40">
        <v>668</v>
      </c>
      <c r="K45" s="40">
        <v>1336</v>
      </c>
      <c r="L45" s="41">
        <v>5280</v>
      </c>
      <c r="M45" s="39">
        <v>13</v>
      </c>
      <c r="N45" s="40">
        <v>14</v>
      </c>
      <c r="O45" s="40">
        <v>15</v>
      </c>
      <c r="P45" s="40">
        <v>119</v>
      </c>
      <c r="Q45" s="40">
        <v>270</v>
      </c>
      <c r="R45" s="40">
        <v>548</v>
      </c>
      <c r="S45" s="40">
        <v>1080</v>
      </c>
      <c r="T45" s="41">
        <v>4192</v>
      </c>
    </row>
    <row r="46" spans="2:20" ht="15" customHeight="1" thickBot="1">
      <c r="B46" s="93"/>
      <c r="C46" s="97"/>
      <c r="D46" s="6">
        <v>1</v>
      </c>
      <c r="E46" s="42">
        <v>12</v>
      </c>
      <c r="F46" s="43">
        <v>41</v>
      </c>
      <c r="G46" s="43">
        <v>82</v>
      </c>
      <c r="H46" s="43">
        <v>165</v>
      </c>
      <c r="I46" s="43">
        <v>334</v>
      </c>
      <c r="J46" s="43">
        <v>668</v>
      </c>
      <c r="K46" s="43">
        <v>1336</v>
      </c>
      <c r="L46" s="44">
        <v>4256</v>
      </c>
      <c r="M46" s="42">
        <v>11</v>
      </c>
      <c r="N46" s="43">
        <v>21</v>
      </c>
      <c r="O46" s="43">
        <v>43</v>
      </c>
      <c r="P46" s="43">
        <v>87</v>
      </c>
      <c r="Q46" s="43">
        <v>175</v>
      </c>
      <c r="R46" s="43">
        <v>350</v>
      </c>
      <c r="S46" s="43">
        <v>700</v>
      </c>
      <c r="T46" s="44">
        <v>2832</v>
      </c>
    </row>
    <row r="47" spans="2:20" ht="15" customHeight="1">
      <c r="B47" s="93"/>
      <c r="C47" s="98" t="s">
        <v>7</v>
      </c>
      <c r="D47" s="4">
        <v>0.25</v>
      </c>
      <c r="E47" s="36">
        <v>16</v>
      </c>
      <c r="F47" s="37">
        <v>17</v>
      </c>
      <c r="G47" s="37">
        <v>19</v>
      </c>
      <c r="H47" s="37">
        <v>22</v>
      </c>
      <c r="I47" s="37">
        <v>26</v>
      </c>
      <c r="J47" s="37">
        <v>27</v>
      </c>
      <c r="K47" s="37">
        <v>28</v>
      </c>
      <c r="L47" s="38">
        <v>34</v>
      </c>
      <c r="M47" s="36">
        <v>27</v>
      </c>
      <c r="N47" s="37">
        <v>30</v>
      </c>
      <c r="O47" s="37">
        <v>27</v>
      </c>
      <c r="P47" s="37">
        <v>23</v>
      </c>
      <c r="Q47" s="37">
        <v>28</v>
      </c>
      <c r="R47" s="37">
        <v>36</v>
      </c>
      <c r="S47" s="37">
        <v>78</v>
      </c>
      <c r="T47" s="38">
        <v>298</v>
      </c>
    </row>
    <row r="48" spans="2:20" ht="15" customHeight="1">
      <c r="B48" s="93"/>
      <c r="C48" s="96"/>
      <c r="D48" s="5">
        <v>0.5</v>
      </c>
      <c r="E48" s="39">
        <v>16</v>
      </c>
      <c r="F48" s="40">
        <v>17</v>
      </c>
      <c r="G48" s="40">
        <v>19</v>
      </c>
      <c r="H48" s="40">
        <v>23</v>
      </c>
      <c r="I48" s="40">
        <v>310</v>
      </c>
      <c r="J48" s="40">
        <v>644</v>
      </c>
      <c r="K48" s="40">
        <v>1304</v>
      </c>
      <c r="L48" s="41">
        <v>4640</v>
      </c>
      <c r="M48" s="39">
        <v>29</v>
      </c>
      <c r="N48" s="40">
        <v>33</v>
      </c>
      <c r="O48" s="40">
        <v>28</v>
      </c>
      <c r="P48" s="40">
        <v>24</v>
      </c>
      <c r="Q48" s="40">
        <v>26</v>
      </c>
      <c r="R48" s="40">
        <v>524</v>
      </c>
      <c r="S48" s="40">
        <v>1080</v>
      </c>
      <c r="T48" s="41">
        <v>4080</v>
      </c>
    </row>
    <row r="49" spans="2:20" ht="15" customHeight="1">
      <c r="B49" s="93"/>
      <c r="C49" s="96"/>
      <c r="D49" s="5">
        <v>0.75</v>
      </c>
      <c r="E49" s="39">
        <v>16</v>
      </c>
      <c r="F49" s="40">
        <v>18</v>
      </c>
      <c r="G49" s="40">
        <v>20</v>
      </c>
      <c r="H49" s="40">
        <v>169</v>
      </c>
      <c r="I49" s="40">
        <v>338</v>
      </c>
      <c r="J49" s="40">
        <v>668</v>
      </c>
      <c r="K49" s="40">
        <v>7392</v>
      </c>
      <c r="L49" s="41">
        <v>5344</v>
      </c>
      <c r="M49" s="39">
        <v>30</v>
      </c>
      <c r="N49" s="40">
        <v>34</v>
      </c>
      <c r="O49" s="40">
        <v>30</v>
      </c>
      <c r="P49" s="40">
        <v>139</v>
      </c>
      <c r="Q49" s="40">
        <v>278</v>
      </c>
      <c r="R49" s="40">
        <v>548</v>
      </c>
      <c r="S49" s="40">
        <v>1096</v>
      </c>
      <c r="T49" s="41">
        <v>4384</v>
      </c>
    </row>
    <row r="50" spans="2:20" ht="15" customHeight="1" thickBot="1">
      <c r="B50" s="93"/>
      <c r="C50" s="97"/>
      <c r="D50" s="6">
        <v>1</v>
      </c>
      <c r="E50" s="42">
        <v>20</v>
      </c>
      <c r="F50" s="43">
        <v>43</v>
      </c>
      <c r="G50" s="43">
        <v>87</v>
      </c>
      <c r="H50" s="43">
        <v>175</v>
      </c>
      <c r="I50" s="43">
        <v>342</v>
      </c>
      <c r="J50" s="43">
        <v>684</v>
      </c>
      <c r="K50" s="43">
        <v>1352</v>
      </c>
      <c r="L50" s="44">
        <v>5280</v>
      </c>
      <c r="M50" s="42">
        <v>15</v>
      </c>
      <c r="N50" s="43">
        <v>23</v>
      </c>
      <c r="O50" s="43">
        <v>45</v>
      </c>
      <c r="P50" s="43">
        <v>89</v>
      </c>
      <c r="Q50" s="43">
        <v>177</v>
      </c>
      <c r="R50" s="43">
        <v>354</v>
      </c>
      <c r="S50" s="43">
        <v>708</v>
      </c>
      <c r="T50" s="44">
        <v>2832</v>
      </c>
    </row>
    <row r="51" spans="2:20" ht="15" customHeight="1">
      <c r="B51" s="93"/>
      <c r="C51" s="98" t="s">
        <v>8</v>
      </c>
      <c r="D51" s="4">
        <v>0.25</v>
      </c>
      <c r="E51" s="24">
        <v>4681</v>
      </c>
      <c r="F51" s="25">
        <v>8894</v>
      </c>
      <c r="G51" s="25">
        <v>16240</v>
      </c>
      <c r="H51" s="25">
        <v>27182</v>
      </c>
      <c r="I51" s="25">
        <v>38199</v>
      </c>
      <c r="J51" s="25">
        <v>43939</v>
      </c>
      <c r="K51" s="25">
        <v>44050</v>
      </c>
      <c r="L51" s="26">
        <v>44021</v>
      </c>
      <c r="M51" s="24">
        <v>4776</v>
      </c>
      <c r="N51" s="25">
        <v>9152</v>
      </c>
      <c r="O51" s="25">
        <v>16972</v>
      </c>
      <c r="P51" s="25">
        <v>29744</v>
      </c>
      <c r="Q51" s="25">
        <v>45938</v>
      </c>
      <c r="R51" s="25">
        <v>59326</v>
      </c>
      <c r="S51" s="25">
        <v>59694</v>
      </c>
      <c r="T51" s="26">
        <v>59881</v>
      </c>
    </row>
    <row r="52" spans="2:20" ht="15" customHeight="1">
      <c r="B52" s="93"/>
      <c r="C52" s="96"/>
      <c r="D52" s="5">
        <v>0.5</v>
      </c>
      <c r="E52" s="27">
        <v>11992</v>
      </c>
      <c r="F52" s="28">
        <v>22073</v>
      </c>
      <c r="G52" s="28">
        <v>37374</v>
      </c>
      <c r="H52" s="28">
        <v>54731</v>
      </c>
      <c r="I52" s="28">
        <v>63521</v>
      </c>
      <c r="J52" s="28">
        <v>63607</v>
      </c>
      <c r="K52" s="28">
        <v>63546</v>
      </c>
      <c r="L52" s="29">
        <v>63554</v>
      </c>
      <c r="M52" s="27">
        <v>12276</v>
      </c>
      <c r="N52" s="28">
        <v>22768</v>
      </c>
      <c r="O52" s="28">
        <v>39767</v>
      </c>
      <c r="P52" s="28">
        <v>61846</v>
      </c>
      <c r="Q52" s="28">
        <v>81450</v>
      </c>
      <c r="R52" s="28">
        <v>80996</v>
      </c>
      <c r="S52" s="28">
        <v>81256</v>
      </c>
      <c r="T52" s="29">
        <v>80945</v>
      </c>
    </row>
    <row r="53" spans="2:20" ht="15" customHeight="1">
      <c r="B53" s="93"/>
      <c r="C53" s="96"/>
      <c r="D53" s="5">
        <v>0.75</v>
      </c>
      <c r="E53" s="27">
        <v>26104</v>
      </c>
      <c r="F53" s="28">
        <v>45049</v>
      </c>
      <c r="G53" s="28">
        <v>69489</v>
      </c>
      <c r="H53" s="28">
        <v>78168</v>
      </c>
      <c r="I53" s="28">
        <v>78278</v>
      </c>
      <c r="J53" s="28">
        <v>78239</v>
      </c>
      <c r="K53" s="28">
        <v>75315</v>
      </c>
      <c r="L53" s="29">
        <v>77008</v>
      </c>
      <c r="M53" s="27">
        <v>26551</v>
      </c>
      <c r="N53" s="28">
        <v>46722</v>
      </c>
      <c r="O53" s="28">
        <v>73373</v>
      </c>
      <c r="P53" s="28">
        <v>96131</v>
      </c>
      <c r="Q53" s="28">
        <v>95822</v>
      </c>
      <c r="R53" s="28">
        <v>95999</v>
      </c>
      <c r="S53" s="28">
        <v>95910</v>
      </c>
      <c r="T53" s="29">
        <v>95504</v>
      </c>
    </row>
    <row r="54" spans="2:20" ht="15" customHeight="1" thickBot="1">
      <c r="B54" s="94"/>
      <c r="C54" s="97"/>
      <c r="D54" s="6">
        <v>1</v>
      </c>
      <c r="E54" s="30">
        <v>87260</v>
      </c>
      <c r="F54" s="31">
        <v>90453</v>
      </c>
      <c r="G54" s="31">
        <v>90519</v>
      </c>
      <c r="H54" s="31">
        <v>90477</v>
      </c>
      <c r="I54" s="31">
        <v>90435</v>
      </c>
      <c r="J54" s="31">
        <v>90515</v>
      </c>
      <c r="K54" s="31">
        <v>90426</v>
      </c>
      <c r="L54" s="32">
        <v>90500</v>
      </c>
      <c r="M54" s="30">
        <v>87594</v>
      </c>
      <c r="N54" s="31">
        <v>90886</v>
      </c>
      <c r="O54" s="31">
        <v>90886</v>
      </c>
      <c r="P54" s="31">
        <v>90886</v>
      </c>
      <c r="Q54" s="31">
        <v>90886</v>
      </c>
      <c r="R54" s="31">
        <v>90886</v>
      </c>
      <c r="S54" s="31">
        <v>90886</v>
      </c>
      <c r="T54" s="32">
        <v>90886</v>
      </c>
    </row>
  </sheetData>
  <mergeCells count="36">
    <mergeCell ref="B43:B54"/>
    <mergeCell ref="C43:C46"/>
    <mergeCell ref="C47:C50"/>
    <mergeCell ref="C51:C54"/>
    <mergeCell ref="B29:D30"/>
    <mergeCell ref="E29:L29"/>
    <mergeCell ref="M29:T29"/>
    <mergeCell ref="X29:AB29"/>
    <mergeCell ref="X30:AB30"/>
    <mergeCell ref="B31:B42"/>
    <mergeCell ref="C31:C34"/>
    <mergeCell ref="X31:AB31"/>
    <mergeCell ref="C35:C38"/>
    <mergeCell ref="C39:C42"/>
    <mergeCell ref="B16:B27"/>
    <mergeCell ref="C16:C19"/>
    <mergeCell ref="V16:V27"/>
    <mergeCell ref="W16:W19"/>
    <mergeCell ref="C20:C23"/>
    <mergeCell ref="W20:W23"/>
    <mergeCell ref="C24:C27"/>
    <mergeCell ref="W24:W27"/>
    <mergeCell ref="B4:B15"/>
    <mergeCell ref="C4:C7"/>
    <mergeCell ref="V4:V15"/>
    <mergeCell ref="W4:W7"/>
    <mergeCell ref="C8:C11"/>
    <mergeCell ref="W8:W11"/>
    <mergeCell ref="C12:C15"/>
    <mergeCell ref="W12:W15"/>
    <mergeCell ref="AG2:AN2"/>
    <mergeCell ref="B2:D3"/>
    <mergeCell ref="E2:L2"/>
    <mergeCell ref="M2:T2"/>
    <mergeCell ref="V2:X3"/>
    <mergeCell ref="Y2:AF2"/>
  </mergeCells>
  <phoneticPr fontId="1" type="noConversion"/>
  <conditionalFormatting sqref="W29">
    <cfRule type="cellIs" dxfId="247" priority="34" operator="lessThan">
      <formula>0.8</formula>
    </cfRule>
  </conditionalFormatting>
  <conditionalFormatting sqref="W30:W31">
    <cfRule type="cellIs" dxfId="246" priority="33" operator="lessThan">
      <formula>0.8</formula>
    </cfRule>
  </conditionalFormatting>
  <conditionalFormatting sqref="E4:T11 E16:G16 E23 G23:T23 E22:T22 E19 G19:T19 E20:H20 J20:O20 E21:O21 Q21:T21 R20:T20 E17:F18 Q17:T17 R16:T16 H18:T18 I17:N17 J16:N16">
    <cfRule type="expression" dxfId="245" priority="31">
      <formula>Y4&gt;1.1</formula>
    </cfRule>
  </conditionalFormatting>
  <conditionalFormatting sqref="K4:K11">
    <cfRule type="expression" dxfId="244" priority="30">
      <formula>AD4&gt;1.1</formula>
    </cfRule>
  </conditionalFormatting>
  <conditionalFormatting sqref="L16:L23">
    <cfRule type="expression" dxfId="243" priority="32">
      <formula>AF16&gt;1.1</formula>
    </cfRule>
  </conditionalFormatting>
  <conditionalFormatting sqref="T4:T11">
    <cfRule type="expression" dxfId="242" priority="28">
      <formula>AN4&gt;1.1</formula>
    </cfRule>
  </conditionalFormatting>
  <conditionalFormatting sqref="S16:S23">
    <cfRule type="expression" dxfId="241" priority="27">
      <formula>AL16&gt;1.1</formula>
    </cfRule>
  </conditionalFormatting>
  <conditionalFormatting sqref="S4:S11">
    <cfRule type="expression" dxfId="240" priority="26">
      <formula>AL4&gt;1.1</formula>
    </cfRule>
  </conditionalFormatting>
  <conditionalFormatting sqref="T16:T23">
    <cfRule type="expression" dxfId="239" priority="29">
      <formula>AN16&gt;1.1</formula>
    </cfRule>
  </conditionalFormatting>
  <conditionalFormatting sqref="E31:T38 M49:T50 Q48:T48 M47:O48 R47:T47 M45:T46 M43:N44 Q44:T44 R43:T43">
    <cfRule type="expression" dxfId="238" priority="25">
      <formula>Y4&gt;1.1</formula>
    </cfRule>
  </conditionalFormatting>
  <conditionalFormatting sqref="E43:G43 E50 G50:T50 E49:T49 E46 G46:T46 E47:H47 J47:O47 E48:O48 Q48:T48 R47:T47 H45:T45 E44:F45 I44:N44 J43:N43 Q44:T44 R43:T43">
    <cfRule type="expression" dxfId="237" priority="24">
      <formula>Y16&gt;1.1</formula>
    </cfRule>
  </conditionalFormatting>
  <conditionalFormatting sqref="Y4:AN11 Y16:AN23">
    <cfRule type="cellIs" dxfId="236" priority="2" operator="lessThan">
      <formula>0.9</formula>
    </cfRule>
    <cfRule type="cellIs" dxfId="235" priority="3" operator="greaterThan">
      <formula>1.1</formula>
    </cfRule>
  </conditionalFormatting>
  <conditionalFormatting sqref="Y12:AN15 Y24:AN27">
    <cfRule type="cellIs" dxfId="234" priority="1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R54"/>
  <sheetViews>
    <sheetView showGridLines="0" topLeftCell="A7" zoomScale="70" zoomScaleNormal="70" workbookViewId="0">
      <selection activeCell="C123" sqref="C123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1.69921875" style="11" customWidth="1"/>
    <col min="5" max="22" width="6.59765625" style="11" customWidth="1"/>
    <col min="23" max="23" width="3.09765625" style="11" customWidth="1"/>
    <col min="24" max="24" width="13.09765625" style="11" customWidth="1"/>
    <col min="25" max="25" width="11" style="11" bestFit="1" customWidth="1"/>
    <col min="26" max="26" width="11.5" style="11" customWidth="1"/>
    <col min="27" max="44" width="6.59765625" style="11" customWidth="1"/>
    <col min="45" max="16384" width="9" style="11"/>
  </cols>
  <sheetData>
    <row r="1" spans="2:44" ht="15" customHeight="1" thickBot="1"/>
    <row r="2" spans="2:44" ht="15" customHeight="1">
      <c r="B2" s="99" t="s">
        <v>26</v>
      </c>
      <c r="C2" s="118"/>
      <c r="D2" s="119"/>
      <c r="E2" s="83" t="s">
        <v>14</v>
      </c>
      <c r="F2" s="84"/>
      <c r="G2" s="84"/>
      <c r="H2" s="84"/>
      <c r="I2" s="84"/>
      <c r="J2" s="84"/>
      <c r="K2" s="84"/>
      <c r="L2" s="84"/>
      <c r="M2" s="85"/>
      <c r="N2" s="83" t="s">
        <v>24</v>
      </c>
      <c r="O2" s="84"/>
      <c r="P2" s="84"/>
      <c r="Q2" s="84"/>
      <c r="R2" s="84"/>
      <c r="S2" s="84"/>
      <c r="T2" s="84"/>
      <c r="U2" s="84"/>
      <c r="V2" s="85"/>
      <c r="X2" s="105" t="s">
        <v>63</v>
      </c>
      <c r="Y2" s="106"/>
      <c r="Z2" s="106"/>
      <c r="AA2" s="98" t="s">
        <v>15</v>
      </c>
      <c r="AB2" s="116"/>
      <c r="AC2" s="116"/>
      <c r="AD2" s="116"/>
      <c r="AE2" s="116"/>
      <c r="AF2" s="116"/>
      <c r="AG2" s="116"/>
      <c r="AH2" s="116"/>
      <c r="AI2" s="117"/>
      <c r="AJ2" s="98" t="s">
        <v>15</v>
      </c>
      <c r="AK2" s="116"/>
      <c r="AL2" s="116"/>
      <c r="AM2" s="116"/>
      <c r="AN2" s="116"/>
      <c r="AO2" s="116"/>
      <c r="AP2" s="116"/>
      <c r="AQ2" s="116"/>
      <c r="AR2" s="117"/>
    </row>
    <row r="3" spans="2:44" ht="20.25" customHeight="1" thickBot="1">
      <c r="B3" s="120"/>
      <c r="C3" s="121"/>
      <c r="D3" s="122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2" t="s">
        <v>23</v>
      </c>
      <c r="M3" s="3" t="s">
        <v>17</v>
      </c>
      <c r="N3" s="1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18</v>
      </c>
      <c r="T3" s="2" t="s">
        <v>16</v>
      </c>
      <c r="U3" s="2" t="s">
        <v>23</v>
      </c>
      <c r="V3" s="3" t="s">
        <v>17</v>
      </c>
      <c r="X3" s="107"/>
      <c r="Y3" s="108"/>
      <c r="Z3" s="108"/>
      <c r="AA3" s="1" t="s">
        <v>0</v>
      </c>
      <c r="AB3" s="2" t="s">
        <v>1</v>
      </c>
      <c r="AC3" s="2" t="s">
        <v>2</v>
      </c>
      <c r="AD3" s="2" t="s">
        <v>3</v>
      </c>
      <c r="AE3" s="2" t="s">
        <v>4</v>
      </c>
      <c r="AF3" s="2" t="s">
        <v>18</v>
      </c>
      <c r="AG3" s="2" t="s">
        <v>16</v>
      </c>
      <c r="AH3" s="2" t="s">
        <v>23</v>
      </c>
      <c r="AI3" s="3" t="s">
        <v>17</v>
      </c>
      <c r="AJ3" s="1" t="s">
        <v>0</v>
      </c>
      <c r="AK3" s="2" t="s">
        <v>1</v>
      </c>
      <c r="AL3" s="2" t="s">
        <v>2</v>
      </c>
      <c r="AM3" s="2" t="s">
        <v>3</v>
      </c>
      <c r="AN3" s="2" t="s">
        <v>4</v>
      </c>
      <c r="AO3" s="2" t="s">
        <v>18</v>
      </c>
      <c r="AP3" s="2" t="s">
        <v>16</v>
      </c>
      <c r="AQ3" s="2" t="s">
        <v>23</v>
      </c>
      <c r="AR3" s="3" t="s">
        <v>17</v>
      </c>
    </row>
    <row r="4" spans="2:44" ht="15" customHeight="1">
      <c r="B4" s="92" t="s">
        <v>5</v>
      </c>
      <c r="C4" s="98" t="s">
        <v>6</v>
      </c>
      <c r="D4" s="4">
        <v>0.25</v>
      </c>
      <c r="E4" s="24">
        <v>684</v>
      </c>
      <c r="F4" s="25">
        <v>764</v>
      </c>
      <c r="G4" s="25">
        <v>844</v>
      </c>
      <c r="H4" s="25">
        <v>1012</v>
      </c>
      <c r="I4" s="25">
        <v>1448</v>
      </c>
      <c r="J4" s="25">
        <v>3024</v>
      </c>
      <c r="K4" s="25">
        <v>6880</v>
      </c>
      <c r="L4" s="25">
        <v>15680</v>
      </c>
      <c r="M4" s="26">
        <v>34560</v>
      </c>
      <c r="N4" s="24">
        <v>596</v>
      </c>
      <c r="O4" s="25">
        <v>596</v>
      </c>
      <c r="P4" s="25">
        <v>676</v>
      </c>
      <c r="Q4" s="25">
        <v>836</v>
      </c>
      <c r="R4" s="25">
        <v>1160</v>
      </c>
      <c r="S4" s="25">
        <v>2416</v>
      </c>
      <c r="T4" s="25">
        <v>5600</v>
      </c>
      <c r="U4" s="25">
        <v>12480</v>
      </c>
      <c r="V4" s="26">
        <v>27520</v>
      </c>
      <c r="X4" s="92" t="s">
        <v>5</v>
      </c>
      <c r="Y4" s="95" t="s">
        <v>6</v>
      </c>
      <c r="Z4" s="7">
        <v>0.25</v>
      </c>
      <c r="AA4" s="15">
        <f t="shared" ref="AA4" si="0">E31/E4</f>
        <v>0.55847953216374269</v>
      </c>
      <c r="AB4" s="16">
        <f t="shared" ref="AB4:AR4" si="1">F31/F4</f>
        <v>0.55759162303664922</v>
      </c>
      <c r="AC4" s="16">
        <f t="shared" si="1"/>
        <v>0.55213270142180093</v>
      </c>
      <c r="AD4" s="16">
        <f t="shared" si="1"/>
        <v>0.52569169960474305</v>
      </c>
      <c r="AE4" s="16">
        <f t="shared" si="1"/>
        <v>0.38950276243093923</v>
      </c>
      <c r="AF4" s="16">
        <f t="shared" si="1"/>
        <v>0.1917989417989418</v>
      </c>
      <c r="AG4" s="16">
        <f t="shared" si="1"/>
        <v>6.4825581395348844E-2</v>
      </c>
      <c r="AH4" s="16">
        <f t="shared" si="1"/>
        <v>0.4346938775510204</v>
      </c>
      <c r="AI4" s="17">
        <f t="shared" si="1"/>
        <v>0.55185185185185182</v>
      </c>
      <c r="AJ4" s="15">
        <f t="shared" si="1"/>
        <v>0.82885906040268453</v>
      </c>
      <c r="AK4" s="16">
        <f t="shared" si="1"/>
        <v>0.94630872483221473</v>
      </c>
      <c r="AL4" s="16">
        <f t="shared" si="1"/>
        <v>0.90532544378698221</v>
      </c>
      <c r="AM4" s="16">
        <f t="shared" si="1"/>
        <v>0.78947368421052633</v>
      </c>
      <c r="AN4" s="16">
        <f t="shared" si="1"/>
        <v>0.58275862068965523</v>
      </c>
      <c r="AO4" s="16">
        <f t="shared" si="1"/>
        <v>0.28973509933774833</v>
      </c>
      <c r="AP4" s="16">
        <f t="shared" si="1"/>
        <v>0.11214285714285714</v>
      </c>
      <c r="AQ4" s="16">
        <f t="shared" si="1"/>
        <v>0.44358974358974357</v>
      </c>
      <c r="AR4" s="17">
        <f t="shared" si="1"/>
        <v>0.61860465116279073</v>
      </c>
    </row>
    <row r="5" spans="2:44" ht="15" customHeight="1">
      <c r="B5" s="93"/>
      <c r="C5" s="96"/>
      <c r="D5" s="5">
        <v>0.5</v>
      </c>
      <c r="E5" s="27">
        <v>564</v>
      </c>
      <c r="F5" s="28">
        <v>628</v>
      </c>
      <c r="G5" s="28">
        <v>756</v>
      </c>
      <c r="H5" s="28">
        <v>932</v>
      </c>
      <c r="I5" s="28">
        <v>1432</v>
      </c>
      <c r="J5" s="28">
        <v>2288</v>
      </c>
      <c r="K5" s="28">
        <v>5344</v>
      </c>
      <c r="L5" s="28">
        <v>12096</v>
      </c>
      <c r="M5" s="29">
        <v>26496</v>
      </c>
      <c r="N5" s="27">
        <v>556</v>
      </c>
      <c r="O5" s="28">
        <v>596</v>
      </c>
      <c r="P5" s="28">
        <v>588</v>
      </c>
      <c r="Q5" s="28">
        <v>708</v>
      </c>
      <c r="R5" s="28">
        <v>1048</v>
      </c>
      <c r="S5" s="28">
        <v>1768</v>
      </c>
      <c r="T5" s="28">
        <v>4256</v>
      </c>
      <c r="U5" s="28">
        <v>9536</v>
      </c>
      <c r="V5" s="29">
        <v>20864</v>
      </c>
      <c r="X5" s="93"/>
      <c r="Y5" s="96"/>
      <c r="Z5" s="5">
        <v>0.5</v>
      </c>
      <c r="AA5" s="18">
        <f t="shared" ref="AA5:AA27" si="2">E32/E5</f>
        <v>0.54964539007092195</v>
      </c>
      <c r="AB5" s="12">
        <f t="shared" ref="AB5:AB27" si="3">F32/F5</f>
        <v>0.60191082802547768</v>
      </c>
      <c r="AC5" s="12">
        <f t="shared" ref="AC5:AC27" si="4">G32/G5</f>
        <v>0.62169312169312174</v>
      </c>
      <c r="AD5" s="12">
        <f t="shared" ref="AD5:AD27" si="5">H32/H5</f>
        <v>0.68240343347639487</v>
      </c>
      <c r="AE5" s="12">
        <f t="shared" ref="AE5:AE27" si="6">I32/I5</f>
        <v>0.66759776536312854</v>
      </c>
      <c r="AF5" s="12">
        <f t="shared" ref="AF5:AF27" si="7">J32/J5</f>
        <v>0.68881118881118886</v>
      </c>
      <c r="AG5" s="12">
        <f t="shared" ref="AG5:AG27" si="8">K32/K5</f>
        <v>0.51796407185628746</v>
      </c>
      <c r="AH5" s="12">
        <f t="shared" ref="AH5:AH27" si="9">L32/L5</f>
        <v>0.53703703703703709</v>
      </c>
      <c r="AI5" s="19">
        <f t="shared" ref="AI5:AI27" si="10">M32/M5</f>
        <v>0.66183574879227058</v>
      </c>
      <c r="AJ5" s="18">
        <f t="shared" ref="AJ5:AJ27" si="11">N32/N5</f>
        <v>0.65827338129496404</v>
      </c>
      <c r="AK5" s="12">
        <f t="shared" ref="AK5:AK27" si="12">O32/O5</f>
        <v>0.77516778523489938</v>
      </c>
      <c r="AL5" s="12">
        <f t="shared" ref="AL5:AL27" si="13">P32/P5</f>
        <v>0.95918367346938771</v>
      </c>
      <c r="AM5" s="12">
        <f t="shared" ref="AM5:AM27" si="14">Q32/Q5</f>
        <v>1.1242937853107344</v>
      </c>
      <c r="AN5" s="12">
        <f t="shared" ref="AN5:AN27" si="15">R32/R5</f>
        <v>1</v>
      </c>
      <c r="AO5" s="12">
        <f t="shared" ref="AO5:AO27" si="16">S32/S5</f>
        <v>0.80090497737556565</v>
      </c>
      <c r="AP5" s="12">
        <f t="shared" ref="AP5:AP27" si="17">T32/T5</f>
        <v>0.19454887218045114</v>
      </c>
      <c r="AQ5" s="12">
        <f t="shared" ref="AQ5:AQ27" si="18">U32/U5</f>
        <v>0.51342281879194629</v>
      </c>
      <c r="AR5" s="19">
        <f t="shared" ref="AR5:AR27" si="19">V32/V5</f>
        <v>0.72699386503067487</v>
      </c>
    </row>
    <row r="6" spans="2:44" ht="15" customHeight="1">
      <c r="B6" s="93"/>
      <c r="C6" s="96"/>
      <c r="D6" s="5">
        <v>0.75</v>
      </c>
      <c r="E6" s="27">
        <v>442</v>
      </c>
      <c r="F6" s="28">
        <v>516</v>
      </c>
      <c r="G6" s="28">
        <v>596</v>
      </c>
      <c r="H6" s="28">
        <v>756</v>
      </c>
      <c r="I6" s="28">
        <v>1032</v>
      </c>
      <c r="J6" s="28">
        <v>1672</v>
      </c>
      <c r="K6" s="28">
        <v>4048</v>
      </c>
      <c r="L6" s="28">
        <v>8896</v>
      </c>
      <c r="M6" s="29">
        <v>18560</v>
      </c>
      <c r="N6" s="27">
        <v>406</v>
      </c>
      <c r="O6" s="28">
        <v>510</v>
      </c>
      <c r="P6" s="28">
        <v>564</v>
      </c>
      <c r="Q6" s="28">
        <v>580</v>
      </c>
      <c r="R6" s="28">
        <v>772</v>
      </c>
      <c r="S6" s="28">
        <v>1224</v>
      </c>
      <c r="T6" s="28">
        <v>2832</v>
      </c>
      <c r="U6" s="28">
        <v>6944</v>
      </c>
      <c r="V6" s="29">
        <v>14144</v>
      </c>
      <c r="X6" s="93"/>
      <c r="Y6" s="96"/>
      <c r="Z6" s="5">
        <v>0.75</v>
      </c>
      <c r="AA6" s="18">
        <f t="shared" si="2"/>
        <v>0.58371040723981904</v>
      </c>
      <c r="AB6" s="12">
        <f t="shared" si="3"/>
        <v>0.60852713178294571</v>
      </c>
      <c r="AC6" s="12">
        <f t="shared" si="4"/>
        <v>0.66778523489932884</v>
      </c>
      <c r="AD6" s="12">
        <f t="shared" si="5"/>
        <v>0.70370370370370372</v>
      </c>
      <c r="AE6" s="12">
        <f t="shared" si="6"/>
        <v>0.77906976744186052</v>
      </c>
      <c r="AF6" s="12">
        <f t="shared" si="7"/>
        <v>0.78947368421052633</v>
      </c>
      <c r="AG6" s="12">
        <f t="shared" si="8"/>
        <v>0.5810276679841897</v>
      </c>
      <c r="AH6" s="12">
        <f t="shared" si="9"/>
        <v>0.7230215827338129</v>
      </c>
      <c r="AI6" s="19">
        <f t="shared" si="10"/>
        <v>0.79655172413793107</v>
      </c>
      <c r="AJ6" s="18">
        <f t="shared" si="11"/>
        <v>0.66502463054187189</v>
      </c>
      <c r="AK6" s="12">
        <f t="shared" si="12"/>
        <v>0.67843137254901964</v>
      </c>
      <c r="AL6" s="12">
        <f t="shared" si="13"/>
        <v>0.79078014184397161</v>
      </c>
      <c r="AM6" s="12">
        <f t="shared" si="14"/>
        <v>1.0137931034482759</v>
      </c>
      <c r="AN6" s="12">
        <f t="shared" si="15"/>
        <v>1.0829015544041452</v>
      </c>
      <c r="AO6" s="12">
        <f t="shared" si="16"/>
        <v>1.0522875816993464</v>
      </c>
      <c r="AP6" s="12">
        <f t="shared" si="17"/>
        <v>0.75141242937853103</v>
      </c>
      <c r="AQ6" s="12">
        <f t="shared" si="18"/>
        <v>0.7142857142857143</v>
      </c>
      <c r="AR6" s="19">
        <f t="shared" si="19"/>
        <v>0.82805429864253388</v>
      </c>
    </row>
    <row r="7" spans="2:44" ht="15" customHeight="1" thickBot="1">
      <c r="B7" s="93"/>
      <c r="C7" s="97"/>
      <c r="D7" s="6">
        <v>1</v>
      </c>
      <c r="E7" s="30">
        <v>127</v>
      </c>
      <c r="F7" s="31">
        <v>149</v>
      </c>
      <c r="G7" s="31">
        <v>191</v>
      </c>
      <c r="H7" s="31">
        <v>286</v>
      </c>
      <c r="I7" s="31">
        <v>506</v>
      </c>
      <c r="J7" s="31">
        <v>956</v>
      </c>
      <c r="K7" s="31">
        <v>1592</v>
      </c>
      <c r="L7" s="31">
        <v>3632</v>
      </c>
      <c r="M7" s="32">
        <v>7200</v>
      </c>
      <c r="N7" s="30">
        <v>115</v>
      </c>
      <c r="O7" s="31">
        <v>131</v>
      </c>
      <c r="P7" s="31">
        <v>153</v>
      </c>
      <c r="Q7" s="31">
        <v>203</v>
      </c>
      <c r="R7" s="31">
        <v>310</v>
      </c>
      <c r="S7" s="31">
        <v>556</v>
      </c>
      <c r="T7" s="31">
        <v>1144</v>
      </c>
      <c r="U7" s="31">
        <v>2832</v>
      </c>
      <c r="V7" s="32">
        <v>6240</v>
      </c>
      <c r="X7" s="93"/>
      <c r="Y7" s="97"/>
      <c r="Z7" s="6">
        <v>1</v>
      </c>
      <c r="AA7" s="20">
        <f t="shared" si="2"/>
        <v>0.83464566929133854</v>
      </c>
      <c r="AB7" s="21">
        <f t="shared" si="3"/>
        <v>0.80536912751677847</v>
      </c>
      <c r="AC7" s="21">
        <f t="shared" si="4"/>
        <v>0.83246073298429324</v>
      </c>
      <c r="AD7" s="21">
        <f t="shared" si="5"/>
        <v>0.84965034965034969</v>
      </c>
      <c r="AE7" s="21">
        <f t="shared" si="6"/>
        <v>0.88142292490118579</v>
      </c>
      <c r="AF7" s="21">
        <f t="shared" si="7"/>
        <v>0.94142259414225937</v>
      </c>
      <c r="AG7" s="21">
        <f t="shared" si="8"/>
        <v>1.0703517587939699</v>
      </c>
      <c r="AH7" s="21">
        <f t="shared" si="9"/>
        <v>0.78854625550660795</v>
      </c>
      <c r="AI7" s="22">
        <f t="shared" si="10"/>
        <v>0.91111111111111109</v>
      </c>
      <c r="AJ7" s="20">
        <f t="shared" si="11"/>
        <v>0.85217391304347823</v>
      </c>
      <c r="AK7" s="21">
        <f t="shared" si="12"/>
        <v>0.82442748091603058</v>
      </c>
      <c r="AL7" s="21">
        <f t="shared" si="13"/>
        <v>0.81699346405228757</v>
      </c>
      <c r="AM7" s="21">
        <f t="shared" si="14"/>
        <v>0.81280788177339902</v>
      </c>
      <c r="AN7" s="21">
        <f t="shared" si="15"/>
        <v>0.83225806451612905</v>
      </c>
      <c r="AO7" s="21">
        <f t="shared" si="16"/>
        <v>0.87410071942446044</v>
      </c>
      <c r="AP7" s="21">
        <f t="shared" si="17"/>
        <v>0.79370629370629375</v>
      </c>
      <c r="AQ7" s="21">
        <f t="shared" si="18"/>
        <v>0.61864406779661019</v>
      </c>
      <c r="AR7" s="22">
        <f t="shared" si="19"/>
        <v>0.64871794871794874</v>
      </c>
    </row>
    <row r="8" spans="2:44" ht="15" customHeight="1">
      <c r="B8" s="93"/>
      <c r="C8" s="98" t="s">
        <v>7</v>
      </c>
      <c r="D8" s="4">
        <v>0.25</v>
      </c>
      <c r="E8" s="24">
        <v>1320</v>
      </c>
      <c r="F8" s="25">
        <v>1704</v>
      </c>
      <c r="G8" s="25">
        <v>1752</v>
      </c>
      <c r="H8" s="25">
        <v>1960</v>
      </c>
      <c r="I8" s="25">
        <v>2320</v>
      </c>
      <c r="J8" s="25">
        <v>3760</v>
      </c>
      <c r="K8" s="25">
        <v>9536</v>
      </c>
      <c r="L8" s="25">
        <v>21888</v>
      </c>
      <c r="M8" s="26">
        <v>48896</v>
      </c>
      <c r="N8" s="24">
        <v>1064</v>
      </c>
      <c r="O8" s="25">
        <v>1096</v>
      </c>
      <c r="P8" s="25">
        <v>1176</v>
      </c>
      <c r="Q8" s="25">
        <v>1352</v>
      </c>
      <c r="R8" s="25">
        <v>1688</v>
      </c>
      <c r="S8" s="25">
        <v>2992</v>
      </c>
      <c r="T8" s="25">
        <v>8256</v>
      </c>
      <c r="U8" s="25">
        <v>17280</v>
      </c>
      <c r="V8" s="26">
        <v>38656</v>
      </c>
      <c r="X8" s="93"/>
      <c r="Y8" s="98" t="s">
        <v>7</v>
      </c>
      <c r="Z8" s="4">
        <v>0.25</v>
      </c>
      <c r="AA8" s="15">
        <f t="shared" si="2"/>
        <v>0.66969696969696968</v>
      </c>
      <c r="AB8" s="16">
        <f t="shared" si="3"/>
        <v>0.54225352112676062</v>
      </c>
      <c r="AC8" s="16">
        <f t="shared" si="4"/>
        <v>0.545662100456621</v>
      </c>
      <c r="AD8" s="16">
        <f t="shared" si="5"/>
        <v>0.50408163265306127</v>
      </c>
      <c r="AE8" s="16">
        <f t="shared" si="6"/>
        <v>0.46551724137931033</v>
      </c>
      <c r="AF8" s="16">
        <f t="shared" si="7"/>
        <v>0.45744680851063829</v>
      </c>
      <c r="AG8" s="16">
        <f t="shared" si="8"/>
        <v>0.10109060402684564</v>
      </c>
      <c r="AH8" s="16">
        <f t="shared" si="9"/>
        <v>0.47076023391812866</v>
      </c>
      <c r="AI8" s="17">
        <f t="shared" si="10"/>
        <v>0.56282722513089001</v>
      </c>
      <c r="AJ8" s="15">
        <f t="shared" si="11"/>
        <v>0.83834586466165417</v>
      </c>
      <c r="AK8" s="16">
        <f t="shared" si="12"/>
        <v>0.87226277372262773</v>
      </c>
      <c r="AL8" s="16">
        <f t="shared" si="13"/>
        <v>0.86054421768707479</v>
      </c>
      <c r="AM8" s="16">
        <f t="shared" si="14"/>
        <v>0.81065088757396453</v>
      </c>
      <c r="AN8" s="16">
        <f t="shared" si="15"/>
        <v>0.71563981042654023</v>
      </c>
      <c r="AO8" s="16">
        <f t="shared" si="16"/>
        <v>0.59090909090909094</v>
      </c>
      <c r="AP8" s="16">
        <f t="shared" si="17"/>
        <v>0.12354651162790697</v>
      </c>
      <c r="AQ8" s="16">
        <f t="shared" si="18"/>
        <v>0.4777777777777778</v>
      </c>
      <c r="AR8" s="17">
        <f t="shared" si="19"/>
        <v>0.69867549668874174</v>
      </c>
    </row>
    <row r="9" spans="2:44" ht="15" customHeight="1">
      <c r="B9" s="93"/>
      <c r="C9" s="96"/>
      <c r="D9" s="5">
        <v>0.5</v>
      </c>
      <c r="E9" s="27">
        <v>940</v>
      </c>
      <c r="F9" s="28">
        <v>1144</v>
      </c>
      <c r="G9" s="28">
        <v>1624</v>
      </c>
      <c r="H9" s="28">
        <v>1864</v>
      </c>
      <c r="I9" s="28">
        <v>2192</v>
      </c>
      <c r="J9" s="28">
        <v>3088</v>
      </c>
      <c r="K9" s="28">
        <v>7648</v>
      </c>
      <c r="L9" s="28">
        <v>18048</v>
      </c>
      <c r="M9" s="29">
        <v>38144</v>
      </c>
      <c r="N9" s="27">
        <v>1020</v>
      </c>
      <c r="O9" s="28">
        <v>1080</v>
      </c>
      <c r="P9" s="28">
        <v>1096</v>
      </c>
      <c r="Q9" s="28">
        <v>1208</v>
      </c>
      <c r="R9" s="28">
        <v>1544</v>
      </c>
      <c r="S9" s="28">
        <v>2288</v>
      </c>
      <c r="T9" s="28">
        <v>6112</v>
      </c>
      <c r="U9" s="28">
        <v>13632</v>
      </c>
      <c r="V9" s="29">
        <v>29312</v>
      </c>
      <c r="X9" s="93"/>
      <c r="Y9" s="96"/>
      <c r="Z9" s="5">
        <v>0.5</v>
      </c>
      <c r="AA9" s="18">
        <f t="shared" si="2"/>
        <v>0.89787234042553188</v>
      </c>
      <c r="AB9" s="12">
        <f t="shared" si="3"/>
        <v>0.77272727272727271</v>
      </c>
      <c r="AC9" s="12">
        <f t="shared" si="4"/>
        <v>0.57389162561576357</v>
      </c>
      <c r="AD9" s="12">
        <f t="shared" si="5"/>
        <v>0.57939914163090134</v>
      </c>
      <c r="AE9" s="12">
        <f t="shared" si="6"/>
        <v>0.64598540145985406</v>
      </c>
      <c r="AF9" s="12">
        <f t="shared" si="7"/>
        <v>0.72020725388601037</v>
      </c>
      <c r="AG9" s="12">
        <f t="shared" si="8"/>
        <v>0.52092050209205021</v>
      </c>
      <c r="AH9" s="12">
        <f t="shared" si="9"/>
        <v>0.5</v>
      </c>
      <c r="AI9" s="19">
        <f t="shared" si="10"/>
        <v>0.63422818791946312</v>
      </c>
      <c r="AJ9" s="18">
        <f t="shared" si="11"/>
        <v>0.78823529411764703</v>
      </c>
      <c r="AK9" s="12">
        <f t="shared" si="12"/>
        <v>0.81851851851851853</v>
      </c>
      <c r="AL9" s="12">
        <f t="shared" si="13"/>
        <v>0.88686131386861311</v>
      </c>
      <c r="AM9" s="12">
        <f t="shared" si="14"/>
        <v>1.0264900662251655</v>
      </c>
      <c r="AN9" s="12">
        <f t="shared" si="15"/>
        <v>1.0103626943005182</v>
      </c>
      <c r="AO9" s="12">
        <f t="shared" si="16"/>
        <v>0.94405594405594406</v>
      </c>
      <c r="AP9" s="12">
        <f t="shared" si="17"/>
        <v>0.55235602094240843</v>
      </c>
      <c r="AQ9" s="12">
        <f t="shared" si="18"/>
        <v>0.50938967136150237</v>
      </c>
      <c r="AR9" s="19">
        <f t="shared" si="19"/>
        <v>0.6506550218340611</v>
      </c>
    </row>
    <row r="10" spans="2:44" ht="15" customHeight="1">
      <c r="B10" s="93"/>
      <c r="C10" s="96"/>
      <c r="D10" s="5">
        <v>0.75</v>
      </c>
      <c r="E10" s="27">
        <v>836</v>
      </c>
      <c r="F10" s="28">
        <v>900</v>
      </c>
      <c r="G10" s="28">
        <v>1048</v>
      </c>
      <c r="H10" s="28">
        <v>1672</v>
      </c>
      <c r="I10" s="28">
        <v>2040</v>
      </c>
      <c r="J10" s="28">
        <v>2640</v>
      </c>
      <c r="K10" s="28">
        <v>5600</v>
      </c>
      <c r="L10" s="28">
        <v>13248</v>
      </c>
      <c r="M10" s="29">
        <v>26496</v>
      </c>
      <c r="N10" s="27">
        <v>988</v>
      </c>
      <c r="O10" s="28">
        <v>1032</v>
      </c>
      <c r="P10" s="28">
        <v>1096</v>
      </c>
      <c r="Q10" s="28">
        <v>1080</v>
      </c>
      <c r="R10" s="28">
        <v>1272</v>
      </c>
      <c r="S10" s="28">
        <v>1736</v>
      </c>
      <c r="T10" s="28">
        <v>4128</v>
      </c>
      <c r="U10" s="28">
        <v>10432</v>
      </c>
      <c r="V10" s="29">
        <v>20608</v>
      </c>
      <c r="X10" s="93"/>
      <c r="Y10" s="96"/>
      <c r="Z10" s="5">
        <v>0.75</v>
      </c>
      <c r="AA10" s="18">
        <f t="shared" si="2"/>
        <v>0.66507177033492826</v>
      </c>
      <c r="AB10" s="12">
        <f t="shared" si="3"/>
        <v>0.80444444444444441</v>
      </c>
      <c r="AC10" s="12">
        <f t="shared" si="4"/>
        <v>0.84351145038167941</v>
      </c>
      <c r="AD10" s="12">
        <f t="shared" si="5"/>
        <v>0.59090909090909094</v>
      </c>
      <c r="AE10" s="12">
        <f t="shared" si="6"/>
        <v>0.65490196078431373</v>
      </c>
      <c r="AF10" s="12">
        <f t="shared" si="7"/>
        <v>0.78181818181818186</v>
      </c>
      <c r="AG10" s="12">
        <f t="shared" si="8"/>
        <v>0.55714285714285716</v>
      </c>
      <c r="AH10" s="12">
        <f t="shared" si="9"/>
        <v>0.61111111111111116</v>
      </c>
      <c r="AI10" s="19">
        <f t="shared" si="10"/>
        <v>0.73913043478260865</v>
      </c>
      <c r="AJ10" s="18">
        <f t="shared" si="11"/>
        <v>0.74898785425101211</v>
      </c>
      <c r="AK10" s="12">
        <f t="shared" si="12"/>
        <v>0.74806201550387597</v>
      </c>
      <c r="AL10" s="12">
        <f t="shared" si="13"/>
        <v>0.80656934306569339</v>
      </c>
      <c r="AM10" s="12">
        <f t="shared" si="14"/>
        <v>0.98518518518518516</v>
      </c>
      <c r="AN10" s="12">
        <f t="shared" si="15"/>
        <v>1.0754716981132075</v>
      </c>
      <c r="AO10" s="12">
        <f t="shared" si="16"/>
        <v>1.064516129032258</v>
      </c>
      <c r="AP10" s="12">
        <f t="shared" si="17"/>
        <v>0.66279069767441856</v>
      </c>
      <c r="AQ10" s="12">
        <f t="shared" si="18"/>
        <v>0.62269938650306744</v>
      </c>
      <c r="AR10" s="19">
        <f t="shared" si="19"/>
        <v>0.7857142857142857</v>
      </c>
    </row>
    <row r="11" spans="2:44" ht="15" customHeight="1" thickBot="1">
      <c r="B11" s="93"/>
      <c r="C11" s="97"/>
      <c r="D11" s="6">
        <v>1</v>
      </c>
      <c r="E11" s="30">
        <v>189</v>
      </c>
      <c r="F11" s="31">
        <v>237</v>
      </c>
      <c r="G11" s="31">
        <v>318</v>
      </c>
      <c r="H11" s="31">
        <v>498</v>
      </c>
      <c r="I11" s="31">
        <v>900</v>
      </c>
      <c r="J11" s="31">
        <v>1688</v>
      </c>
      <c r="K11" s="45">
        <v>2384</v>
      </c>
      <c r="L11" s="31">
        <v>4512</v>
      </c>
      <c r="M11" s="32">
        <v>9664</v>
      </c>
      <c r="N11" s="30">
        <v>173</v>
      </c>
      <c r="O11" s="31">
        <v>201</v>
      </c>
      <c r="P11" s="31">
        <v>249</v>
      </c>
      <c r="Q11" s="31">
        <v>342</v>
      </c>
      <c r="R11" s="31">
        <v>540</v>
      </c>
      <c r="S11" s="31">
        <v>860</v>
      </c>
      <c r="T11" s="31">
        <v>1496</v>
      </c>
      <c r="U11" s="31">
        <v>3248</v>
      </c>
      <c r="V11" s="32">
        <v>7264</v>
      </c>
      <c r="X11" s="93"/>
      <c r="Y11" s="97"/>
      <c r="Z11" s="6">
        <v>1</v>
      </c>
      <c r="AA11" s="20">
        <f t="shared" si="2"/>
        <v>0.80952380952380953</v>
      </c>
      <c r="AB11" s="21">
        <f t="shared" si="3"/>
        <v>0.81434599156118148</v>
      </c>
      <c r="AC11" s="21">
        <f t="shared" si="4"/>
        <v>0.83647798742138368</v>
      </c>
      <c r="AD11" s="21">
        <f t="shared" si="5"/>
        <v>0.8875502008032129</v>
      </c>
      <c r="AE11" s="21">
        <f t="shared" si="6"/>
        <v>0.90222222222222226</v>
      </c>
      <c r="AF11" s="21">
        <f t="shared" si="7"/>
        <v>0.97156398104265407</v>
      </c>
      <c r="AG11" s="21">
        <f t="shared" si="8"/>
        <v>1.2684563758389262</v>
      </c>
      <c r="AH11" s="21">
        <f t="shared" si="9"/>
        <v>0.95744680851063835</v>
      </c>
      <c r="AI11" s="22">
        <f t="shared" si="10"/>
        <v>0.89403973509933776</v>
      </c>
      <c r="AJ11" s="20">
        <f t="shared" si="11"/>
        <v>0.80346820809248554</v>
      </c>
      <c r="AK11" s="21">
        <f t="shared" si="12"/>
        <v>0.80099502487562191</v>
      </c>
      <c r="AL11" s="21">
        <f t="shared" si="13"/>
        <v>0.81526104417670686</v>
      </c>
      <c r="AM11" s="21">
        <f t="shared" si="14"/>
        <v>0.82456140350877194</v>
      </c>
      <c r="AN11" s="21">
        <f t="shared" si="15"/>
        <v>0.88518518518518519</v>
      </c>
      <c r="AO11" s="21">
        <f t="shared" si="16"/>
        <v>1.0651162790697675</v>
      </c>
      <c r="AP11" s="21">
        <f t="shared" si="17"/>
        <v>1.1176470588235294</v>
      </c>
      <c r="AQ11" s="21">
        <f t="shared" si="18"/>
        <v>0.7931034482758621</v>
      </c>
      <c r="AR11" s="22">
        <f t="shared" si="19"/>
        <v>0.67400881057268724</v>
      </c>
    </row>
    <row r="12" spans="2:44" ht="15" customHeight="1">
      <c r="B12" s="93"/>
      <c r="C12" s="98" t="s">
        <v>8</v>
      </c>
      <c r="D12" s="4">
        <v>0.25</v>
      </c>
      <c r="E12" s="24">
        <v>15910</v>
      </c>
      <c r="F12" s="25">
        <v>16986</v>
      </c>
      <c r="G12" s="25">
        <v>16983</v>
      </c>
      <c r="H12" s="25">
        <v>17008</v>
      </c>
      <c r="I12" s="25">
        <v>17074</v>
      </c>
      <c r="J12" s="25">
        <v>17116</v>
      </c>
      <c r="K12" s="25">
        <v>17125</v>
      </c>
      <c r="L12" s="25">
        <v>17118</v>
      </c>
      <c r="M12" s="26">
        <v>17103</v>
      </c>
      <c r="N12" s="24">
        <v>19741</v>
      </c>
      <c r="O12" s="25">
        <v>20859</v>
      </c>
      <c r="P12" s="25">
        <v>20879</v>
      </c>
      <c r="Q12" s="25">
        <v>20242</v>
      </c>
      <c r="R12" s="25">
        <v>20725</v>
      </c>
      <c r="S12" s="25">
        <v>20918</v>
      </c>
      <c r="T12" s="25">
        <v>21003</v>
      </c>
      <c r="U12" s="25">
        <v>20907</v>
      </c>
      <c r="V12" s="26">
        <v>20970</v>
      </c>
      <c r="X12" s="93"/>
      <c r="Y12" s="98" t="s">
        <v>8</v>
      </c>
      <c r="Z12" s="4">
        <v>0.25</v>
      </c>
      <c r="AA12" s="15">
        <f t="shared" si="2"/>
        <v>1.441860465116279</v>
      </c>
      <c r="AB12" s="16">
        <f t="shared" si="3"/>
        <v>1.5336747910043564</v>
      </c>
      <c r="AC12" s="16">
        <f t="shared" si="4"/>
        <v>1.5359477124183007</v>
      </c>
      <c r="AD12" s="16">
        <f t="shared" si="5"/>
        <v>1.533513640639699</v>
      </c>
      <c r="AE12" s="16">
        <f t="shared" si="6"/>
        <v>1.5278786458943423</v>
      </c>
      <c r="AF12" s="16">
        <f t="shared" si="7"/>
        <v>1.5241294695022201</v>
      </c>
      <c r="AG12" s="16">
        <f t="shared" si="8"/>
        <v>1.5201167883211679</v>
      </c>
      <c r="AH12" s="16">
        <f t="shared" si="9"/>
        <v>1.5209136581376328</v>
      </c>
      <c r="AI12" s="17">
        <f t="shared" si="10"/>
        <v>1.5215459276150383</v>
      </c>
      <c r="AJ12" s="15">
        <f t="shared" si="11"/>
        <v>1.2256724583354439</v>
      </c>
      <c r="AK12" s="16">
        <f t="shared" si="12"/>
        <v>1.5374179011457885</v>
      </c>
      <c r="AL12" s="16">
        <f t="shared" si="13"/>
        <v>1.5306767565496431</v>
      </c>
      <c r="AM12" s="16">
        <f t="shared" si="14"/>
        <v>1.5820077067483451</v>
      </c>
      <c r="AN12" s="16">
        <f t="shared" si="15"/>
        <v>1.542388419782871</v>
      </c>
      <c r="AO12" s="16">
        <f t="shared" si="16"/>
        <v>1.5282053733626542</v>
      </c>
      <c r="AP12" s="16">
        <f t="shared" si="17"/>
        <v>1.5148312145883922</v>
      </c>
      <c r="AQ12" s="16">
        <f t="shared" si="18"/>
        <v>1.520686851293825</v>
      </c>
      <c r="AR12" s="17">
        <f t="shared" si="19"/>
        <v>1.5162613257033859</v>
      </c>
    </row>
    <row r="13" spans="2:44" ht="15" customHeight="1">
      <c r="B13" s="93"/>
      <c r="C13" s="96"/>
      <c r="D13" s="5">
        <v>0.5</v>
      </c>
      <c r="E13" s="27">
        <v>25780</v>
      </c>
      <c r="F13" s="28">
        <v>39105</v>
      </c>
      <c r="G13" s="28">
        <v>44190</v>
      </c>
      <c r="H13" s="28">
        <v>44373</v>
      </c>
      <c r="I13" s="28">
        <v>44766</v>
      </c>
      <c r="J13" s="28">
        <v>44907</v>
      </c>
      <c r="K13" s="28">
        <v>44881</v>
      </c>
      <c r="L13" s="28">
        <v>44892</v>
      </c>
      <c r="M13" s="29">
        <v>44916</v>
      </c>
      <c r="N13" s="27">
        <v>30599</v>
      </c>
      <c r="O13" s="28">
        <v>48296</v>
      </c>
      <c r="P13" s="28">
        <v>57250</v>
      </c>
      <c r="Q13" s="28">
        <v>57204</v>
      </c>
      <c r="R13" s="28">
        <v>57394</v>
      </c>
      <c r="S13" s="28">
        <v>56330</v>
      </c>
      <c r="T13" s="28">
        <v>56162</v>
      </c>
      <c r="U13" s="28">
        <v>57384</v>
      </c>
      <c r="V13" s="29">
        <v>57358</v>
      </c>
      <c r="X13" s="93"/>
      <c r="Y13" s="96"/>
      <c r="Z13" s="5">
        <v>0.5</v>
      </c>
      <c r="AA13" s="18">
        <f t="shared" si="2"/>
        <v>1.4349883630721489</v>
      </c>
      <c r="AB13" s="12">
        <f t="shared" si="3"/>
        <v>1.3949111366832885</v>
      </c>
      <c r="AC13" s="12">
        <f t="shared" si="4"/>
        <v>1.4393075356415479</v>
      </c>
      <c r="AD13" s="12">
        <f t="shared" si="5"/>
        <v>1.4320870799810697</v>
      </c>
      <c r="AE13" s="12">
        <f t="shared" si="6"/>
        <v>1.4202519769467901</v>
      </c>
      <c r="AF13" s="12">
        <f t="shared" si="7"/>
        <v>1.414656957712606</v>
      </c>
      <c r="AG13" s="12">
        <f t="shared" si="8"/>
        <v>1.4159443862659031</v>
      </c>
      <c r="AH13" s="12">
        <f t="shared" si="9"/>
        <v>1.414929163325314</v>
      </c>
      <c r="AI13" s="19">
        <f t="shared" si="10"/>
        <v>1.4147297176952534</v>
      </c>
      <c r="AJ13" s="18">
        <f t="shared" si="11"/>
        <v>1.2844864211248734</v>
      </c>
      <c r="AK13" s="12">
        <f t="shared" si="12"/>
        <v>1.2771243995361934</v>
      </c>
      <c r="AL13" s="12">
        <f t="shared" si="13"/>
        <v>1.4235807860262009</v>
      </c>
      <c r="AM13" s="12">
        <f t="shared" si="14"/>
        <v>1.4160373400461506</v>
      </c>
      <c r="AN13" s="12">
        <f t="shared" si="15"/>
        <v>1.4152524654145033</v>
      </c>
      <c r="AO13" s="12">
        <f t="shared" si="16"/>
        <v>1.4452156932362861</v>
      </c>
      <c r="AP13" s="12">
        <f t="shared" si="17"/>
        <v>1.4412770200491436</v>
      </c>
      <c r="AQ13" s="12">
        <f t="shared" si="18"/>
        <v>1.4089293182768716</v>
      </c>
      <c r="AR13" s="19">
        <f t="shared" si="19"/>
        <v>1.4102827853132955</v>
      </c>
    </row>
    <row r="14" spans="2:44" ht="15" customHeight="1">
      <c r="B14" s="93"/>
      <c r="C14" s="96"/>
      <c r="D14" s="5">
        <v>0.75</v>
      </c>
      <c r="E14" s="27">
        <v>36540</v>
      </c>
      <c r="F14" s="28">
        <v>58644</v>
      </c>
      <c r="G14" s="28">
        <v>87137</v>
      </c>
      <c r="H14" s="28">
        <v>100965</v>
      </c>
      <c r="I14" s="28">
        <v>101304</v>
      </c>
      <c r="J14" s="28">
        <v>101236</v>
      </c>
      <c r="K14" s="28">
        <v>101231</v>
      </c>
      <c r="L14" s="28">
        <v>101260</v>
      </c>
      <c r="M14" s="29">
        <v>101287</v>
      </c>
      <c r="N14" s="27">
        <v>41265</v>
      </c>
      <c r="O14" s="28">
        <v>68866</v>
      </c>
      <c r="P14" s="28">
        <v>107561</v>
      </c>
      <c r="Q14" s="28">
        <v>137989</v>
      </c>
      <c r="R14" s="28">
        <v>137435</v>
      </c>
      <c r="S14" s="28">
        <v>137573</v>
      </c>
      <c r="T14" s="28">
        <v>137499</v>
      </c>
      <c r="U14" s="28">
        <v>137542</v>
      </c>
      <c r="V14" s="29">
        <v>137384</v>
      </c>
      <c r="X14" s="93"/>
      <c r="Y14" s="96"/>
      <c r="Z14" s="5">
        <v>0.75</v>
      </c>
      <c r="AA14" s="18">
        <f t="shared" si="2"/>
        <v>1.3168582375478928</v>
      </c>
      <c r="AB14" s="12">
        <f t="shared" si="3"/>
        <v>1.3840290566809903</v>
      </c>
      <c r="AC14" s="12">
        <f t="shared" si="4"/>
        <v>1.3161114107669531</v>
      </c>
      <c r="AD14" s="12">
        <f t="shared" si="5"/>
        <v>1.305353340266429</v>
      </c>
      <c r="AE14" s="12">
        <f t="shared" si="6"/>
        <v>1.302910052910053</v>
      </c>
      <c r="AF14" s="12">
        <f t="shared" si="7"/>
        <v>1.3031036390216919</v>
      </c>
      <c r="AG14" s="12">
        <f t="shared" si="8"/>
        <v>1.3030000691487786</v>
      </c>
      <c r="AH14" s="12">
        <f t="shared" si="9"/>
        <v>1.3043650009875567</v>
      </c>
      <c r="AI14" s="19">
        <f t="shared" si="10"/>
        <v>1.3013417319103142</v>
      </c>
      <c r="AJ14" s="18">
        <f t="shared" si="11"/>
        <v>1.2186114140312614</v>
      </c>
      <c r="AK14" s="12">
        <f t="shared" si="12"/>
        <v>1.2887491650451601</v>
      </c>
      <c r="AL14" s="12">
        <f t="shared" si="13"/>
        <v>1.2842944933572578</v>
      </c>
      <c r="AM14" s="12">
        <f t="shared" si="14"/>
        <v>1.2914000391335541</v>
      </c>
      <c r="AN14" s="12">
        <f t="shared" si="15"/>
        <v>1.3023902208316658</v>
      </c>
      <c r="AO14" s="12">
        <f t="shared" si="16"/>
        <v>1.3064045997397746</v>
      </c>
      <c r="AP14" s="12">
        <f t="shared" si="17"/>
        <v>1.3057331326046007</v>
      </c>
      <c r="AQ14" s="12">
        <f t="shared" si="18"/>
        <v>1.3066336100972793</v>
      </c>
      <c r="AR14" s="19">
        <f t="shared" si="19"/>
        <v>1.3075612880684795</v>
      </c>
    </row>
    <row r="15" spans="2:44" ht="15" customHeight="1" thickBot="1">
      <c r="B15" s="94"/>
      <c r="C15" s="97"/>
      <c r="D15" s="6">
        <v>1</v>
      </c>
      <c r="E15" s="30">
        <v>51639</v>
      </c>
      <c r="F15" s="31">
        <v>97442</v>
      </c>
      <c r="G15" s="31">
        <v>174157</v>
      </c>
      <c r="H15" s="31">
        <v>280302</v>
      </c>
      <c r="I15" s="31">
        <v>382238</v>
      </c>
      <c r="J15" s="31">
        <v>442373</v>
      </c>
      <c r="K15" s="31">
        <v>442834</v>
      </c>
      <c r="L15" s="31">
        <v>442792</v>
      </c>
      <c r="M15" s="32">
        <v>442827</v>
      </c>
      <c r="N15" s="30">
        <v>53873</v>
      </c>
      <c r="O15" s="31">
        <v>103737</v>
      </c>
      <c r="P15" s="31">
        <v>193198</v>
      </c>
      <c r="Q15" s="31">
        <v>335420</v>
      </c>
      <c r="R15" s="31">
        <v>498040</v>
      </c>
      <c r="S15" s="31">
        <v>580260</v>
      </c>
      <c r="T15" s="31">
        <v>580852</v>
      </c>
      <c r="U15" s="31">
        <v>580865</v>
      </c>
      <c r="V15" s="32">
        <v>580862</v>
      </c>
      <c r="X15" s="94"/>
      <c r="Y15" s="97"/>
      <c r="Z15" s="6">
        <v>1</v>
      </c>
      <c r="AA15" s="20">
        <f t="shared" si="2"/>
        <v>1.1778888049729854</v>
      </c>
      <c r="AB15" s="21">
        <f t="shared" si="3"/>
        <v>1.1881016399499189</v>
      </c>
      <c r="AC15" s="21">
        <f t="shared" si="4"/>
        <v>1.2020246099783529</v>
      </c>
      <c r="AD15" s="21">
        <f t="shared" si="5"/>
        <v>1.2093313640287975</v>
      </c>
      <c r="AE15" s="21">
        <f t="shared" si="6"/>
        <v>1.205706915586624</v>
      </c>
      <c r="AF15" s="21">
        <f t="shared" si="7"/>
        <v>1.2127096364380285</v>
      </c>
      <c r="AG15" s="21">
        <f t="shared" si="8"/>
        <v>1.2881757046658566</v>
      </c>
      <c r="AH15" s="21">
        <f t="shared" si="9"/>
        <v>1.2883024083542611</v>
      </c>
      <c r="AI15" s="22">
        <f t="shared" si="10"/>
        <v>1.2777743904504468</v>
      </c>
      <c r="AJ15" s="20">
        <f t="shared" si="11"/>
        <v>1.1474022237484454</v>
      </c>
      <c r="AK15" s="21">
        <f t="shared" si="12"/>
        <v>1.1573016377955792</v>
      </c>
      <c r="AL15" s="21">
        <f t="shared" si="13"/>
        <v>1.1733868880630234</v>
      </c>
      <c r="AM15" s="21">
        <f t="shared" si="14"/>
        <v>1.1968517083060044</v>
      </c>
      <c r="AN15" s="21">
        <f t="shared" si="15"/>
        <v>1.262641554895189</v>
      </c>
      <c r="AO15" s="21">
        <f t="shared" si="16"/>
        <v>1.4161755075311067</v>
      </c>
      <c r="AP15" s="21">
        <f t="shared" si="17"/>
        <v>1.4654989567049781</v>
      </c>
      <c r="AQ15" s="21">
        <f t="shared" si="18"/>
        <v>1.4652819501949679</v>
      </c>
      <c r="AR15" s="22">
        <f t="shared" si="19"/>
        <v>1.4652240979785216</v>
      </c>
    </row>
    <row r="16" spans="2:44" ht="15" customHeight="1">
      <c r="B16" s="83" t="s">
        <v>9</v>
      </c>
      <c r="C16" s="98" t="s">
        <v>6</v>
      </c>
      <c r="D16" s="4">
        <v>0.25</v>
      </c>
      <c r="E16" s="24">
        <v>12</v>
      </c>
      <c r="F16" s="25">
        <v>13</v>
      </c>
      <c r="G16" s="25">
        <v>14</v>
      </c>
      <c r="H16" s="25">
        <v>302</v>
      </c>
      <c r="I16" s="25">
        <v>628</v>
      </c>
      <c r="J16" s="25">
        <v>1400</v>
      </c>
      <c r="K16" s="25">
        <v>3888</v>
      </c>
      <c r="L16" s="25">
        <v>8768</v>
      </c>
      <c r="M16" s="26">
        <v>18560</v>
      </c>
      <c r="N16" s="24">
        <v>13</v>
      </c>
      <c r="O16" s="25">
        <v>13</v>
      </c>
      <c r="P16" s="25">
        <v>15</v>
      </c>
      <c r="Q16" s="25">
        <v>183</v>
      </c>
      <c r="R16" s="25">
        <v>446</v>
      </c>
      <c r="S16" s="25">
        <v>980</v>
      </c>
      <c r="T16" s="25">
        <v>2704</v>
      </c>
      <c r="U16" s="25">
        <v>6816</v>
      </c>
      <c r="V16" s="26">
        <v>14016</v>
      </c>
      <c r="X16" s="83" t="s">
        <v>9</v>
      </c>
      <c r="Y16" s="98" t="s">
        <v>6</v>
      </c>
      <c r="Z16" s="4">
        <v>0.25</v>
      </c>
      <c r="AA16" s="15">
        <f t="shared" si="2"/>
        <v>1.0833333333333333</v>
      </c>
      <c r="AB16" s="16">
        <f t="shared" si="3"/>
        <v>1.0769230769230769</v>
      </c>
      <c r="AC16" s="16">
        <f t="shared" si="4"/>
        <v>1.1428571428571428</v>
      </c>
      <c r="AD16" s="16">
        <f t="shared" si="5"/>
        <v>5.2980132450331126E-2</v>
      </c>
      <c r="AE16" s="16">
        <f t="shared" si="6"/>
        <v>2.5477707006369428E-2</v>
      </c>
      <c r="AF16" s="16">
        <f t="shared" si="7"/>
        <v>1.1428571428571429E-2</v>
      </c>
      <c r="AG16" s="16">
        <f t="shared" si="8"/>
        <v>5.1440329218106996E-3</v>
      </c>
      <c r="AH16" s="16">
        <f t="shared" si="9"/>
        <v>0.50729927007299269</v>
      </c>
      <c r="AI16" s="17">
        <f t="shared" si="10"/>
        <v>0.68620689655172418</v>
      </c>
      <c r="AJ16" s="15">
        <f t="shared" si="11"/>
        <v>1</v>
      </c>
      <c r="AK16" s="16">
        <f t="shared" si="12"/>
        <v>1.0769230769230769</v>
      </c>
      <c r="AL16" s="16">
        <f t="shared" si="13"/>
        <v>1.0666666666666667</v>
      </c>
      <c r="AM16" s="16">
        <f t="shared" si="14"/>
        <v>9.8360655737704916E-2</v>
      </c>
      <c r="AN16" s="16">
        <f t="shared" si="15"/>
        <v>3.811659192825112E-2</v>
      </c>
      <c r="AO16" s="16">
        <f t="shared" si="16"/>
        <v>1.8367346938775512E-2</v>
      </c>
      <c r="AP16" s="16">
        <f t="shared" si="17"/>
        <v>6.6568047337278108E-3</v>
      </c>
      <c r="AQ16" s="16">
        <f t="shared" si="18"/>
        <v>0.50469483568075113</v>
      </c>
      <c r="AR16" s="17">
        <f t="shared" si="19"/>
        <v>0.73515981735159819</v>
      </c>
    </row>
    <row r="17" spans="2:44" ht="15" customHeight="1">
      <c r="B17" s="93"/>
      <c r="C17" s="96"/>
      <c r="D17" s="5">
        <v>0.5</v>
      </c>
      <c r="E17" s="27">
        <v>16</v>
      </c>
      <c r="F17" s="28">
        <v>14</v>
      </c>
      <c r="G17" s="28">
        <v>213</v>
      </c>
      <c r="H17" s="28">
        <v>516</v>
      </c>
      <c r="I17" s="28">
        <v>1128</v>
      </c>
      <c r="J17" s="28">
        <v>2384</v>
      </c>
      <c r="K17" s="28">
        <v>5664</v>
      </c>
      <c r="L17" s="28">
        <v>12480</v>
      </c>
      <c r="M17" s="29">
        <v>27008</v>
      </c>
      <c r="N17" s="27">
        <v>13</v>
      </c>
      <c r="O17" s="28">
        <v>14</v>
      </c>
      <c r="P17" s="28">
        <v>159</v>
      </c>
      <c r="Q17" s="28">
        <v>398</v>
      </c>
      <c r="R17" s="28">
        <v>884</v>
      </c>
      <c r="S17" s="28">
        <v>1896</v>
      </c>
      <c r="T17" s="28">
        <v>4576</v>
      </c>
      <c r="U17" s="28">
        <v>9920</v>
      </c>
      <c r="V17" s="29">
        <v>21120</v>
      </c>
      <c r="X17" s="93"/>
      <c r="Y17" s="96"/>
      <c r="Z17" s="5">
        <v>0.5</v>
      </c>
      <c r="AA17" s="18">
        <f t="shared" si="2"/>
        <v>0.8125</v>
      </c>
      <c r="AB17" s="12">
        <f t="shared" si="3"/>
        <v>1.0714285714285714</v>
      </c>
      <c r="AC17" s="12">
        <f t="shared" si="4"/>
        <v>1.0938967136150235</v>
      </c>
      <c r="AD17" s="12">
        <f t="shared" si="5"/>
        <v>1.1085271317829457</v>
      </c>
      <c r="AE17" s="12">
        <f t="shared" si="6"/>
        <v>1.0851063829787233</v>
      </c>
      <c r="AF17" s="12">
        <f t="shared" si="7"/>
        <v>1.0671140939597314</v>
      </c>
      <c r="AG17" s="12">
        <f t="shared" si="8"/>
        <v>0.80790960451977401</v>
      </c>
      <c r="AH17" s="12">
        <f t="shared" si="9"/>
        <v>0.80512820512820515</v>
      </c>
      <c r="AI17" s="19">
        <f t="shared" si="10"/>
        <v>0.78199052132701419</v>
      </c>
      <c r="AJ17" s="18">
        <f t="shared" si="11"/>
        <v>1</v>
      </c>
      <c r="AK17" s="12">
        <f t="shared" si="12"/>
        <v>1.0714285714285714</v>
      </c>
      <c r="AL17" s="12">
        <f t="shared" si="13"/>
        <v>0.10062893081761007</v>
      </c>
      <c r="AM17" s="12">
        <f t="shared" si="14"/>
        <v>1.1306532663316582</v>
      </c>
      <c r="AN17" s="12">
        <f t="shared" si="15"/>
        <v>1.1447963800904977</v>
      </c>
      <c r="AO17" s="12">
        <f t="shared" si="16"/>
        <v>1.1054852320675106</v>
      </c>
      <c r="AP17" s="12">
        <f t="shared" si="17"/>
        <v>0.73776223776223782</v>
      </c>
      <c r="AQ17" s="12">
        <f t="shared" si="18"/>
        <v>0.7709677419354839</v>
      </c>
      <c r="AR17" s="19">
        <f t="shared" si="19"/>
        <v>0.84242424242424241</v>
      </c>
    </row>
    <row r="18" spans="2:44" ht="15" customHeight="1">
      <c r="B18" s="93"/>
      <c r="C18" s="96"/>
      <c r="D18" s="5">
        <v>0.75</v>
      </c>
      <c r="E18" s="27">
        <v>16</v>
      </c>
      <c r="F18" s="28">
        <v>131</v>
      </c>
      <c r="G18" s="28">
        <v>290</v>
      </c>
      <c r="H18" s="28">
        <v>580</v>
      </c>
      <c r="I18" s="28">
        <v>1176</v>
      </c>
      <c r="J18" s="28">
        <v>3120</v>
      </c>
      <c r="K18" s="28">
        <v>7136</v>
      </c>
      <c r="L18" s="28">
        <v>16064</v>
      </c>
      <c r="M18" s="29">
        <v>35072</v>
      </c>
      <c r="N18" s="27">
        <v>15</v>
      </c>
      <c r="O18" s="28">
        <v>111</v>
      </c>
      <c r="P18" s="28">
        <v>235</v>
      </c>
      <c r="Q18" s="28">
        <v>490</v>
      </c>
      <c r="R18" s="28">
        <v>996</v>
      </c>
      <c r="S18" s="28">
        <v>2544</v>
      </c>
      <c r="T18" s="28">
        <v>5856</v>
      </c>
      <c r="U18" s="28">
        <v>12736</v>
      </c>
      <c r="V18" s="29">
        <v>27776</v>
      </c>
      <c r="X18" s="93"/>
      <c r="Y18" s="96"/>
      <c r="Z18" s="5">
        <v>0.75</v>
      </c>
      <c r="AA18" s="18">
        <f t="shared" si="2"/>
        <v>0.8125</v>
      </c>
      <c r="AB18" s="12">
        <f t="shared" si="3"/>
        <v>1.2595419847328244</v>
      </c>
      <c r="AC18" s="12">
        <f t="shared" si="4"/>
        <v>1.1379310344827587</v>
      </c>
      <c r="AD18" s="12">
        <f t="shared" si="5"/>
        <v>1.1517241379310346</v>
      </c>
      <c r="AE18" s="12">
        <f t="shared" si="6"/>
        <v>1.1224489795918366</v>
      </c>
      <c r="AF18" s="12">
        <f t="shared" si="7"/>
        <v>0.84615384615384615</v>
      </c>
      <c r="AG18" s="12">
        <f t="shared" si="8"/>
        <v>0.68609865470852016</v>
      </c>
      <c r="AH18" s="12">
        <f t="shared" si="9"/>
        <v>0.61752988047808766</v>
      </c>
      <c r="AI18" s="19">
        <f t="shared" si="10"/>
        <v>0.63138686131386856</v>
      </c>
      <c r="AJ18" s="18">
        <f t="shared" si="11"/>
        <v>0.8666666666666667</v>
      </c>
      <c r="AK18" s="12">
        <f t="shared" si="12"/>
        <v>1.0630630630630631</v>
      </c>
      <c r="AL18" s="12">
        <f t="shared" si="13"/>
        <v>1.1489361702127661</v>
      </c>
      <c r="AM18" s="12">
        <f t="shared" si="14"/>
        <v>1.1183673469387756</v>
      </c>
      <c r="AN18" s="12">
        <f t="shared" si="15"/>
        <v>1.0843373493975903</v>
      </c>
      <c r="AO18" s="12">
        <f t="shared" si="16"/>
        <v>0.84905660377358494</v>
      </c>
      <c r="AP18" s="12">
        <f t="shared" si="17"/>
        <v>0.71584699453551914</v>
      </c>
      <c r="AQ18" s="12">
        <f t="shared" si="18"/>
        <v>0.6306532663316583</v>
      </c>
      <c r="AR18" s="19">
        <f t="shared" si="19"/>
        <v>0.70506912442396308</v>
      </c>
    </row>
    <row r="19" spans="2:44" ht="15" customHeight="1" thickBot="1">
      <c r="B19" s="93"/>
      <c r="C19" s="97"/>
      <c r="D19" s="6">
        <v>1</v>
      </c>
      <c r="E19" s="30">
        <v>74</v>
      </c>
      <c r="F19" s="31">
        <v>149</v>
      </c>
      <c r="G19" s="31">
        <v>298</v>
      </c>
      <c r="H19" s="31">
        <v>596</v>
      </c>
      <c r="I19" s="31">
        <v>1192</v>
      </c>
      <c r="J19" s="31">
        <v>2384</v>
      </c>
      <c r="K19" s="31">
        <v>4768</v>
      </c>
      <c r="L19" s="31">
        <v>9408</v>
      </c>
      <c r="M19" s="32">
        <v>19072</v>
      </c>
      <c r="N19" s="30">
        <v>64</v>
      </c>
      <c r="O19" s="31">
        <v>131</v>
      </c>
      <c r="P19" s="31">
        <v>253</v>
      </c>
      <c r="Q19" s="31">
        <v>506</v>
      </c>
      <c r="R19" s="31">
        <v>1048</v>
      </c>
      <c r="S19" s="31">
        <v>2064</v>
      </c>
      <c r="T19" s="31">
        <v>4080</v>
      </c>
      <c r="U19" s="31">
        <v>8160</v>
      </c>
      <c r="V19" s="32">
        <v>16512</v>
      </c>
      <c r="X19" s="93"/>
      <c r="Y19" s="97"/>
      <c r="Z19" s="6">
        <v>1</v>
      </c>
      <c r="AA19" s="20">
        <f t="shared" si="2"/>
        <v>1.1081081081081081</v>
      </c>
      <c r="AB19" s="21">
        <f t="shared" si="3"/>
        <v>1.1073825503355705</v>
      </c>
      <c r="AC19" s="21">
        <f t="shared" si="4"/>
        <v>1.1208053691275168</v>
      </c>
      <c r="AD19" s="21">
        <f t="shared" si="5"/>
        <v>1.1208053691275168</v>
      </c>
      <c r="AE19" s="21">
        <f t="shared" si="6"/>
        <v>1.1208053691275168</v>
      </c>
      <c r="AF19" s="21">
        <f t="shared" si="7"/>
        <v>1.1208053691275168</v>
      </c>
      <c r="AG19" s="21">
        <f t="shared" si="8"/>
        <v>0.89261744966442957</v>
      </c>
      <c r="AH19" s="21">
        <f t="shared" si="9"/>
        <v>0.891156462585034</v>
      </c>
      <c r="AI19" s="22">
        <f t="shared" si="10"/>
        <v>0.72147651006711411</v>
      </c>
      <c r="AJ19" s="20">
        <f t="shared" si="11"/>
        <v>0.671875</v>
      </c>
      <c r="AK19" s="21">
        <f t="shared" si="12"/>
        <v>0.66412213740458015</v>
      </c>
      <c r="AL19" s="21">
        <f t="shared" si="13"/>
        <v>0.69169960474308301</v>
      </c>
      <c r="AM19" s="21">
        <f t="shared" si="14"/>
        <v>0.69169960474308301</v>
      </c>
      <c r="AN19" s="21">
        <f t="shared" si="15"/>
        <v>0.66793893129770987</v>
      </c>
      <c r="AO19" s="21">
        <f t="shared" si="16"/>
        <v>0.67829457364341084</v>
      </c>
      <c r="AP19" s="21">
        <f t="shared" si="17"/>
        <v>0.69411764705882351</v>
      </c>
      <c r="AQ19" s="21">
        <f t="shared" si="18"/>
        <v>0.69411764705882351</v>
      </c>
      <c r="AR19" s="22">
        <f t="shared" si="19"/>
        <v>0.69379844961240311</v>
      </c>
    </row>
    <row r="20" spans="2:44" ht="15" customHeight="1">
      <c r="B20" s="93"/>
      <c r="C20" s="98" t="s">
        <v>7</v>
      </c>
      <c r="D20" s="4">
        <v>0.25</v>
      </c>
      <c r="E20" s="24">
        <v>17</v>
      </c>
      <c r="F20" s="25">
        <v>17</v>
      </c>
      <c r="G20" s="25">
        <v>19</v>
      </c>
      <c r="H20" s="25">
        <v>442</v>
      </c>
      <c r="I20" s="25">
        <v>828</v>
      </c>
      <c r="J20" s="25">
        <v>1880</v>
      </c>
      <c r="K20" s="25">
        <v>5344</v>
      </c>
      <c r="L20" s="25">
        <v>12992</v>
      </c>
      <c r="M20" s="26">
        <v>26240</v>
      </c>
      <c r="N20" s="24">
        <v>31</v>
      </c>
      <c r="O20" s="25">
        <v>19</v>
      </c>
      <c r="P20" s="25">
        <v>20</v>
      </c>
      <c r="Q20" s="25">
        <v>274</v>
      </c>
      <c r="R20" s="25">
        <v>596</v>
      </c>
      <c r="S20" s="25">
        <v>1320</v>
      </c>
      <c r="T20" s="25">
        <v>3952</v>
      </c>
      <c r="U20" s="25">
        <v>10304</v>
      </c>
      <c r="V20" s="26">
        <v>20352</v>
      </c>
      <c r="X20" s="93"/>
      <c r="Y20" s="98" t="s">
        <v>7</v>
      </c>
      <c r="Z20" s="4">
        <v>0.25</v>
      </c>
      <c r="AA20" s="15">
        <f t="shared" si="2"/>
        <v>1.0588235294117647</v>
      </c>
      <c r="AB20" s="16">
        <f t="shared" si="3"/>
        <v>1.1176470588235294</v>
      </c>
      <c r="AC20" s="16">
        <f t="shared" si="4"/>
        <v>1.1052631578947369</v>
      </c>
      <c r="AD20" s="16">
        <f t="shared" si="5"/>
        <v>4.7511312217194568E-2</v>
      </c>
      <c r="AE20" s="16">
        <f t="shared" si="6"/>
        <v>2.5362318840579712E-2</v>
      </c>
      <c r="AF20" s="16">
        <f t="shared" si="7"/>
        <v>1.1170212765957447E-2</v>
      </c>
      <c r="AG20" s="16">
        <f t="shared" si="8"/>
        <v>5.8008982035928141E-3</v>
      </c>
      <c r="AH20" s="16">
        <f t="shared" si="9"/>
        <v>0.47044334975369456</v>
      </c>
      <c r="AI20" s="17">
        <f t="shared" si="10"/>
        <v>0.66829268292682931</v>
      </c>
      <c r="AJ20" s="15">
        <f t="shared" si="11"/>
        <v>0.80645161290322576</v>
      </c>
      <c r="AK20" s="16">
        <f t="shared" si="12"/>
        <v>1</v>
      </c>
      <c r="AL20" s="16">
        <f t="shared" si="13"/>
        <v>1.05</v>
      </c>
      <c r="AM20" s="16">
        <f t="shared" si="14"/>
        <v>9.4890510948905105E-2</v>
      </c>
      <c r="AN20" s="16">
        <f t="shared" si="15"/>
        <v>4.1946308724832217E-2</v>
      </c>
      <c r="AO20" s="16">
        <f t="shared" si="16"/>
        <v>1.9696969696969695E-2</v>
      </c>
      <c r="AP20" s="16">
        <f t="shared" si="17"/>
        <v>6.8319838056680165E-3</v>
      </c>
      <c r="AQ20" s="16">
        <f t="shared" si="18"/>
        <v>0.4751552795031056</v>
      </c>
      <c r="AR20" s="17">
        <f t="shared" si="19"/>
        <v>0.72012578616352196</v>
      </c>
    </row>
    <row r="21" spans="2:44" ht="15" customHeight="1">
      <c r="B21" s="93"/>
      <c r="C21" s="96"/>
      <c r="D21" s="5">
        <v>0.5</v>
      </c>
      <c r="E21" s="27">
        <v>39</v>
      </c>
      <c r="F21" s="28">
        <v>18</v>
      </c>
      <c r="G21" s="28">
        <v>274</v>
      </c>
      <c r="H21" s="28">
        <v>612</v>
      </c>
      <c r="I21" s="28">
        <v>1272</v>
      </c>
      <c r="J21" s="28">
        <v>2800</v>
      </c>
      <c r="K21" s="28">
        <v>7904</v>
      </c>
      <c r="L21" s="28">
        <v>18560</v>
      </c>
      <c r="M21" s="29">
        <v>38656</v>
      </c>
      <c r="N21" s="27">
        <v>31</v>
      </c>
      <c r="O21" s="28">
        <v>19</v>
      </c>
      <c r="P21" s="28">
        <v>207</v>
      </c>
      <c r="Q21" s="28">
        <v>474</v>
      </c>
      <c r="R21" s="28">
        <v>996</v>
      </c>
      <c r="S21" s="28">
        <v>2256</v>
      </c>
      <c r="T21" s="28">
        <v>6368</v>
      </c>
      <c r="U21" s="28">
        <v>14016</v>
      </c>
      <c r="V21" s="29">
        <v>29568</v>
      </c>
      <c r="X21" s="93"/>
      <c r="Y21" s="96"/>
      <c r="Z21" s="5">
        <v>0.5</v>
      </c>
      <c r="AA21" s="18">
        <f t="shared" si="2"/>
        <v>0.46153846153846156</v>
      </c>
      <c r="AB21" s="12">
        <f t="shared" si="3"/>
        <v>1.0555555555555556</v>
      </c>
      <c r="AC21" s="12">
        <f t="shared" si="4"/>
        <v>1.1313868613138687</v>
      </c>
      <c r="AD21" s="12">
        <f t="shared" si="5"/>
        <v>1.0522875816993464</v>
      </c>
      <c r="AE21" s="12">
        <f t="shared" si="6"/>
        <v>1.0251572327044025</v>
      </c>
      <c r="AF21" s="12">
        <f t="shared" si="7"/>
        <v>0.93142857142857138</v>
      </c>
      <c r="AG21" s="12">
        <f t="shared" si="8"/>
        <v>0.58704453441295545</v>
      </c>
      <c r="AH21" s="12">
        <f t="shared" si="9"/>
        <v>0.68620689655172418</v>
      </c>
      <c r="AI21" s="19">
        <f t="shared" si="10"/>
        <v>0.7185430463576159</v>
      </c>
      <c r="AJ21" s="18">
        <f t="shared" si="11"/>
        <v>0.80645161290322576</v>
      </c>
      <c r="AK21" s="12">
        <f t="shared" si="12"/>
        <v>1.0526315789473684</v>
      </c>
      <c r="AL21" s="12">
        <f t="shared" si="13"/>
        <v>0.10144927536231885</v>
      </c>
      <c r="AM21" s="12">
        <f t="shared" si="14"/>
        <v>1.1054852320675106</v>
      </c>
      <c r="AN21" s="12">
        <f t="shared" si="15"/>
        <v>1.0843373493975903</v>
      </c>
      <c r="AO21" s="12">
        <f t="shared" si="16"/>
        <v>0.95744680851063835</v>
      </c>
      <c r="AP21" s="12">
        <f t="shared" si="17"/>
        <v>0.63567839195979903</v>
      </c>
      <c r="AQ21" s="12">
        <f t="shared" si="18"/>
        <v>0.68036529680365299</v>
      </c>
      <c r="AR21" s="19">
        <f t="shared" si="19"/>
        <v>0.74025974025974028</v>
      </c>
    </row>
    <row r="22" spans="2:44" ht="15" customHeight="1">
      <c r="B22" s="93"/>
      <c r="C22" s="96"/>
      <c r="D22" s="5">
        <v>0.75</v>
      </c>
      <c r="E22" s="27">
        <v>42</v>
      </c>
      <c r="F22" s="28">
        <v>151</v>
      </c>
      <c r="G22" s="28">
        <v>322</v>
      </c>
      <c r="H22" s="28">
        <v>636</v>
      </c>
      <c r="I22" s="28">
        <v>1272</v>
      </c>
      <c r="J22" s="28">
        <v>3632</v>
      </c>
      <c r="K22" s="28">
        <v>9792</v>
      </c>
      <c r="L22" s="28">
        <v>22400</v>
      </c>
      <c r="M22" s="29">
        <v>48896</v>
      </c>
      <c r="N22" s="27">
        <v>37</v>
      </c>
      <c r="O22" s="28">
        <v>126</v>
      </c>
      <c r="P22" s="28">
        <v>262</v>
      </c>
      <c r="Q22" s="28">
        <v>540</v>
      </c>
      <c r="R22" s="28">
        <v>1096</v>
      </c>
      <c r="S22" s="28">
        <v>2960</v>
      </c>
      <c r="T22" s="28">
        <v>8640</v>
      </c>
      <c r="U22" s="28">
        <v>17536</v>
      </c>
      <c r="V22" s="29">
        <v>39168</v>
      </c>
      <c r="X22" s="93"/>
      <c r="Y22" s="96"/>
      <c r="Z22" s="5">
        <v>0.75</v>
      </c>
      <c r="AA22" s="18">
        <f t="shared" si="2"/>
        <v>0.42857142857142855</v>
      </c>
      <c r="AB22" s="12">
        <f t="shared" si="3"/>
        <v>1.1059602649006623</v>
      </c>
      <c r="AC22" s="12">
        <f t="shared" si="4"/>
        <v>1.0372670807453417</v>
      </c>
      <c r="AD22" s="12">
        <f t="shared" si="5"/>
        <v>1.050314465408805</v>
      </c>
      <c r="AE22" s="12">
        <f t="shared" si="6"/>
        <v>1.050314465408805</v>
      </c>
      <c r="AF22" s="12">
        <f t="shared" si="7"/>
        <v>0.73568281938325997</v>
      </c>
      <c r="AG22" s="12">
        <f t="shared" si="8"/>
        <v>0.53921568627450978</v>
      </c>
      <c r="AH22" s="12">
        <f t="shared" si="9"/>
        <v>0.5971428571428572</v>
      </c>
      <c r="AI22" s="19">
        <f t="shared" si="10"/>
        <v>0.62565445026178013</v>
      </c>
      <c r="AJ22" s="18">
        <f t="shared" si="11"/>
        <v>0.7567567567567568</v>
      </c>
      <c r="AK22" s="12">
        <f t="shared" si="12"/>
        <v>1.0873015873015872</v>
      </c>
      <c r="AL22" s="12">
        <f t="shared" si="13"/>
        <v>1.0610687022900764</v>
      </c>
      <c r="AM22" s="12">
        <f t="shared" si="14"/>
        <v>1.0148148148148148</v>
      </c>
      <c r="AN22" s="12">
        <f t="shared" si="15"/>
        <v>1</v>
      </c>
      <c r="AO22" s="12">
        <f t="shared" si="16"/>
        <v>0.72972972972972971</v>
      </c>
      <c r="AP22" s="12">
        <f t="shared" si="17"/>
        <v>0.50740740740740742</v>
      </c>
      <c r="AQ22" s="12">
        <f t="shared" si="18"/>
        <v>0.63138686131386856</v>
      </c>
      <c r="AR22" s="19">
        <f t="shared" si="19"/>
        <v>0.74836601307189543</v>
      </c>
    </row>
    <row r="23" spans="2:44" ht="15" customHeight="1" thickBot="1">
      <c r="B23" s="93"/>
      <c r="C23" s="97"/>
      <c r="D23" s="6">
        <v>1</v>
      </c>
      <c r="E23" s="30">
        <v>79</v>
      </c>
      <c r="F23" s="31">
        <v>157</v>
      </c>
      <c r="G23" s="31">
        <v>314</v>
      </c>
      <c r="H23" s="31">
        <v>628</v>
      </c>
      <c r="I23" s="31">
        <v>1256</v>
      </c>
      <c r="J23" s="31">
        <v>2608</v>
      </c>
      <c r="K23" s="31">
        <v>5152</v>
      </c>
      <c r="L23" s="31">
        <v>13248</v>
      </c>
      <c r="M23" s="32">
        <v>25216</v>
      </c>
      <c r="N23" s="30">
        <v>68</v>
      </c>
      <c r="O23" s="31">
        <v>133</v>
      </c>
      <c r="P23" s="31">
        <v>262</v>
      </c>
      <c r="Q23" s="31">
        <v>516</v>
      </c>
      <c r="R23" s="31">
        <v>1048</v>
      </c>
      <c r="S23" s="31">
        <v>2384</v>
      </c>
      <c r="T23" s="31">
        <v>4576</v>
      </c>
      <c r="U23" s="31">
        <v>11328</v>
      </c>
      <c r="V23" s="32">
        <v>22400</v>
      </c>
      <c r="X23" s="93"/>
      <c r="Y23" s="97"/>
      <c r="Z23" s="6">
        <v>1</v>
      </c>
      <c r="AA23" s="20">
        <f t="shared" si="2"/>
        <v>1.0632911392405062</v>
      </c>
      <c r="AB23" s="21">
        <f t="shared" si="3"/>
        <v>1.0764331210191083</v>
      </c>
      <c r="AC23" s="21">
        <f t="shared" si="4"/>
        <v>1.0764331210191083</v>
      </c>
      <c r="AD23" s="21">
        <f t="shared" si="5"/>
        <v>1.0636942675159236</v>
      </c>
      <c r="AE23" s="21">
        <f t="shared" si="6"/>
        <v>1.0636942675159236</v>
      </c>
      <c r="AF23" s="21">
        <f t="shared" si="7"/>
        <v>1.0245398773006136</v>
      </c>
      <c r="AG23" s="21">
        <f t="shared" si="8"/>
        <v>1.0248447204968945</v>
      </c>
      <c r="AH23" s="21">
        <f t="shared" si="9"/>
        <v>0.80676328502415462</v>
      </c>
      <c r="AI23" s="22">
        <f t="shared" si="10"/>
        <v>0.87817258883248728</v>
      </c>
      <c r="AJ23" s="20">
        <f t="shared" si="11"/>
        <v>0.66176470588235292</v>
      </c>
      <c r="AK23" s="21">
        <f t="shared" si="12"/>
        <v>0.66917293233082709</v>
      </c>
      <c r="AL23" s="21">
        <f t="shared" si="13"/>
        <v>0.67557251908396942</v>
      </c>
      <c r="AM23" s="21">
        <f t="shared" si="14"/>
        <v>0.68604651162790697</v>
      </c>
      <c r="AN23" s="21">
        <f t="shared" si="15"/>
        <v>0.67557251908396942</v>
      </c>
      <c r="AO23" s="21">
        <f t="shared" si="16"/>
        <v>0.59395973154362414</v>
      </c>
      <c r="AP23" s="21">
        <f t="shared" si="17"/>
        <v>0.61888111888111885</v>
      </c>
      <c r="AQ23" s="21">
        <f t="shared" si="18"/>
        <v>0.53954802259887003</v>
      </c>
      <c r="AR23" s="22">
        <f t="shared" si="19"/>
        <v>0.7371428571428571</v>
      </c>
    </row>
    <row r="24" spans="2:44" ht="15" customHeight="1">
      <c r="B24" s="93"/>
      <c r="C24" s="95" t="s">
        <v>8</v>
      </c>
      <c r="D24" s="7">
        <v>0.25</v>
      </c>
      <c r="E24" s="33">
        <v>12187</v>
      </c>
      <c r="F24" s="34">
        <v>19547</v>
      </c>
      <c r="G24" s="34">
        <v>29051</v>
      </c>
      <c r="H24" s="34">
        <v>33666</v>
      </c>
      <c r="I24" s="34">
        <v>33757</v>
      </c>
      <c r="J24" s="34">
        <v>33742</v>
      </c>
      <c r="K24" s="34">
        <v>33756</v>
      </c>
      <c r="L24" s="34">
        <v>33756</v>
      </c>
      <c r="M24" s="35">
        <v>33754</v>
      </c>
      <c r="N24" s="33">
        <v>13762</v>
      </c>
      <c r="O24" s="34">
        <v>22957</v>
      </c>
      <c r="P24" s="34">
        <v>35846</v>
      </c>
      <c r="Q24" s="34">
        <v>46024</v>
      </c>
      <c r="R24" s="34">
        <v>45812</v>
      </c>
      <c r="S24" s="34">
        <v>45855</v>
      </c>
      <c r="T24" s="34">
        <v>45819</v>
      </c>
      <c r="U24" s="34">
        <v>45832</v>
      </c>
      <c r="V24" s="35">
        <v>45783</v>
      </c>
      <c r="X24" s="93"/>
      <c r="Y24" s="98" t="s">
        <v>8</v>
      </c>
      <c r="Z24" s="4">
        <v>0.25</v>
      </c>
      <c r="AA24" s="15">
        <f t="shared" si="2"/>
        <v>1.3157462870271601</v>
      </c>
      <c r="AB24" s="16">
        <f t="shared" si="3"/>
        <v>1.3844068143449122</v>
      </c>
      <c r="AC24" s="16">
        <f t="shared" si="4"/>
        <v>1.3158238959071977</v>
      </c>
      <c r="AD24" s="16">
        <f t="shared" si="5"/>
        <v>1.3049664349789105</v>
      </c>
      <c r="AE24" s="16">
        <f t="shared" si="6"/>
        <v>1.3029001392303818</v>
      </c>
      <c r="AF24" s="16">
        <f t="shared" si="7"/>
        <v>1.3023827870309999</v>
      </c>
      <c r="AG24" s="16">
        <f t="shared" si="8"/>
        <v>1.3027906150017774</v>
      </c>
      <c r="AH24" s="16">
        <f t="shared" si="9"/>
        <v>1.3041533357032824</v>
      </c>
      <c r="AI24" s="17">
        <f t="shared" si="10"/>
        <v>1.3013865023404634</v>
      </c>
      <c r="AJ24" s="15">
        <f t="shared" si="11"/>
        <v>1.2181368987065833</v>
      </c>
      <c r="AK24" s="16">
        <f t="shared" si="12"/>
        <v>1.2881038463213834</v>
      </c>
      <c r="AL24" s="16">
        <f t="shared" si="13"/>
        <v>1.284801651509234</v>
      </c>
      <c r="AM24" s="16">
        <f t="shared" si="14"/>
        <v>1.2910438032330958</v>
      </c>
      <c r="AN24" s="16">
        <f t="shared" si="15"/>
        <v>1.3023880206059548</v>
      </c>
      <c r="AO24" s="16">
        <f t="shared" si="16"/>
        <v>1.306487842111002</v>
      </c>
      <c r="AP24" s="16">
        <f t="shared" si="17"/>
        <v>1.3061175494882036</v>
      </c>
      <c r="AQ24" s="16">
        <f t="shared" si="18"/>
        <v>1.3070780240879736</v>
      </c>
      <c r="AR24" s="17">
        <f t="shared" si="19"/>
        <v>1.3080837865583295</v>
      </c>
    </row>
    <row r="25" spans="2:44" ht="15" customHeight="1">
      <c r="B25" s="93"/>
      <c r="C25" s="96"/>
      <c r="D25" s="5">
        <v>0.5</v>
      </c>
      <c r="E25" s="27">
        <v>25788</v>
      </c>
      <c r="F25" s="28">
        <v>39108</v>
      </c>
      <c r="G25" s="28">
        <v>44180</v>
      </c>
      <c r="H25" s="28">
        <v>44355</v>
      </c>
      <c r="I25" s="28">
        <v>44767</v>
      </c>
      <c r="J25" s="28">
        <v>44920</v>
      </c>
      <c r="K25" s="28">
        <v>44880</v>
      </c>
      <c r="L25" s="28">
        <v>44891</v>
      </c>
      <c r="M25" s="29">
        <v>44917</v>
      </c>
      <c r="N25" s="27">
        <v>30590</v>
      </c>
      <c r="O25" s="28">
        <v>48300</v>
      </c>
      <c r="P25" s="28">
        <v>57237</v>
      </c>
      <c r="Q25" s="28">
        <v>57194</v>
      </c>
      <c r="R25" s="28">
        <v>57411</v>
      </c>
      <c r="S25" s="28">
        <v>56339</v>
      </c>
      <c r="T25" s="28">
        <v>56194</v>
      </c>
      <c r="U25" s="28">
        <v>57380</v>
      </c>
      <c r="V25" s="29">
        <v>57365</v>
      </c>
      <c r="X25" s="93"/>
      <c r="Y25" s="96"/>
      <c r="Z25" s="5">
        <v>0.5</v>
      </c>
      <c r="AA25" s="18">
        <f t="shared" si="2"/>
        <v>1.4349309756475881</v>
      </c>
      <c r="AB25" s="12">
        <f t="shared" si="3"/>
        <v>1.395289966247315</v>
      </c>
      <c r="AC25" s="12">
        <f t="shared" si="4"/>
        <v>1.4396785875961973</v>
      </c>
      <c r="AD25" s="12">
        <f t="shared" si="5"/>
        <v>1.432262428136625</v>
      </c>
      <c r="AE25" s="12">
        <f t="shared" si="6"/>
        <v>1.419907521165144</v>
      </c>
      <c r="AF25" s="12">
        <f t="shared" si="7"/>
        <v>1.4142698130008904</v>
      </c>
      <c r="AG25" s="12">
        <f t="shared" si="8"/>
        <v>1.4152852049910873</v>
      </c>
      <c r="AH25" s="12">
        <f t="shared" si="9"/>
        <v>1.4151166158027222</v>
      </c>
      <c r="AI25" s="19">
        <f t="shared" si="10"/>
        <v>1.4148095375915577</v>
      </c>
      <c r="AJ25" s="18">
        <f t="shared" si="11"/>
        <v>1.2853546910755149</v>
      </c>
      <c r="AK25" s="12">
        <f t="shared" si="12"/>
        <v>1.2772256728778468</v>
      </c>
      <c r="AL25" s="12">
        <f t="shared" si="13"/>
        <v>1.4239914740465083</v>
      </c>
      <c r="AM25" s="12">
        <f t="shared" si="14"/>
        <v>1.4160576284225619</v>
      </c>
      <c r="AN25" s="12">
        <f t="shared" si="15"/>
        <v>1.414868230826845</v>
      </c>
      <c r="AO25" s="12">
        <f t="shared" si="16"/>
        <v>1.4444700828910702</v>
      </c>
      <c r="AP25" s="12">
        <f t="shared" si="17"/>
        <v>1.4409189593195002</v>
      </c>
      <c r="AQ25" s="12">
        <f t="shared" si="18"/>
        <v>1.4093063785291042</v>
      </c>
      <c r="AR25" s="19">
        <f t="shared" si="19"/>
        <v>1.410372178157413</v>
      </c>
    </row>
    <row r="26" spans="2:44" ht="15" customHeight="1">
      <c r="B26" s="93"/>
      <c r="C26" s="96"/>
      <c r="D26" s="5">
        <v>0.75</v>
      </c>
      <c r="E26" s="27">
        <v>47723</v>
      </c>
      <c r="F26" s="28">
        <v>50964</v>
      </c>
      <c r="G26" s="28">
        <v>50939</v>
      </c>
      <c r="H26" s="28">
        <v>51037</v>
      </c>
      <c r="I26" s="28">
        <v>51238</v>
      </c>
      <c r="J26" s="28">
        <v>51343</v>
      </c>
      <c r="K26" s="28">
        <v>51377</v>
      </c>
      <c r="L26" s="28">
        <v>51368</v>
      </c>
      <c r="M26" s="29">
        <v>51329</v>
      </c>
      <c r="N26" s="27">
        <v>59217</v>
      </c>
      <c r="O26" s="28">
        <v>62564</v>
      </c>
      <c r="P26" s="28">
        <v>62632</v>
      </c>
      <c r="Q26" s="28">
        <v>60736</v>
      </c>
      <c r="R26" s="28">
        <v>62202</v>
      </c>
      <c r="S26" s="28">
        <v>62772</v>
      </c>
      <c r="T26" s="28">
        <v>63012</v>
      </c>
      <c r="U26" s="28">
        <v>62728</v>
      </c>
      <c r="V26" s="29">
        <v>62926</v>
      </c>
      <c r="X26" s="93"/>
      <c r="Y26" s="96"/>
      <c r="Z26" s="5">
        <v>0.75</v>
      </c>
      <c r="AA26" s="18">
        <f t="shared" si="2"/>
        <v>1.4421348196886197</v>
      </c>
      <c r="AB26" s="12">
        <f t="shared" si="3"/>
        <v>1.5336904481594851</v>
      </c>
      <c r="AC26" s="12">
        <f t="shared" si="4"/>
        <v>1.536484815171087</v>
      </c>
      <c r="AD26" s="12">
        <f t="shared" si="5"/>
        <v>1.5334953073260575</v>
      </c>
      <c r="AE26" s="12">
        <f t="shared" si="6"/>
        <v>1.5278894570436004</v>
      </c>
      <c r="AF26" s="12">
        <f t="shared" si="7"/>
        <v>1.523946789240987</v>
      </c>
      <c r="AG26" s="12">
        <f t="shared" si="8"/>
        <v>1.5197851178542927</v>
      </c>
      <c r="AH26" s="12">
        <f t="shared" si="9"/>
        <v>1.5205770129263354</v>
      </c>
      <c r="AI26" s="19">
        <f t="shared" si="10"/>
        <v>1.5209141031385767</v>
      </c>
      <c r="AJ26" s="18">
        <f t="shared" si="11"/>
        <v>1.2257459851056285</v>
      </c>
      <c r="AK26" s="12">
        <f t="shared" si="12"/>
        <v>1.5379131769068475</v>
      </c>
      <c r="AL26" s="12">
        <f t="shared" si="13"/>
        <v>1.5302082002810065</v>
      </c>
      <c r="AM26" s="12">
        <f t="shared" si="14"/>
        <v>1.5813520811380399</v>
      </c>
      <c r="AN26" s="12">
        <f t="shared" si="15"/>
        <v>1.5411883862255233</v>
      </c>
      <c r="AO26" s="12">
        <f t="shared" si="16"/>
        <v>1.5277990186707449</v>
      </c>
      <c r="AP26" s="12">
        <f t="shared" si="17"/>
        <v>1.5150130133942741</v>
      </c>
      <c r="AQ26" s="12">
        <f t="shared" si="18"/>
        <v>1.5207722229307485</v>
      </c>
      <c r="AR26" s="19">
        <f t="shared" si="19"/>
        <v>1.5159234656580745</v>
      </c>
    </row>
    <row r="27" spans="2:44" ht="15" customHeight="1" thickBot="1">
      <c r="B27" s="94"/>
      <c r="C27" s="97"/>
      <c r="D27" s="6">
        <v>1</v>
      </c>
      <c r="E27" s="30">
        <v>57151</v>
      </c>
      <c r="F27" s="31">
        <v>57114</v>
      </c>
      <c r="G27" s="31">
        <v>57083</v>
      </c>
      <c r="H27" s="31">
        <v>57126</v>
      </c>
      <c r="I27" s="31">
        <v>57102</v>
      </c>
      <c r="J27" s="31">
        <v>57110</v>
      </c>
      <c r="K27" s="31">
        <v>57109</v>
      </c>
      <c r="L27" s="31">
        <v>57140</v>
      </c>
      <c r="M27" s="32">
        <v>57075</v>
      </c>
      <c r="N27" s="30">
        <v>63511</v>
      </c>
      <c r="O27" s="31">
        <v>63512</v>
      </c>
      <c r="P27" s="31">
        <v>63518</v>
      </c>
      <c r="Q27" s="31">
        <v>63520</v>
      </c>
      <c r="R27" s="31">
        <v>63517</v>
      </c>
      <c r="S27" s="31">
        <v>63532</v>
      </c>
      <c r="T27" s="31">
        <v>63528</v>
      </c>
      <c r="U27" s="31">
        <v>63529</v>
      </c>
      <c r="V27" s="32">
        <v>63535</v>
      </c>
      <c r="X27" s="94"/>
      <c r="Y27" s="97"/>
      <c r="Z27" s="6">
        <v>1</v>
      </c>
      <c r="AA27" s="20">
        <f t="shared" si="2"/>
        <v>1.585151615894735</v>
      </c>
      <c r="AB27" s="21">
        <f t="shared" si="3"/>
        <v>1.5843225829043668</v>
      </c>
      <c r="AC27" s="21">
        <f t="shared" si="4"/>
        <v>1.5863917453532574</v>
      </c>
      <c r="AD27" s="21">
        <f t="shared" si="5"/>
        <v>1.5843223751006548</v>
      </c>
      <c r="AE27" s="21">
        <f t="shared" si="6"/>
        <v>1.5848481664390039</v>
      </c>
      <c r="AF27" s="21">
        <f t="shared" si="7"/>
        <v>1.5843635090176851</v>
      </c>
      <c r="AG27" s="21">
        <f t="shared" si="8"/>
        <v>1.5853893431858377</v>
      </c>
      <c r="AH27" s="21">
        <f t="shared" si="9"/>
        <v>1.5840042002100105</v>
      </c>
      <c r="AI27" s="22">
        <f t="shared" si="10"/>
        <v>1.5837056504599212</v>
      </c>
      <c r="AJ27" s="20">
        <f t="shared" si="11"/>
        <v>1.4310276959896711</v>
      </c>
      <c r="AK27" s="21">
        <f t="shared" si="12"/>
        <v>1.4310051643783852</v>
      </c>
      <c r="AL27" s="21">
        <f t="shared" si="13"/>
        <v>1.4308699896092447</v>
      </c>
      <c r="AM27" s="21">
        <f t="shared" si="14"/>
        <v>1.4308249370277077</v>
      </c>
      <c r="AN27" s="21">
        <f t="shared" si="15"/>
        <v>1.4308925169639624</v>
      </c>
      <c r="AO27" s="21">
        <f t="shared" si="16"/>
        <v>1.4305546811055845</v>
      </c>
      <c r="AP27" s="21">
        <f t="shared" si="17"/>
        <v>1.4306447550686312</v>
      </c>
      <c r="AQ27" s="21">
        <f t="shared" si="18"/>
        <v>1.4306064946717247</v>
      </c>
      <c r="AR27" s="22">
        <f t="shared" si="19"/>
        <v>1.4304556543637366</v>
      </c>
    </row>
    <row r="28" spans="2:44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44" ht="15" customHeight="1" thickBot="1">
      <c r="B29" s="112" t="s">
        <v>62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4"/>
      <c r="M29" s="85"/>
      <c r="N29" s="83" t="s">
        <v>24</v>
      </c>
      <c r="O29" s="84"/>
      <c r="P29" s="84"/>
      <c r="Q29" s="84"/>
      <c r="R29" s="84"/>
      <c r="S29" s="84"/>
      <c r="T29" s="84"/>
      <c r="U29" s="84"/>
      <c r="V29" s="85"/>
      <c r="X29" s="13" t="s">
        <v>20</v>
      </c>
      <c r="Y29" s="14">
        <f>(COUNTIF(AA4:AR11,"&lt;1.1")+COUNTIF(AA16:AR23,"&lt;1.1"))/(COUNT(AA4:AR11)+COUNT(AA16:AR23))</f>
        <v>0.91319444444444442</v>
      </c>
      <c r="Z29" s="109" t="s">
        <v>19</v>
      </c>
      <c r="AA29" s="110"/>
      <c r="AB29" s="110"/>
      <c r="AC29" s="110"/>
      <c r="AD29" s="111"/>
    </row>
    <row r="30" spans="2:44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2" t="s">
        <v>23</v>
      </c>
      <c r="M30" s="3" t="s">
        <v>17</v>
      </c>
      <c r="N30" s="1" t="s">
        <v>0</v>
      </c>
      <c r="O30" s="2" t="s">
        <v>1</v>
      </c>
      <c r="P30" s="2" t="s">
        <v>2</v>
      </c>
      <c r="Q30" s="2" t="s">
        <v>3</v>
      </c>
      <c r="R30" s="2" t="s">
        <v>4</v>
      </c>
      <c r="S30" s="2" t="s">
        <v>18</v>
      </c>
      <c r="T30" s="2" t="s">
        <v>16</v>
      </c>
      <c r="U30" s="2" t="s">
        <v>23</v>
      </c>
      <c r="V30" s="3" t="s">
        <v>17</v>
      </c>
      <c r="X30" s="13" t="s">
        <v>21</v>
      </c>
      <c r="Y30" s="23">
        <f>(COUNTIF(AA4:AR11,"&lt;1.1"))/(COUNT(AA4:AR11))</f>
        <v>0.97916666666666663</v>
      </c>
      <c r="Z30" s="109" t="s">
        <v>19</v>
      </c>
      <c r="AA30" s="110"/>
      <c r="AB30" s="110"/>
      <c r="AC30" s="110"/>
      <c r="AD30" s="111"/>
    </row>
    <row r="31" spans="2:44" ht="15" customHeight="1" thickBot="1">
      <c r="B31" s="92" t="s">
        <v>5</v>
      </c>
      <c r="C31" s="98" t="s">
        <v>6</v>
      </c>
      <c r="D31" s="4">
        <v>0.25</v>
      </c>
      <c r="E31" s="36">
        <v>382</v>
      </c>
      <c r="F31" s="37">
        <v>426</v>
      </c>
      <c r="G31" s="37">
        <v>466</v>
      </c>
      <c r="H31" s="37">
        <v>532</v>
      </c>
      <c r="I31" s="37">
        <v>564</v>
      </c>
      <c r="J31" s="37">
        <v>580</v>
      </c>
      <c r="K31" s="37">
        <v>446</v>
      </c>
      <c r="L31" s="37">
        <v>6816</v>
      </c>
      <c r="M31" s="38">
        <v>19072</v>
      </c>
      <c r="N31" s="36">
        <v>494</v>
      </c>
      <c r="O31" s="37">
        <v>564</v>
      </c>
      <c r="P31" s="37">
        <v>612</v>
      </c>
      <c r="Q31" s="37">
        <v>660</v>
      </c>
      <c r="R31" s="37">
        <v>676</v>
      </c>
      <c r="S31" s="37">
        <v>700</v>
      </c>
      <c r="T31" s="37">
        <v>628</v>
      </c>
      <c r="U31" s="37">
        <v>5536</v>
      </c>
      <c r="V31" s="38">
        <v>17024</v>
      </c>
      <c r="X31" s="13" t="s">
        <v>22</v>
      </c>
      <c r="Y31" s="23">
        <f>COUNTIF(AA16:AR23,"&lt;1.1")/+COUNT(AA16:AR23)</f>
        <v>0.84722222222222221</v>
      </c>
      <c r="Z31" s="109" t="s">
        <v>19</v>
      </c>
      <c r="AA31" s="110"/>
      <c r="AB31" s="110"/>
      <c r="AC31" s="110"/>
      <c r="AD31" s="111"/>
    </row>
    <row r="32" spans="2:44" ht="15" customHeight="1">
      <c r="B32" s="93"/>
      <c r="C32" s="96"/>
      <c r="D32" s="5">
        <v>0.5</v>
      </c>
      <c r="E32" s="39">
        <v>310</v>
      </c>
      <c r="F32" s="40">
        <v>378</v>
      </c>
      <c r="G32" s="40">
        <v>470</v>
      </c>
      <c r="H32" s="40">
        <v>636</v>
      </c>
      <c r="I32" s="40">
        <v>956</v>
      </c>
      <c r="J32" s="40">
        <v>1576</v>
      </c>
      <c r="K32" s="40">
        <v>2768</v>
      </c>
      <c r="L32" s="40">
        <v>6496</v>
      </c>
      <c r="M32" s="41">
        <v>17536</v>
      </c>
      <c r="N32" s="39">
        <v>366</v>
      </c>
      <c r="O32" s="40">
        <v>462</v>
      </c>
      <c r="P32" s="40">
        <v>564</v>
      </c>
      <c r="Q32" s="40">
        <v>796</v>
      </c>
      <c r="R32" s="40">
        <v>1048</v>
      </c>
      <c r="S32" s="40">
        <v>1416</v>
      </c>
      <c r="T32" s="40">
        <v>828</v>
      </c>
      <c r="U32" s="40">
        <v>4896</v>
      </c>
      <c r="V32" s="41">
        <v>15168</v>
      </c>
    </row>
    <row r="33" spans="2:31" ht="15" customHeight="1">
      <c r="B33" s="93"/>
      <c r="C33" s="96"/>
      <c r="D33" s="5">
        <v>0.75</v>
      </c>
      <c r="E33" s="39">
        <v>258</v>
      </c>
      <c r="F33" s="40">
        <v>314</v>
      </c>
      <c r="G33" s="40">
        <v>398</v>
      </c>
      <c r="H33" s="40">
        <v>532</v>
      </c>
      <c r="I33" s="40">
        <v>804</v>
      </c>
      <c r="J33" s="40">
        <v>1320</v>
      </c>
      <c r="K33" s="40">
        <v>2352</v>
      </c>
      <c r="L33" s="40">
        <v>6432</v>
      </c>
      <c r="M33" s="41">
        <v>14784</v>
      </c>
      <c r="N33" s="39">
        <v>270</v>
      </c>
      <c r="O33" s="40">
        <v>346</v>
      </c>
      <c r="P33" s="40">
        <v>446</v>
      </c>
      <c r="Q33" s="40">
        <v>588</v>
      </c>
      <c r="R33" s="40">
        <v>836</v>
      </c>
      <c r="S33" s="40">
        <v>1288</v>
      </c>
      <c r="T33" s="40">
        <v>2128</v>
      </c>
      <c r="U33" s="40">
        <v>4960</v>
      </c>
      <c r="V33" s="41">
        <v>11712</v>
      </c>
    </row>
    <row r="34" spans="2:31" ht="15" customHeight="1" thickBot="1">
      <c r="B34" s="93"/>
      <c r="C34" s="97"/>
      <c r="D34" s="6">
        <v>1</v>
      </c>
      <c r="E34" s="42">
        <v>106</v>
      </c>
      <c r="F34" s="43">
        <v>120</v>
      </c>
      <c r="G34" s="43">
        <v>159</v>
      </c>
      <c r="H34" s="43">
        <v>243</v>
      </c>
      <c r="I34" s="43">
        <v>446</v>
      </c>
      <c r="J34" s="43">
        <v>900</v>
      </c>
      <c r="K34" s="43">
        <v>1704</v>
      </c>
      <c r="L34" s="43">
        <v>2864</v>
      </c>
      <c r="M34" s="44">
        <v>6560</v>
      </c>
      <c r="N34" s="42">
        <v>98</v>
      </c>
      <c r="O34" s="43">
        <v>108</v>
      </c>
      <c r="P34" s="43">
        <v>125</v>
      </c>
      <c r="Q34" s="43">
        <v>165</v>
      </c>
      <c r="R34" s="43">
        <v>258</v>
      </c>
      <c r="S34" s="43">
        <v>486</v>
      </c>
      <c r="T34" s="43">
        <v>908</v>
      </c>
      <c r="U34" s="43">
        <v>1752</v>
      </c>
      <c r="V34" s="44">
        <v>4048</v>
      </c>
    </row>
    <row r="35" spans="2:31" ht="15" customHeight="1">
      <c r="B35" s="93"/>
      <c r="C35" s="98" t="s">
        <v>7</v>
      </c>
      <c r="D35" s="4">
        <v>0.25</v>
      </c>
      <c r="E35" s="36">
        <v>884</v>
      </c>
      <c r="F35" s="37">
        <v>924</v>
      </c>
      <c r="G35" s="37">
        <v>956</v>
      </c>
      <c r="H35" s="37">
        <v>988</v>
      </c>
      <c r="I35" s="37">
        <v>1080</v>
      </c>
      <c r="J35" s="37">
        <v>1720</v>
      </c>
      <c r="K35" s="37">
        <v>964</v>
      </c>
      <c r="L35" s="37">
        <v>10304</v>
      </c>
      <c r="M35" s="38">
        <v>27520</v>
      </c>
      <c r="N35" s="36">
        <v>892</v>
      </c>
      <c r="O35" s="37">
        <v>956</v>
      </c>
      <c r="P35" s="37">
        <v>1012</v>
      </c>
      <c r="Q35" s="37">
        <v>1096</v>
      </c>
      <c r="R35" s="37">
        <v>1208</v>
      </c>
      <c r="S35" s="37">
        <v>1768</v>
      </c>
      <c r="T35" s="37">
        <v>1020</v>
      </c>
      <c r="U35" s="37">
        <v>8256</v>
      </c>
      <c r="V35" s="38">
        <v>27008</v>
      </c>
    </row>
    <row r="36" spans="2:31" ht="15" customHeight="1">
      <c r="B36" s="93"/>
      <c r="C36" s="96"/>
      <c r="D36" s="5">
        <v>0.5</v>
      </c>
      <c r="E36" s="39">
        <v>844</v>
      </c>
      <c r="F36" s="40">
        <v>884</v>
      </c>
      <c r="G36" s="40">
        <v>932</v>
      </c>
      <c r="H36" s="40">
        <v>1080</v>
      </c>
      <c r="I36" s="40">
        <v>1416</v>
      </c>
      <c r="J36" s="40">
        <v>2224</v>
      </c>
      <c r="K36" s="40">
        <v>3984</v>
      </c>
      <c r="L36" s="40">
        <v>9024</v>
      </c>
      <c r="M36" s="41">
        <v>24192</v>
      </c>
      <c r="N36" s="39">
        <v>804</v>
      </c>
      <c r="O36" s="40">
        <v>884</v>
      </c>
      <c r="P36" s="40">
        <v>972</v>
      </c>
      <c r="Q36" s="40">
        <v>1240</v>
      </c>
      <c r="R36" s="40">
        <v>1560</v>
      </c>
      <c r="S36" s="40">
        <v>2160</v>
      </c>
      <c r="T36" s="40">
        <v>3376</v>
      </c>
      <c r="U36" s="40">
        <v>6944</v>
      </c>
      <c r="V36" s="41">
        <v>19072</v>
      </c>
    </row>
    <row r="37" spans="2:31" ht="15" customHeight="1">
      <c r="B37" s="93"/>
      <c r="C37" s="96"/>
      <c r="D37" s="5">
        <v>0.75</v>
      </c>
      <c r="E37" s="39">
        <v>556</v>
      </c>
      <c r="F37" s="40">
        <v>724</v>
      </c>
      <c r="G37" s="40">
        <v>884</v>
      </c>
      <c r="H37" s="40">
        <v>988</v>
      </c>
      <c r="I37" s="40">
        <v>1336</v>
      </c>
      <c r="J37" s="40">
        <v>2064</v>
      </c>
      <c r="K37" s="40">
        <v>3120</v>
      </c>
      <c r="L37" s="40">
        <v>8096</v>
      </c>
      <c r="M37" s="41">
        <v>19584</v>
      </c>
      <c r="N37" s="39">
        <v>740</v>
      </c>
      <c r="O37" s="40">
        <v>772</v>
      </c>
      <c r="P37" s="40">
        <v>884</v>
      </c>
      <c r="Q37" s="40">
        <v>1064</v>
      </c>
      <c r="R37" s="40">
        <v>1368</v>
      </c>
      <c r="S37" s="40">
        <v>1848</v>
      </c>
      <c r="T37" s="40">
        <v>2736</v>
      </c>
      <c r="U37" s="40">
        <v>6496</v>
      </c>
      <c r="V37" s="41">
        <v>16192</v>
      </c>
    </row>
    <row r="38" spans="2:31" ht="15" customHeight="1" thickBot="1">
      <c r="B38" s="93"/>
      <c r="C38" s="97"/>
      <c r="D38" s="6">
        <v>1</v>
      </c>
      <c r="E38" s="42">
        <v>153</v>
      </c>
      <c r="F38" s="43">
        <v>193</v>
      </c>
      <c r="G38" s="43">
        <v>266</v>
      </c>
      <c r="H38" s="43">
        <v>442</v>
      </c>
      <c r="I38" s="43">
        <v>812</v>
      </c>
      <c r="J38" s="43">
        <v>1640</v>
      </c>
      <c r="K38" s="46">
        <v>3024</v>
      </c>
      <c r="L38" s="43">
        <v>4320</v>
      </c>
      <c r="M38" s="44">
        <v>8640</v>
      </c>
      <c r="N38" s="42">
        <v>139</v>
      </c>
      <c r="O38" s="43">
        <v>161</v>
      </c>
      <c r="P38" s="43">
        <v>203</v>
      </c>
      <c r="Q38" s="43">
        <v>282</v>
      </c>
      <c r="R38" s="43">
        <v>478</v>
      </c>
      <c r="S38" s="43">
        <v>916</v>
      </c>
      <c r="T38" s="43">
        <v>1672</v>
      </c>
      <c r="U38" s="43">
        <v>2576</v>
      </c>
      <c r="V38" s="44">
        <v>4896</v>
      </c>
    </row>
    <row r="39" spans="2:31" ht="15" customHeight="1">
      <c r="B39" s="93"/>
      <c r="C39" s="98" t="s">
        <v>8</v>
      </c>
      <c r="D39" s="4">
        <v>0.25</v>
      </c>
      <c r="E39" s="36">
        <v>22940</v>
      </c>
      <c r="F39" s="37">
        <v>26051</v>
      </c>
      <c r="G39" s="37">
        <v>26085</v>
      </c>
      <c r="H39" s="37">
        <v>26082</v>
      </c>
      <c r="I39" s="37">
        <v>26087</v>
      </c>
      <c r="J39" s="37">
        <v>26087</v>
      </c>
      <c r="K39" s="37">
        <v>26032</v>
      </c>
      <c r="L39" s="37">
        <v>26035</v>
      </c>
      <c r="M39" s="38">
        <v>26023</v>
      </c>
      <c r="N39" s="36">
        <v>24196</v>
      </c>
      <c r="O39" s="37">
        <v>32069</v>
      </c>
      <c r="P39" s="37">
        <v>31959</v>
      </c>
      <c r="Q39" s="37">
        <v>32023</v>
      </c>
      <c r="R39" s="37">
        <v>31966</v>
      </c>
      <c r="S39" s="37">
        <v>31967</v>
      </c>
      <c r="T39" s="37">
        <v>31816</v>
      </c>
      <c r="U39" s="37">
        <v>31793</v>
      </c>
      <c r="V39" s="38">
        <v>31796</v>
      </c>
    </row>
    <row r="40" spans="2:31" ht="15" customHeight="1">
      <c r="B40" s="93"/>
      <c r="C40" s="96"/>
      <c r="D40" s="5">
        <v>0.5</v>
      </c>
      <c r="E40" s="39">
        <v>36994</v>
      </c>
      <c r="F40" s="40">
        <v>54548</v>
      </c>
      <c r="G40" s="40">
        <v>63603</v>
      </c>
      <c r="H40" s="40">
        <v>63546</v>
      </c>
      <c r="I40" s="40">
        <v>63579</v>
      </c>
      <c r="J40" s="40">
        <v>63528</v>
      </c>
      <c r="K40" s="40">
        <v>63549</v>
      </c>
      <c r="L40" s="40">
        <v>63519</v>
      </c>
      <c r="M40" s="41">
        <v>63544</v>
      </c>
      <c r="N40" s="39">
        <v>39304</v>
      </c>
      <c r="O40" s="40">
        <v>61680</v>
      </c>
      <c r="P40" s="40">
        <v>81500</v>
      </c>
      <c r="Q40" s="40">
        <v>81003</v>
      </c>
      <c r="R40" s="40">
        <v>81227</v>
      </c>
      <c r="S40" s="40">
        <v>81409</v>
      </c>
      <c r="T40" s="40">
        <v>80945</v>
      </c>
      <c r="U40" s="40">
        <v>80850</v>
      </c>
      <c r="V40" s="41">
        <v>80891</v>
      </c>
    </row>
    <row r="41" spans="2:31" ht="15" customHeight="1">
      <c r="B41" s="93"/>
      <c r="C41" s="96"/>
      <c r="D41" s="5">
        <v>0.75</v>
      </c>
      <c r="E41" s="39">
        <v>48118</v>
      </c>
      <c r="F41" s="40">
        <v>81165</v>
      </c>
      <c r="G41" s="40">
        <v>114682</v>
      </c>
      <c r="H41" s="40">
        <v>131795</v>
      </c>
      <c r="I41" s="40">
        <v>131990</v>
      </c>
      <c r="J41" s="40">
        <v>131921</v>
      </c>
      <c r="K41" s="40">
        <v>131904</v>
      </c>
      <c r="L41" s="40">
        <v>132080</v>
      </c>
      <c r="M41" s="41">
        <v>131809</v>
      </c>
      <c r="N41" s="39">
        <v>50286</v>
      </c>
      <c r="O41" s="40">
        <v>88751</v>
      </c>
      <c r="P41" s="40">
        <v>138140</v>
      </c>
      <c r="Q41" s="40">
        <v>178199</v>
      </c>
      <c r="R41" s="40">
        <v>178994</v>
      </c>
      <c r="S41" s="40">
        <v>179726</v>
      </c>
      <c r="T41" s="40">
        <v>179537</v>
      </c>
      <c r="U41" s="40">
        <v>179717</v>
      </c>
      <c r="V41" s="41">
        <v>179638</v>
      </c>
    </row>
    <row r="42" spans="2:31" ht="15" customHeight="1" thickBot="1">
      <c r="B42" s="94"/>
      <c r="C42" s="97"/>
      <c r="D42" s="6">
        <v>1</v>
      </c>
      <c r="E42" s="42">
        <v>60825</v>
      </c>
      <c r="F42" s="43">
        <v>115771</v>
      </c>
      <c r="G42" s="43">
        <v>209341</v>
      </c>
      <c r="H42" s="43">
        <v>338978</v>
      </c>
      <c r="I42" s="43">
        <v>460867</v>
      </c>
      <c r="J42" s="43">
        <v>536470</v>
      </c>
      <c r="K42" s="43">
        <v>570448</v>
      </c>
      <c r="L42" s="43">
        <v>570450</v>
      </c>
      <c r="M42" s="44">
        <v>565833</v>
      </c>
      <c r="N42" s="42">
        <v>61814</v>
      </c>
      <c r="O42" s="43">
        <v>120055</v>
      </c>
      <c r="P42" s="43">
        <v>226696</v>
      </c>
      <c r="Q42" s="43">
        <v>401448</v>
      </c>
      <c r="R42" s="43">
        <v>628846</v>
      </c>
      <c r="S42" s="43">
        <v>821750</v>
      </c>
      <c r="T42" s="43">
        <v>851238</v>
      </c>
      <c r="U42" s="43">
        <v>851131</v>
      </c>
      <c r="V42" s="44">
        <v>851093</v>
      </c>
    </row>
    <row r="43" spans="2:31" ht="15" customHeight="1">
      <c r="B43" s="83" t="s">
        <v>9</v>
      </c>
      <c r="C43" s="98" t="s">
        <v>6</v>
      </c>
      <c r="D43" s="4">
        <v>0.25</v>
      </c>
      <c r="E43" s="36">
        <v>13</v>
      </c>
      <c r="F43" s="37">
        <v>14</v>
      </c>
      <c r="G43" s="37">
        <v>16</v>
      </c>
      <c r="H43" s="37">
        <v>16</v>
      </c>
      <c r="I43" s="37">
        <v>16</v>
      </c>
      <c r="J43" s="37">
        <v>16</v>
      </c>
      <c r="K43" s="37">
        <v>20</v>
      </c>
      <c r="L43" s="37">
        <v>4448</v>
      </c>
      <c r="M43" s="38">
        <v>12736</v>
      </c>
      <c r="N43" s="36">
        <v>13</v>
      </c>
      <c r="O43" s="37">
        <v>14</v>
      </c>
      <c r="P43" s="37">
        <v>16</v>
      </c>
      <c r="Q43" s="37">
        <v>18</v>
      </c>
      <c r="R43" s="37">
        <v>17</v>
      </c>
      <c r="S43" s="37">
        <v>18</v>
      </c>
      <c r="T43" s="37">
        <v>18</v>
      </c>
      <c r="U43" s="37">
        <v>3440</v>
      </c>
      <c r="V43" s="38">
        <v>10304</v>
      </c>
    </row>
    <row r="44" spans="2:31" ht="15" customHeight="1">
      <c r="B44" s="93"/>
      <c r="C44" s="96"/>
      <c r="D44" s="5">
        <v>0.5</v>
      </c>
      <c r="E44" s="39">
        <v>13</v>
      </c>
      <c r="F44" s="40">
        <v>15</v>
      </c>
      <c r="G44" s="40">
        <v>233</v>
      </c>
      <c r="H44" s="40">
        <v>572</v>
      </c>
      <c r="I44" s="40">
        <v>1224</v>
      </c>
      <c r="J44" s="40">
        <v>2544</v>
      </c>
      <c r="K44" s="40">
        <v>4576</v>
      </c>
      <c r="L44" s="40">
        <v>10048</v>
      </c>
      <c r="M44" s="41">
        <v>21120</v>
      </c>
      <c r="N44" s="39">
        <v>13</v>
      </c>
      <c r="O44" s="40">
        <v>15</v>
      </c>
      <c r="P44" s="40">
        <v>16</v>
      </c>
      <c r="Q44" s="40">
        <v>450</v>
      </c>
      <c r="R44" s="40">
        <v>1012</v>
      </c>
      <c r="S44" s="40">
        <v>2096</v>
      </c>
      <c r="T44" s="40">
        <v>3376</v>
      </c>
      <c r="U44" s="40">
        <v>7648</v>
      </c>
      <c r="V44" s="41">
        <v>17792</v>
      </c>
    </row>
    <row r="45" spans="2:31" ht="15" customHeight="1">
      <c r="B45" s="93"/>
      <c r="C45" s="96"/>
      <c r="D45" s="5">
        <v>0.75</v>
      </c>
      <c r="E45" s="39">
        <v>13</v>
      </c>
      <c r="F45" s="40">
        <v>165</v>
      </c>
      <c r="G45" s="40">
        <v>330</v>
      </c>
      <c r="H45" s="40">
        <v>668</v>
      </c>
      <c r="I45" s="40">
        <v>1320</v>
      </c>
      <c r="J45" s="40">
        <v>2640</v>
      </c>
      <c r="K45" s="40">
        <v>4896</v>
      </c>
      <c r="L45" s="40">
        <v>9920</v>
      </c>
      <c r="M45" s="41">
        <v>22144</v>
      </c>
      <c r="N45" s="39">
        <v>13</v>
      </c>
      <c r="O45" s="40">
        <v>118</v>
      </c>
      <c r="P45" s="40">
        <v>270</v>
      </c>
      <c r="Q45" s="40">
        <v>548</v>
      </c>
      <c r="R45" s="40">
        <v>1080</v>
      </c>
      <c r="S45" s="40">
        <v>2160</v>
      </c>
      <c r="T45" s="40">
        <v>4192</v>
      </c>
      <c r="U45" s="40">
        <v>8032</v>
      </c>
      <c r="V45" s="41">
        <v>19584</v>
      </c>
      <c r="AE45" s="11" t="s">
        <v>64</v>
      </c>
    </row>
    <row r="46" spans="2:31" ht="15" customHeight="1" thickBot="1">
      <c r="B46" s="93"/>
      <c r="C46" s="97"/>
      <c r="D46" s="6">
        <v>1</v>
      </c>
      <c r="E46" s="42">
        <v>82</v>
      </c>
      <c r="F46" s="43">
        <v>165</v>
      </c>
      <c r="G46" s="43">
        <v>334</v>
      </c>
      <c r="H46" s="43">
        <v>668</v>
      </c>
      <c r="I46" s="43">
        <v>1336</v>
      </c>
      <c r="J46" s="43">
        <v>2672</v>
      </c>
      <c r="K46" s="43">
        <v>4256</v>
      </c>
      <c r="L46" s="43">
        <v>8384</v>
      </c>
      <c r="M46" s="44">
        <v>13760</v>
      </c>
      <c r="N46" s="42">
        <v>43</v>
      </c>
      <c r="O46" s="43">
        <v>87</v>
      </c>
      <c r="P46" s="43">
        <v>175</v>
      </c>
      <c r="Q46" s="43">
        <v>350</v>
      </c>
      <c r="R46" s="43">
        <v>700</v>
      </c>
      <c r="S46" s="43">
        <v>1400</v>
      </c>
      <c r="T46" s="43">
        <v>2832</v>
      </c>
      <c r="U46" s="43">
        <v>5664</v>
      </c>
      <c r="V46" s="44">
        <v>11456</v>
      </c>
    </row>
    <row r="47" spans="2:31" ht="15" customHeight="1">
      <c r="B47" s="93"/>
      <c r="C47" s="98" t="s">
        <v>7</v>
      </c>
      <c r="D47" s="4">
        <v>0.25</v>
      </c>
      <c r="E47" s="36">
        <v>18</v>
      </c>
      <c r="F47" s="37">
        <v>19</v>
      </c>
      <c r="G47" s="37">
        <v>21</v>
      </c>
      <c r="H47" s="37">
        <v>21</v>
      </c>
      <c r="I47" s="37">
        <v>21</v>
      </c>
      <c r="J47" s="37">
        <v>21</v>
      </c>
      <c r="K47" s="37">
        <v>31</v>
      </c>
      <c r="L47" s="37">
        <v>6112</v>
      </c>
      <c r="M47" s="38">
        <v>17536</v>
      </c>
      <c r="N47" s="36">
        <v>25</v>
      </c>
      <c r="O47" s="37">
        <v>19</v>
      </c>
      <c r="P47" s="37">
        <v>21</v>
      </c>
      <c r="Q47" s="37">
        <v>26</v>
      </c>
      <c r="R47" s="37">
        <v>25</v>
      </c>
      <c r="S47" s="37">
        <v>26</v>
      </c>
      <c r="T47" s="37">
        <v>27</v>
      </c>
      <c r="U47" s="37">
        <v>4896</v>
      </c>
      <c r="V47" s="38">
        <v>14656</v>
      </c>
    </row>
    <row r="48" spans="2:31" ht="15" customHeight="1">
      <c r="B48" s="93"/>
      <c r="C48" s="96"/>
      <c r="D48" s="5">
        <v>0.5</v>
      </c>
      <c r="E48" s="39">
        <v>18</v>
      </c>
      <c r="F48" s="40">
        <v>19</v>
      </c>
      <c r="G48" s="40">
        <v>310</v>
      </c>
      <c r="H48" s="40">
        <v>644</v>
      </c>
      <c r="I48" s="40">
        <v>1304</v>
      </c>
      <c r="J48" s="40">
        <v>2608</v>
      </c>
      <c r="K48" s="40">
        <v>4640</v>
      </c>
      <c r="L48" s="40">
        <v>12736</v>
      </c>
      <c r="M48" s="41">
        <v>27776</v>
      </c>
      <c r="N48" s="39">
        <v>25</v>
      </c>
      <c r="O48" s="40">
        <v>20</v>
      </c>
      <c r="P48" s="40">
        <v>21</v>
      </c>
      <c r="Q48" s="40">
        <v>524</v>
      </c>
      <c r="R48" s="40">
        <v>1080</v>
      </c>
      <c r="S48" s="40">
        <v>2160</v>
      </c>
      <c r="T48" s="40">
        <v>4048</v>
      </c>
      <c r="U48" s="40">
        <v>9536</v>
      </c>
      <c r="V48" s="41">
        <v>21888</v>
      </c>
    </row>
    <row r="49" spans="2:22" ht="15" customHeight="1">
      <c r="B49" s="93"/>
      <c r="C49" s="96"/>
      <c r="D49" s="5">
        <v>0.75</v>
      </c>
      <c r="E49" s="39">
        <v>18</v>
      </c>
      <c r="F49" s="40">
        <v>167</v>
      </c>
      <c r="G49" s="40">
        <v>334</v>
      </c>
      <c r="H49" s="40">
        <v>668</v>
      </c>
      <c r="I49" s="40">
        <v>1336</v>
      </c>
      <c r="J49" s="40">
        <v>2672</v>
      </c>
      <c r="K49" s="40">
        <v>5280</v>
      </c>
      <c r="L49" s="40">
        <v>13376</v>
      </c>
      <c r="M49" s="41">
        <v>30592</v>
      </c>
      <c r="N49" s="39">
        <v>28</v>
      </c>
      <c r="O49" s="40">
        <v>137</v>
      </c>
      <c r="P49" s="40">
        <v>278</v>
      </c>
      <c r="Q49" s="40">
        <v>548</v>
      </c>
      <c r="R49" s="40">
        <v>1096</v>
      </c>
      <c r="S49" s="40">
        <v>2160</v>
      </c>
      <c r="T49" s="40">
        <v>4384</v>
      </c>
      <c r="U49" s="40">
        <v>11072</v>
      </c>
      <c r="V49" s="41">
        <v>29312</v>
      </c>
    </row>
    <row r="50" spans="2:22" ht="15" customHeight="1" thickBot="1">
      <c r="B50" s="93"/>
      <c r="C50" s="97"/>
      <c r="D50" s="6">
        <v>1</v>
      </c>
      <c r="E50" s="42">
        <v>84</v>
      </c>
      <c r="F50" s="43">
        <v>169</v>
      </c>
      <c r="G50" s="43">
        <v>338</v>
      </c>
      <c r="H50" s="43">
        <v>668</v>
      </c>
      <c r="I50" s="43">
        <v>1336</v>
      </c>
      <c r="J50" s="43">
        <v>2672</v>
      </c>
      <c r="K50" s="43">
        <v>5280</v>
      </c>
      <c r="L50" s="43">
        <v>10688</v>
      </c>
      <c r="M50" s="44">
        <v>22144</v>
      </c>
      <c r="N50" s="42">
        <v>45</v>
      </c>
      <c r="O50" s="43">
        <v>89</v>
      </c>
      <c r="P50" s="43">
        <v>177</v>
      </c>
      <c r="Q50" s="43">
        <v>354</v>
      </c>
      <c r="R50" s="43">
        <v>708</v>
      </c>
      <c r="S50" s="43">
        <v>1416</v>
      </c>
      <c r="T50" s="43">
        <v>2832</v>
      </c>
      <c r="U50" s="43">
        <v>6112</v>
      </c>
      <c r="V50" s="44">
        <v>16512</v>
      </c>
    </row>
    <row r="51" spans="2:22" ht="15" customHeight="1">
      <c r="B51" s="93"/>
      <c r="C51" s="98" t="s">
        <v>8</v>
      </c>
      <c r="D51" s="4">
        <v>0.25</v>
      </c>
      <c r="E51" s="24">
        <v>16035</v>
      </c>
      <c r="F51" s="25">
        <v>27061</v>
      </c>
      <c r="G51" s="25">
        <v>38226</v>
      </c>
      <c r="H51" s="25">
        <v>43933</v>
      </c>
      <c r="I51" s="25">
        <v>43982</v>
      </c>
      <c r="J51" s="25">
        <v>43945</v>
      </c>
      <c r="K51" s="25">
        <v>43977</v>
      </c>
      <c r="L51" s="25">
        <v>44023</v>
      </c>
      <c r="M51" s="26">
        <v>43927</v>
      </c>
      <c r="N51" s="24">
        <v>16764</v>
      </c>
      <c r="O51" s="25">
        <v>29571</v>
      </c>
      <c r="P51" s="25">
        <v>46055</v>
      </c>
      <c r="Q51" s="25">
        <v>59419</v>
      </c>
      <c r="R51" s="25">
        <v>59665</v>
      </c>
      <c r="S51" s="25">
        <v>59909</v>
      </c>
      <c r="T51" s="25">
        <v>59845</v>
      </c>
      <c r="U51" s="25">
        <v>59906</v>
      </c>
      <c r="V51" s="26">
        <v>59888</v>
      </c>
    </row>
    <row r="52" spans="2:22" ht="15" customHeight="1">
      <c r="B52" s="93"/>
      <c r="C52" s="96"/>
      <c r="D52" s="5">
        <v>0.5</v>
      </c>
      <c r="E52" s="27">
        <v>37004</v>
      </c>
      <c r="F52" s="28">
        <v>54567</v>
      </c>
      <c r="G52" s="28">
        <v>63605</v>
      </c>
      <c r="H52" s="28">
        <v>63528</v>
      </c>
      <c r="I52" s="28">
        <v>63565</v>
      </c>
      <c r="J52" s="28">
        <v>63529</v>
      </c>
      <c r="K52" s="28">
        <v>63518</v>
      </c>
      <c r="L52" s="28">
        <v>63526</v>
      </c>
      <c r="M52" s="29">
        <v>63549</v>
      </c>
      <c r="N52" s="27">
        <v>39319</v>
      </c>
      <c r="O52" s="28">
        <v>61690</v>
      </c>
      <c r="P52" s="28">
        <v>81505</v>
      </c>
      <c r="Q52" s="28">
        <v>80990</v>
      </c>
      <c r="R52" s="28">
        <v>81229</v>
      </c>
      <c r="S52" s="28">
        <v>81380</v>
      </c>
      <c r="T52" s="28">
        <v>80971</v>
      </c>
      <c r="U52" s="28">
        <v>80866</v>
      </c>
      <c r="V52" s="29">
        <v>80906</v>
      </c>
    </row>
    <row r="53" spans="2:22" ht="15" customHeight="1">
      <c r="B53" s="93"/>
      <c r="C53" s="96"/>
      <c r="D53" s="5">
        <v>0.75</v>
      </c>
      <c r="E53" s="27">
        <v>68823</v>
      </c>
      <c r="F53" s="28">
        <v>78163</v>
      </c>
      <c r="G53" s="28">
        <v>78267</v>
      </c>
      <c r="H53" s="28">
        <v>78265</v>
      </c>
      <c r="I53" s="28">
        <v>78286</v>
      </c>
      <c r="J53" s="28">
        <v>78244</v>
      </c>
      <c r="K53" s="28">
        <v>78082</v>
      </c>
      <c r="L53" s="28">
        <v>78109</v>
      </c>
      <c r="M53" s="29">
        <v>78067</v>
      </c>
      <c r="N53" s="27">
        <v>72585</v>
      </c>
      <c r="O53" s="28">
        <v>96218</v>
      </c>
      <c r="P53" s="28">
        <v>95840</v>
      </c>
      <c r="Q53" s="28">
        <v>96045</v>
      </c>
      <c r="R53" s="28">
        <v>95865</v>
      </c>
      <c r="S53" s="28">
        <v>95903</v>
      </c>
      <c r="T53" s="28">
        <v>95464</v>
      </c>
      <c r="U53" s="28">
        <v>95395</v>
      </c>
      <c r="V53" s="29">
        <v>95391</v>
      </c>
    </row>
    <row r="54" spans="2:22" ht="15" customHeight="1" thickBot="1">
      <c r="B54" s="94"/>
      <c r="C54" s="97"/>
      <c r="D54" s="6">
        <v>1</v>
      </c>
      <c r="E54" s="30">
        <v>90593</v>
      </c>
      <c r="F54" s="31">
        <v>90487</v>
      </c>
      <c r="G54" s="31">
        <v>90556</v>
      </c>
      <c r="H54" s="31">
        <v>90506</v>
      </c>
      <c r="I54" s="31">
        <v>90498</v>
      </c>
      <c r="J54" s="31">
        <v>90483</v>
      </c>
      <c r="K54" s="31">
        <v>90540</v>
      </c>
      <c r="L54" s="31">
        <v>90510</v>
      </c>
      <c r="M54" s="32">
        <v>90390</v>
      </c>
      <c r="N54" s="30">
        <v>90886</v>
      </c>
      <c r="O54" s="31">
        <v>90886</v>
      </c>
      <c r="P54" s="31">
        <v>90886</v>
      </c>
      <c r="Q54" s="31">
        <v>90886</v>
      </c>
      <c r="R54" s="31">
        <v>90886</v>
      </c>
      <c r="S54" s="31">
        <v>90886</v>
      </c>
      <c r="T54" s="31">
        <v>90886</v>
      </c>
      <c r="U54" s="31">
        <v>90885</v>
      </c>
      <c r="V54" s="32">
        <v>90884</v>
      </c>
    </row>
  </sheetData>
  <mergeCells count="36">
    <mergeCell ref="B43:B54"/>
    <mergeCell ref="C43:C46"/>
    <mergeCell ref="C47:C50"/>
    <mergeCell ref="C51:C54"/>
    <mergeCell ref="B29:D30"/>
    <mergeCell ref="E29:M29"/>
    <mergeCell ref="N29:V29"/>
    <mergeCell ref="Z29:AD29"/>
    <mergeCell ref="Z30:AD30"/>
    <mergeCell ref="B31:B42"/>
    <mergeCell ref="C31:C34"/>
    <mergeCell ref="Z31:AD31"/>
    <mergeCell ref="C35:C38"/>
    <mergeCell ref="C39:C42"/>
    <mergeCell ref="B16:B27"/>
    <mergeCell ref="C16:C19"/>
    <mergeCell ref="X16:X27"/>
    <mergeCell ref="Y16:Y19"/>
    <mergeCell ref="C20:C23"/>
    <mergeCell ref="Y20:Y23"/>
    <mergeCell ref="C24:C27"/>
    <mergeCell ref="Y24:Y27"/>
    <mergeCell ref="B4:B15"/>
    <mergeCell ref="C4:C7"/>
    <mergeCell ref="X4:X15"/>
    <mergeCell ref="Y4:Y7"/>
    <mergeCell ref="C8:C11"/>
    <mergeCell ref="Y8:Y11"/>
    <mergeCell ref="C12:C15"/>
    <mergeCell ref="Y12:Y15"/>
    <mergeCell ref="AJ2:AR2"/>
    <mergeCell ref="B2:D3"/>
    <mergeCell ref="E2:M2"/>
    <mergeCell ref="N2:V2"/>
    <mergeCell ref="X2:Z3"/>
    <mergeCell ref="AA2:AI2"/>
  </mergeCells>
  <phoneticPr fontId="1" type="noConversion"/>
  <conditionalFormatting sqref="Y29">
    <cfRule type="cellIs" dxfId="233" priority="36" operator="lessThan">
      <formula>0.8</formula>
    </cfRule>
  </conditionalFormatting>
  <conditionalFormatting sqref="Y30:Y31">
    <cfRule type="cellIs" dxfId="232" priority="35" operator="lessThan">
      <formula>0.8</formula>
    </cfRule>
  </conditionalFormatting>
  <conditionalFormatting sqref="T16:T23">
    <cfRule type="expression" dxfId="231" priority="13">
      <formula>AO16&gt;1.1</formula>
    </cfRule>
  </conditionalFormatting>
  <conditionalFormatting sqref="U16:V23 N16:S23 E16:J19 E23:J23 F22:J22 E21:J21 E20 G20:J20">
    <cfRule type="expression" dxfId="230" priority="14">
      <formula>AA16&gt;1.1</formula>
    </cfRule>
  </conditionalFormatting>
  <conditionalFormatting sqref="K16:K23">
    <cfRule type="expression" dxfId="229" priority="11">
      <formula>AF16&gt;1.1</formula>
    </cfRule>
  </conditionalFormatting>
  <conditionalFormatting sqref="L16:M23">
    <cfRule type="expression" dxfId="228" priority="12">
      <formula>AH16&gt;1.1</formula>
    </cfRule>
  </conditionalFormatting>
  <conditionalFormatting sqref="N31:V38 N43:V50 E43:M45 E50:M50 F49:M49 E48:M48 E46:E47 G46:M47">
    <cfRule type="expression" dxfId="227" priority="10">
      <formula>AA4&gt;1.1</formula>
    </cfRule>
  </conditionalFormatting>
  <conditionalFormatting sqref="E31:M38">
    <cfRule type="expression" dxfId="226" priority="9">
      <formula>AA4&gt;1.1</formula>
    </cfRule>
  </conditionalFormatting>
  <conditionalFormatting sqref="N4:V11">
    <cfRule type="expression" dxfId="225" priority="8">
      <formula>AJ4&gt;1.1</formula>
    </cfRule>
  </conditionalFormatting>
  <conditionalFormatting sqref="T4:T11">
    <cfRule type="expression" dxfId="224" priority="7">
      <formula>AO4&gt;1.1</formula>
    </cfRule>
  </conditionalFormatting>
  <conditionalFormatting sqref="E4:M11">
    <cfRule type="expression" dxfId="223" priority="6">
      <formula>AA4&gt;1.1</formula>
    </cfRule>
  </conditionalFormatting>
  <conditionalFormatting sqref="K4:K11">
    <cfRule type="expression" dxfId="222" priority="5">
      <formula>AF4&gt;1.1</formula>
    </cfRule>
  </conditionalFormatting>
  <conditionalFormatting sqref="AA4:AR11 AA16:AR23">
    <cfRule type="cellIs" dxfId="221" priority="3" operator="lessThan">
      <formula>0.9</formula>
    </cfRule>
    <cfRule type="cellIs" dxfId="220" priority="4" operator="greaterThan">
      <formula>1.1</formula>
    </cfRule>
  </conditionalFormatting>
  <conditionalFormatting sqref="AA12:AR15 AA24:AR27">
    <cfRule type="cellIs" dxfId="219" priority="1" operator="lessThan">
      <formula>0.95</formula>
    </cfRule>
    <cfRule type="cellIs" dxfId="218" priority="2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1"/>
  <dimension ref="B1:AN54"/>
  <sheetViews>
    <sheetView showGridLines="0" zoomScale="70" zoomScaleNormal="70" workbookViewId="0">
      <selection activeCell="Z42" sqref="Z42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9.69921875" style="11" customWidth="1"/>
    <col min="5" max="20" width="6.59765625" style="11" customWidth="1"/>
    <col min="21" max="21" width="3.09765625" style="11" customWidth="1"/>
    <col min="22" max="22" width="13.09765625" style="11" customWidth="1"/>
    <col min="23" max="23" width="11" style="11" bestFit="1" customWidth="1"/>
    <col min="24" max="24" width="8.09765625" style="11" customWidth="1"/>
    <col min="25" max="40" width="7.5" style="11" customWidth="1"/>
    <col min="41" max="16384" width="9" style="11"/>
  </cols>
  <sheetData>
    <row r="1" spans="2:40" ht="15" customHeight="1" thickBot="1"/>
    <row r="2" spans="2:40" ht="15" customHeight="1">
      <c r="B2" s="99" t="s">
        <v>25</v>
      </c>
      <c r="C2" s="100"/>
      <c r="D2" s="101"/>
      <c r="E2" s="83" t="s">
        <v>14</v>
      </c>
      <c r="F2" s="84"/>
      <c r="G2" s="84"/>
      <c r="H2" s="84"/>
      <c r="I2" s="84"/>
      <c r="J2" s="84"/>
      <c r="K2" s="84"/>
      <c r="L2" s="85"/>
      <c r="M2" s="83" t="s">
        <v>24</v>
      </c>
      <c r="N2" s="84"/>
      <c r="O2" s="84"/>
      <c r="P2" s="84"/>
      <c r="Q2" s="84"/>
      <c r="R2" s="84"/>
      <c r="S2" s="84"/>
      <c r="T2" s="85"/>
      <c r="V2" s="105" t="s">
        <v>60</v>
      </c>
      <c r="W2" s="106"/>
      <c r="X2" s="106"/>
      <c r="Y2" s="83" t="s">
        <v>14</v>
      </c>
      <c r="Z2" s="84"/>
      <c r="AA2" s="84"/>
      <c r="AB2" s="84"/>
      <c r="AC2" s="84"/>
      <c r="AD2" s="84"/>
      <c r="AE2" s="84"/>
      <c r="AF2" s="85"/>
      <c r="AG2" s="83" t="s">
        <v>24</v>
      </c>
      <c r="AH2" s="84"/>
      <c r="AI2" s="84"/>
      <c r="AJ2" s="84"/>
      <c r="AK2" s="84"/>
      <c r="AL2" s="84"/>
      <c r="AM2" s="84"/>
      <c r="AN2" s="85"/>
    </row>
    <row r="3" spans="2:40" ht="20.25" customHeight="1" thickBot="1">
      <c r="B3" s="102"/>
      <c r="C3" s="103"/>
      <c r="D3" s="104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3" t="s">
        <v>17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18</v>
      </c>
      <c r="S3" s="2" t="s">
        <v>16</v>
      </c>
      <c r="T3" s="3" t="s">
        <v>17</v>
      </c>
      <c r="V3" s="107"/>
      <c r="W3" s="108"/>
      <c r="X3" s="108"/>
      <c r="Y3" s="1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18</v>
      </c>
      <c r="AE3" s="2" t="s">
        <v>16</v>
      </c>
      <c r="AF3" s="3" t="s">
        <v>17</v>
      </c>
      <c r="AG3" s="1" t="s">
        <v>0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18</v>
      </c>
      <c r="AM3" s="2" t="s">
        <v>16</v>
      </c>
      <c r="AN3" s="3" t="s">
        <v>17</v>
      </c>
    </row>
    <row r="4" spans="2:40" ht="15" customHeight="1">
      <c r="B4" s="86" t="s">
        <v>5</v>
      </c>
      <c r="C4" s="89" t="s">
        <v>6</v>
      </c>
      <c r="D4" s="4">
        <v>0.25</v>
      </c>
      <c r="E4" s="24">
        <v>548</v>
      </c>
      <c r="F4" s="25">
        <v>596</v>
      </c>
      <c r="G4" s="25">
        <v>676</v>
      </c>
      <c r="H4" s="25">
        <v>772</v>
      </c>
      <c r="I4" s="25">
        <v>852</v>
      </c>
      <c r="J4" s="25">
        <v>1032</v>
      </c>
      <c r="K4" s="25">
        <v>1432</v>
      </c>
      <c r="L4" s="26">
        <v>4320</v>
      </c>
      <c r="M4" s="24">
        <v>564</v>
      </c>
      <c r="N4" s="25">
        <v>628</v>
      </c>
      <c r="O4" s="25">
        <v>604</v>
      </c>
      <c r="P4" s="25">
        <v>612</v>
      </c>
      <c r="Q4" s="25">
        <v>684</v>
      </c>
      <c r="R4" s="25">
        <v>820</v>
      </c>
      <c r="S4" s="25">
        <v>1144</v>
      </c>
      <c r="T4" s="26">
        <v>3664</v>
      </c>
      <c r="V4" s="92" t="s">
        <v>5</v>
      </c>
      <c r="W4" s="95" t="s">
        <v>6</v>
      </c>
      <c r="X4" s="7">
        <v>0.25</v>
      </c>
      <c r="Y4" s="15">
        <f t="shared" ref="Y4:Y19" si="0">E31/E4</f>
        <v>0.50729927007299269</v>
      </c>
      <c r="Z4" s="16">
        <f t="shared" ref="Z4:Z19" si="1">F31/F4</f>
        <v>0.52684563758389258</v>
      </c>
      <c r="AA4" s="16">
        <f t="shared" ref="AA4:AA19" si="2">G31/G4</f>
        <v>0.5650887573964497</v>
      </c>
      <c r="AB4" s="16">
        <f t="shared" ref="AB4:AB19" si="3">H31/H4</f>
        <v>0.54663212435233166</v>
      </c>
      <c r="AC4" s="16">
        <f t="shared" ref="AC4:AC19" si="4">I31/I4</f>
        <v>0.53755868544600938</v>
      </c>
      <c r="AD4" s="16">
        <f t="shared" ref="AD4:AD19" si="5">J31/J4</f>
        <v>0.5</v>
      </c>
      <c r="AE4" s="16">
        <f t="shared" ref="AE4:AE19" si="6">K31/K4</f>
        <v>0.38268156424581007</v>
      </c>
      <c r="AF4" s="17">
        <f t="shared" ref="AF4:AF19" si="7">L31/L4</f>
        <v>0.10138888888888889</v>
      </c>
      <c r="AG4" s="15">
        <f t="shared" ref="AG4:AG19" si="8">M31/M4</f>
        <v>0.58510638297872342</v>
      </c>
      <c r="AH4" s="16">
        <f t="shared" ref="AH4:AH19" si="9">N31/N4</f>
        <v>0.63375796178343946</v>
      </c>
      <c r="AI4" s="16">
        <f t="shared" ref="AI4:AI19" si="10">O31/O4</f>
        <v>0.81788079470198671</v>
      </c>
      <c r="AJ4" s="16">
        <f t="shared" ref="AJ4:AJ19" si="11">P31/P4</f>
        <v>0.92156862745098034</v>
      </c>
      <c r="AK4" s="16">
        <f t="shared" ref="AK4:AK19" si="12">Q31/Q4</f>
        <v>0.89473684210526316</v>
      </c>
      <c r="AL4" s="16">
        <f t="shared" ref="AL4:AL19" si="13">R31/R4</f>
        <v>0.80487804878048785</v>
      </c>
      <c r="AM4" s="16">
        <f t="shared" ref="AM4:AM19" si="14">S31/S4</f>
        <v>0.59090909090909094</v>
      </c>
      <c r="AN4" s="17">
        <f t="shared" ref="AN4:AN19" si="15">T31/T4</f>
        <v>0.17139737991266377</v>
      </c>
    </row>
    <row r="5" spans="2:40" ht="15" customHeight="1">
      <c r="B5" s="87"/>
      <c r="C5" s="90"/>
      <c r="D5" s="5">
        <v>0.5</v>
      </c>
      <c r="E5" s="27">
        <v>430</v>
      </c>
      <c r="F5" s="28">
        <v>506</v>
      </c>
      <c r="G5" s="28">
        <v>580</v>
      </c>
      <c r="H5" s="28">
        <v>636</v>
      </c>
      <c r="I5" s="28">
        <v>764</v>
      </c>
      <c r="J5" s="28">
        <v>932</v>
      </c>
      <c r="K5" s="28">
        <v>1400</v>
      </c>
      <c r="L5" s="29">
        <v>3760</v>
      </c>
      <c r="M5" s="27">
        <v>314</v>
      </c>
      <c r="N5" s="28">
        <v>494</v>
      </c>
      <c r="O5" s="28">
        <v>572</v>
      </c>
      <c r="P5" s="28">
        <v>580</v>
      </c>
      <c r="Q5" s="28">
        <v>612</v>
      </c>
      <c r="R5" s="28">
        <v>724</v>
      </c>
      <c r="S5" s="28">
        <v>1080</v>
      </c>
      <c r="T5" s="29">
        <v>3088</v>
      </c>
      <c r="V5" s="93"/>
      <c r="W5" s="96"/>
      <c r="X5" s="5">
        <v>0.5</v>
      </c>
      <c r="Y5" s="18">
        <f t="shared" si="0"/>
        <v>0.49069767441860462</v>
      </c>
      <c r="Z5" s="12">
        <f t="shared" si="1"/>
        <v>0.50988142292490124</v>
      </c>
      <c r="AA5" s="12">
        <f t="shared" si="2"/>
        <v>0.53448275862068961</v>
      </c>
      <c r="AB5" s="12">
        <f t="shared" si="3"/>
        <v>0.59433962264150941</v>
      </c>
      <c r="AC5" s="12">
        <f t="shared" si="4"/>
        <v>0.60994764397905754</v>
      </c>
      <c r="AD5" s="12">
        <f t="shared" si="5"/>
        <v>0.68240343347639487</v>
      </c>
      <c r="AE5" s="12">
        <f t="shared" si="6"/>
        <v>0.68857142857142861</v>
      </c>
      <c r="AF5" s="19">
        <f t="shared" si="7"/>
        <v>0.72765957446808516</v>
      </c>
      <c r="AG5" s="18">
        <f t="shared" si="8"/>
        <v>0.67197452229299359</v>
      </c>
      <c r="AH5" s="12">
        <f t="shared" si="9"/>
        <v>0.61133603238866396</v>
      </c>
      <c r="AI5" s="12">
        <f t="shared" si="10"/>
        <v>0.6398601398601399</v>
      </c>
      <c r="AJ5" s="12">
        <f t="shared" si="11"/>
        <v>0.79655172413793107</v>
      </c>
      <c r="AK5" s="12">
        <f t="shared" si="12"/>
        <v>0.934640522875817</v>
      </c>
      <c r="AL5" s="12">
        <f t="shared" si="13"/>
        <v>1.1104972375690607</v>
      </c>
      <c r="AM5" s="12">
        <f t="shared" si="14"/>
        <v>0.98518518518518516</v>
      </c>
      <c r="AN5" s="19">
        <f t="shared" si="15"/>
        <v>0.2655440414507772</v>
      </c>
    </row>
    <row r="6" spans="2:40" ht="15" customHeight="1">
      <c r="B6" s="87"/>
      <c r="C6" s="90"/>
      <c r="D6" s="5">
        <v>0.75</v>
      </c>
      <c r="E6" s="27">
        <v>290</v>
      </c>
      <c r="F6" s="28">
        <v>374</v>
      </c>
      <c r="G6" s="28">
        <v>442</v>
      </c>
      <c r="H6" s="28">
        <v>516</v>
      </c>
      <c r="I6" s="28">
        <v>588</v>
      </c>
      <c r="J6" s="28">
        <v>772</v>
      </c>
      <c r="K6" s="28">
        <v>1032</v>
      </c>
      <c r="L6" s="29">
        <v>2768</v>
      </c>
      <c r="M6" s="27">
        <v>189</v>
      </c>
      <c r="N6" s="28">
        <v>282</v>
      </c>
      <c r="O6" s="28">
        <v>426</v>
      </c>
      <c r="P6" s="28">
        <v>524</v>
      </c>
      <c r="Q6" s="28">
        <v>572</v>
      </c>
      <c r="R6" s="28">
        <v>596</v>
      </c>
      <c r="S6" s="28">
        <v>788</v>
      </c>
      <c r="T6" s="29">
        <v>2224</v>
      </c>
      <c r="V6" s="93"/>
      <c r="W6" s="96"/>
      <c r="X6" s="5">
        <v>0.75</v>
      </c>
      <c r="Y6" s="18">
        <f t="shared" si="0"/>
        <v>0.42413793103448277</v>
      </c>
      <c r="Z6" s="12">
        <f t="shared" si="1"/>
        <v>0.5267379679144385</v>
      </c>
      <c r="AA6" s="12">
        <f t="shared" si="2"/>
        <v>0.58371040723981904</v>
      </c>
      <c r="AB6" s="12">
        <f t="shared" si="3"/>
        <v>0.60852713178294571</v>
      </c>
      <c r="AC6" s="12">
        <f t="shared" si="4"/>
        <v>0.6768707482993197</v>
      </c>
      <c r="AD6" s="12">
        <f t="shared" si="5"/>
        <v>0.68911917098445596</v>
      </c>
      <c r="AE6" s="12">
        <f t="shared" si="6"/>
        <v>0.77131782945736438</v>
      </c>
      <c r="AF6" s="19">
        <f t="shared" si="7"/>
        <v>0.8497109826589595</v>
      </c>
      <c r="AG6" s="18">
        <f t="shared" si="8"/>
        <v>0.58730158730158732</v>
      </c>
      <c r="AH6" s="12">
        <f t="shared" si="9"/>
        <v>0.62765957446808507</v>
      </c>
      <c r="AI6" s="12">
        <f t="shared" si="10"/>
        <v>0.63380281690140849</v>
      </c>
      <c r="AJ6" s="12">
        <f t="shared" si="11"/>
        <v>0.66030534351145043</v>
      </c>
      <c r="AK6" s="12">
        <f t="shared" si="12"/>
        <v>0.77972027972027969</v>
      </c>
      <c r="AL6" s="12">
        <f t="shared" si="13"/>
        <v>0.98657718120805371</v>
      </c>
      <c r="AM6" s="12">
        <f t="shared" si="14"/>
        <v>1.0609137055837563</v>
      </c>
      <c r="AN6" s="19">
        <f t="shared" si="15"/>
        <v>0.95683453237410077</v>
      </c>
    </row>
    <row r="7" spans="2:40" ht="15" customHeight="1" thickBot="1">
      <c r="B7" s="87"/>
      <c r="C7" s="91"/>
      <c r="D7" s="6">
        <v>1</v>
      </c>
      <c r="E7" s="30">
        <v>88</v>
      </c>
      <c r="F7" s="31">
        <v>106</v>
      </c>
      <c r="G7" s="31">
        <v>127</v>
      </c>
      <c r="H7" s="31">
        <v>147</v>
      </c>
      <c r="I7" s="31">
        <v>191</v>
      </c>
      <c r="J7" s="31">
        <v>286</v>
      </c>
      <c r="K7" s="31">
        <v>506</v>
      </c>
      <c r="L7" s="32">
        <v>1400</v>
      </c>
      <c r="M7" s="30">
        <v>87</v>
      </c>
      <c r="N7" s="31">
        <v>90</v>
      </c>
      <c r="O7" s="31">
        <v>115</v>
      </c>
      <c r="P7" s="31">
        <v>131</v>
      </c>
      <c r="Q7" s="31">
        <v>155</v>
      </c>
      <c r="R7" s="31">
        <v>203</v>
      </c>
      <c r="S7" s="31">
        <v>310</v>
      </c>
      <c r="T7" s="32">
        <v>708</v>
      </c>
      <c r="V7" s="93"/>
      <c r="W7" s="97"/>
      <c r="X7" s="6">
        <v>1</v>
      </c>
      <c r="Y7" s="20">
        <f t="shared" si="0"/>
        <v>0.78409090909090906</v>
      </c>
      <c r="Z7" s="21">
        <f t="shared" si="1"/>
        <v>0.839622641509434</v>
      </c>
      <c r="AA7" s="21">
        <f t="shared" si="2"/>
        <v>0.82677165354330706</v>
      </c>
      <c r="AB7" s="21">
        <f t="shared" si="3"/>
        <v>0.81632653061224492</v>
      </c>
      <c r="AC7" s="21">
        <f t="shared" si="4"/>
        <v>0.83246073298429324</v>
      </c>
      <c r="AD7" s="21">
        <f t="shared" si="5"/>
        <v>0.84265734265734271</v>
      </c>
      <c r="AE7" s="21">
        <f t="shared" si="6"/>
        <v>0.87351778656126478</v>
      </c>
      <c r="AF7" s="22">
        <f t="shared" si="7"/>
        <v>0.78285714285714281</v>
      </c>
      <c r="AG7" s="20">
        <f t="shared" si="8"/>
        <v>0.7816091954022989</v>
      </c>
      <c r="AH7" s="21">
        <f t="shared" si="9"/>
        <v>0.8</v>
      </c>
      <c r="AI7" s="21">
        <f t="shared" si="10"/>
        <v>0.84347826086956523</v>
      </c>
      <c r="AJ7" s="21">
        <f t="shared" si="11"/>
        <v>0.82442748091603058</v>
      </c>
      <c r="AK7" s="21">
        <f t="shared" si="12"/>
        <v>0.80645161290322576</v>
      </c>
      <c r="AL7" s="21">
        <f t="shared" si="13"/>
        <v>0.81280788177339902</v>
      </c>
      <c r="AM7" s="21">
        <f t="shared" si="14"/>
        <v>0.77741935483870972</v>
      </c>
      <c r="AN7" s="22">
        <f t="shared" si="15"/>
        <v>0.83050847457627119</v>
      </c>
    </row>
    <row r="8" spans="2:40" ht="15" customHeight="1">
      <c r="B8" s="87"/>
      <c r="C8" s="89" t="s">
        <v>7</v>
      </c>
      <c r="D8" s="4">
        <v>0.25</v>
      </c>
      <c r="E8" s="24">
        <v>892</v>
      </c>
      <c r="F8" s="25">
        <v>980</v>
      </c>
      <c r="G8" s="25">
        <v>1288</v>
      </c>
      <c r="H8" s="25">
        <v>1720</v>
      </c>
      <c r="I8" s="25">
        <v>1816</v>
      </c>
      <c r="J8" s="25">
        <v>1960</v>
      </c>
      <c r="K8" s="25">
        <v>2320</v>
      </c>
      <c r="L8" s="26">
        <v>5280</v>
      </c>
      <c r="M8" s="24">
        <v>980</v>
      </c>
      <c r="N8" s="25">
        <v>1020</v>
      </c>
      <c r="O8" s="25">
        <v>1064</v>
      </c>
      <c r="P8" s="25">
        <v>1112</v>
      </c>
      <c r="Q8" s="25">
        <v>1176</v>
      </c>
      <c r="R8" s="25">
        <v>1336</v>
      </c>
      <c r="S8" s="25">
        <v>1656</v>
      </c>
      <c r="T8" s="26">
        <v>4256</v>
      </c>
      <c r="V8" s="93"/>
      <c r="W8" s="98" t="s">
        <v>7</v>
      </c>
      <c r="X8" s="4">
        <v>0.25</v>
      </c>
      <c r="Y8" s="15">
        <f t="shared" si="0"/>
        <v>0.64125560538116588</v>
      </c>
      <c r="Z8" s="16">
        <f t="shared" si="1"/>
        <v>0.87755102040816324</v>
      </c>
      <c r="AA8" s="16">
        <f t="shared" si="2"/>
        <v>0.69254658385093171</v>
      </c>
      <c r="AB8" s="16">
        <f t="shared" si="3"/>
        <v>0.54186046511627906</v>
      </c>
      <c r="AC8" s="16">
        <f t="shared" si="4"/>
        <v>0.53083700440528636</v>
      </c>
      <c r="AD8" s="16">
        <f t="shared" si="5"/>
        <v>0.51224489795918371</v>
      </c>
      <c r="AE8" s="16">
        <f t="shared" si="6"/>
        <v>0.47241379310344828</v>
      </c>
      <c r="AF8" s="17">
        <f t="shared" si="7"/>
        <v>0.18560606060606061</v>
      </c>
      <c r="AG8" s="15">
        <f t="shared" si="8"/>
        <v>0.75510204081632648</v>
      </c>
      <c r="AH8" s="16">
        <f t="shared" si="9"/>
        <v>0.80392156862745101</v>
      </c>
      <c r="AI8" s="16">
        <f t="shared" si="10"/>
        <v>0.83834586466165417</v>
      </c>
      <c r="AJ8" s="16">
        <f t="shared" si="11"/>
        <v>0.87410071942446044</v>
      </c>
      <c r="AK8" s="16">
        <f t="shared" si="12"/>
        <v>0.87755102040816324</v>
      </c>
      <c r="AL8" s="16">
        <f t="shared" si="13"/>
        <v>0.83233532934131738</v>
      </c>
      <c r="AM8" s="16">
        <f t="shared" si="14"/>
        <v>0.75845410628019327</v>
      </c>
      <c r="AN8" s="17">
        <f t="shared" si="15"/>
        <v>0.2462406015037594</v>
      </c>
    </row>
    <row r="9" spans="2:40" ht="15" customHeight="1">
      <c r="B9" s="87"/>
      <c r="C9" s="90"/>
      <c r="D9" s="5">
        <v>0.5</v>
      </c>
      <c r="E9" s="27">
        <v>828</v>
      </c>
      <c r="F9" s="28">
        <v>876</v>
      </c>
      <c r="G9" s="28">
        <v>948</v>
      </c>
      <c r="H9" s="28">
        <v>1144</v>
      </c>
      <c r="I9" s="28">
        <v>1656</v>
      </c>
      <c r="J9" s="28">
        <v>1880</v>
      </c>
      <c r="K9" s="28">
        <v>2256</v>
      </c>
      <c r="L9" s="29">
        <v>4576</v>
      </c>
      <c r="M9" s="27">
        <v>972</v>
      </c>
      <c r="N9" s="28">
        <v>980</v>
      </c>
      <c r="O9" s="28">
        <v>1020</v>
      </c>
      <c r="P9" s="28">
        <v>1080</v>
      </c>
      <c r="Q9" s="28">
        <v>1128</v>
      </c>
      <c r="R9" s="28">
        <v>1240</v>
      </c>
      <c r="S9" s="28">
        <v>1576</v>
      </c>
      <c r="T9" s="29">
        <v>3632</v>
      </c>
      <c r="V9" s="93"/>
      <c r="W9" s="96"/>
      <c r="X9" s="5">
        <v>0.5</v>
      </c>
      <c r="Y9" s="18">
        <f t="shared" si="0"/>
        <v>0.66183574879227058</v>
      </c>
      <c r="Z9" s="12">
        <f t="shared" si="1"/>
        <v>0.64383561643835618</v>
      </c>
      <c r="AA9" s="12">
        <f t="shared" si="2"/>
        <v>0.89029535864978904</v>
      </c>
      <c r="AB9" s="12">
        <f t="shared" si="3"/>
        <v>0.77272727272727271</v>
      </c>
      <c r="AC9" s="12">
        <f t="shared" si="4"/>
        <v>0.58695652173913049</v>
      </c>
      <c r="AD9" s="12">
        <f t="shared" si="5"/>
        <v>0.7191489361702128</v>
      </c>
      <c r="AE9" s="12">
        <f t="shared" si="6"/>
        <v>0.70567375886524819</v>
      </c>
      <c r="AF9" s="19">
        <f t="shared" si="7"/>
        <v>1</v>
      </c>
      <c r="AG9" s="18">
        <f t="shared" si="8"/>
        <v>0.75308641975308643</v>
      </c>
      <c r="AH9" s="12">
        <f t="shared" si="9"/>
        <v>0.75510204081632648</v>
      </c>
      <c r="AI9" s="12">
        <f t="shared" si="10"/>
        <v>0.7803921568627451</v>
      </c>
      <c r="AJ9" s="12">
        <f t="shared" si="11"/>
        <v>0.81851851851851853</v>
      </c>
      <c r="AK9" s="12">
        <f t="shared" si="12"/>
        <v>0.87588652482269502</v>
      </c>
      <c r="AL9" s="12">
        <f t="shared" si="13"/>
        <v>1.0258064516129033</v>
      </c>
      <c r="AM9" s="12">
        <f t="shared" si="14"/>
        <v>1.0710659898477157</v>
      </c>
      <c r="AN9" s="19">
        <f t="shared" si="15"/>
        <v>0.97356828193832601</v>
      </c>
    </row>
    <row r="10" spans="2:40" ht="15" customHeight="1">
      <c r="B10" s="87"/>
      <c r="C10" s="90"/>
      <c r="D10" s="5">
        <v>0.75</v>
      </c>
      <c r="E10" s="27">
        <v>780</v>
      </c>
      <c r="F10" s="28">
        <v>804</v>
      </c>
      <c r="G10" s="28">
        <v>836</v>
      </c>
      <c r="H10" s="28">
        <v>900</v>
      </c>
      <c r="I10" s="28">
        <v>1032</v>
      </c>
      <c r="J10" s="28">
        <v>1784</v>
      </c>
      <c r="K10" s="28">
        <v>2064</v>
      </c>
      <c r="L10" s="29">
        <v>3824</v>
      </c>
      <c r="M10" s="27">
        <v>804</v>
      </c>
      <c r="N10" s="28">
        <v>948</v>
      </c>
      <c r="O10" s="28">
        <v>988</v>
      </c>
      <c r="P10" s="28">
        <v>1032</v>
      </c>
      <c r="Q10" s="28">
        <v>1080</v>
      </c>
      <c r="R10" s="28">
        <v>1112</v>
      </c>
      <c r="S10" s="28">
        <v>1304</v>
      </c>
      <c r="T10" s="29">
        <v>2736</v>
      </c>
      <c r="V10" s="93"/>
      <c r="W10" s="96"/>
      <c r="X10" s="5">
        <v>0.75</v>
      </c>
      <c r="Y10" s="18">
        <f t="shared" si="0"/>
        <v>0.64358974358974363</v>
      </c>
      <c r="Z10" s="12">
        <f t="shared" si="1"/>
        <v>0.6616915422885572</v>
      </c>
      <c r="AA10" s="12">
        <f t="shared" si="2"/>
        <v>0.66507177033492826</v>
      </c>
      <c r="AB10" s="12">
        <f t="shared" si="3"/>
        <v>0.80444444444444441</v>
      </c>
      <c r="AC10" s="12">
        <f t="shared" si="4"/>
        <v>0.85658914728682167</v>
      </c>
      <c r="AD10" s="12">
        <f t="shared" si="5"/>
        <v>0.57847533632286996</v>
      </c>
      <c r="AE10" s="12">
        <f t="shared" si="6"/>
        <v>0.77906976744186052</v>
      </c>
      <c r="AF10" s="19">
        <f t="shared" si="7"/>
        <v>0.93305439330543938</v>
      </c>
      <c r="AG10" s="18">
        <f t="shared" si="8"/>
        <v>0.78109452736318408</v>
      </c>
      <c r="AH10" s="12">
        <f t="shared" si="9"/>
        <v>0.73839662447257381</v>
      </c>
      <c r="AI10" s="12">
        <f t="shared" si="10"/>
        <v>0.74089068825910931</v>
      </c>
      <c r="AJ10" s="12">
        <f t="shared" si="11"/>
        <v>0.74031007751937983</v>
      </c>
      <c r="AK10" s="12">
        <f t="shared" si="12"/>
        <v>0.81851851851851853</v>
      </c>
      <c r="AL10" s="12">
        <f t="shared" si="13"/>
        <v>0.98561151079136688</v>
      </c>
      <c r="AM10" s="12">
        <f t="shared" si="14"/>
        <v>1.1104294478527608</v>
      </c>
      <c r="AN10" s="19">
        <f t="shared" si="15"/>
        <v>1.0701754385964912</v>
      </c>
    </row>
    <row r="11" spans="2:40" ht="15" customHeight="1" thickBot="1">
      <c r="B11" s="87"/>
      <c r="C11" s="91"/>
      <c r="D11" s="6">
        <v>1</v>
      </c>
      <c r="E11" s="30">
        <v>119</v>
      </c>
      <c r="F11" s="31">
        <v>155</v>
      </c>
      <c r="G11" s="31">
        <v>189</v>
      </c>
      <c r="H11" s="31">
        <v>237</v>
      </c>
      <c r="I11" s="31">
        <v>318</v>
      </c>
      <c r="J11" s="31">
        <v>498</v>
      </c>
      <c r="K11" s="31">
        <v>900</v>
      </c>
      <c r="L11" s="32">
        <v>2160</v>
      </c>
      <c r="M11" s="30">
        <v>108</v>
      </c>
      <c r="N11" s="31">
        <v>149</v>
      </c>
      <c r="O11" s="31">
        <v>173</v>
      </c>
      <c r="P11" s="31">
        <v>201</v>
      </c>
      <c r="Q11" s="31">
        <v>249</v>
      </c>
      <c r="R11" s="31">
        <v>338</v>
      </c>
      <c r="S11" s="31">
        <v>532</v>
      </c>
      <c r="T11" s="32">
        <v>1004</v>
      </c>
      <c r="V11" s="93"/>
      <c r="W11" s="97"/>
      <c r="X11" s="6">
        <v>1</v>
      </c>
      <c r="Y11" s="20">
        <f t="shared" si="0"/>
        <v>0.75630252100840334</v>
      </c>
      <c r="Z11" s="21">
        <f t="shared" si="1"/>
        <v>0.77419354838709675</v>
      </c>
      <c r="AA11" s="21">
        <f t="shared" si="2"/>
        <v>0.80952380952380953</v>
      </c>
      <c r="AB11" s="21">
        <f t="shared" si="3"/>
        <v>0.81434599156118148</v>
      </c>
      <c r="AC11" s="21">
        <f t="shared" si="4"/>
        <v>0.83647798742138368</v>
      </c>
      <c r="AD11" s="21">
        <f t="shared" si="5"/>
        <v>0.86345381526104414</v>
      </c>
      <c r="AE11" s="21">
        <f t="shared" si="6"/>
        <v>0.88444444444444448</v>
      </c>
      <c r="AF11" s="22">
        <f t="shared" si="7"/>
        <v>0.86296296296296293</v>
      </c>
      <c r="AG11" s="20">
        <f t="shared" si="8"/>
        <v>0.68518518518518523</v>
      </c>
      <c r="AH11" s="21">
        <f t="shared" si="9"/>
        <v>0.78523489932885904</v>
      </c>
      <c r="AI11" s="21">
        <f t="shared" si="10"/>
        <v>0.80346820809248554</v>
      </c>
      <c r="AJ11" s="21">
        <f t="shared" si="11"/>
        <v>0.80099502487562191</v>
      </c>
      <c r="AK11" s="21">
        <f t="shared" si="12"/>
        <v>0.81526104417670686</v>
      </c>
      <c r="AL11" s="21">
        <f t="shared" si="13"/>
        <v>0.83431952662721898</v>
      </c>
      <c r="AM11" s="21">
        <f t="shared" si="14"/>
        <v>0.8007518796992481</v>
      </c>
      <c r="AN11" s="22">
        <f t="shared" si="15"/>
        <v>0.77689243027888444</v>
      </c>
    </row>
    <row r="12" spans="2:40" ht="15" customHeight="1">
      <c r="B12" s="87"/>
      <c r="C12" s="89" t="s">
        <v>8</v>
      </c>
      <c r="D12" s="4">
        <v>0.25</v>
      </c>
      <c r="E12" s="24">
        <v>6192</v>
      </c>
      <c r="F12" s="25">
        <v>10484</v>
      </c>
      <c r="G12" s="25">
        <v>16082</v>
      </c>
      <c r="H12" s="25">
        <v>17410</v>
      </c>
      <c r="I12" s="25">
        <v>17436</v>
      </c>
      <c r="J12" s="25">
        <v>17467</v>
      </c>
      <c r="K12" s="25">
        <v>17556</v>
      </c>
      <c r="L12" s="26">
        <v>17566</v>
      </c>
      <c r="M12" s="24">
        <v>6914</v>
      </c>
      <c r="N12" s="25">
        <v>12185</v>
      </c>
      <c r="O12" s="25">
        <v>19737</v>
      </c>
      <c r="P12" s="25">
        <v>20568</v>
      </c>
      <c r="Q12" s="25">
        <v>20601</v>
      </c>
      <c r="R12" s="25">
        <v>20595</v>
      </c>
      <c r="S12" s="25">
        <v>20641</v>
      </c>
      <c r="T12" s="26">
        <v>20626</v>
      </c>
      <c r="V12" s="93"/>
      <c r="W12" s="98" t="s">
        <v>8</v>
      </c>
      <c r="X12" s="4">
        <v>0.25</v>
      </c>
      <c r="Y12" s="15">
        <f t="shared" si="0"/>
        <v>1.4064922480620154</v>
      </c>
      <c r="Z12" s="16">
        <f t="shared" si="1"/>
        <v>1.4385730637161389</v>
      </c>
      <c r="AA12" s="16">
        <f t="shared" si="2"/>
        <v>1.4452804377564978</v>
      </c>
      <c r="AB12" s="16">
        <f t="shared" si="3"/>
        <v>1.5145893164847788</v>
      </c>
      <c r="AC12" s="16">
        <f t="shared" si="4"/>
        <v>1.5123881624225739</v>
      </c>
      <c r="AD12" s="16">
        <f t="shared" si="5"/>
        <v>1.5102765214404306</v>
      </c>
      <c r="AE12" s="16">
        <f t="shared" si="6"/>
        <v>1.5032467532467533</v>
      </c>
      <c r="AF12" s="17">
        <f t="shared" si="7"/>
        <v>1.4994876465900033</v>
      </c>
      <c r="AG12" s="15">
        <f t="shared" si="8"/>
        <v>1.2813132774081573</v>
      </c>
      <c r="AH12" s="16">
        <f t="shared" si="9"/>
        <v>1.2794419368075503</v>
      </c>
      <c r="AI12" s="16">
        <f t="shared" si="10"/>
        <v>1.2389420884632922</v>
      </c>
      <c r="AJ12" s="16">
        <f t="shared" si="11"/>
        <v>1.5557662388175808</v>
      </c>
      <c r="AK12" s="16">
        <f t="shared" si="12"/>
        <v>1.5498762196009903</v>
      </c>
      <c r="AL12" s="16">
        <f t="shared" si="13"/>
        <v>1.5526098567613498</v>
      </c>
      <c r="AM12" s="16">
        <f t="shared" si="14"/>
        <v>1.5494404340874957</v>
      </c>
      <c r="AN12" s="17">
        <f t="shared" si="15"/>
        <v>1.5422767380975468</v>
      </c>
    </row>
    <row r="13" spans="2:40" ht="15" customHeight="1">
      <c r="B13" s="87"/>
      <c r="C13" s="90"/>
      <c r="D13" s="5">
        <v>0.5</v>
      </c>
      <c r="E13" s="27">
        <v>9193</v>
      </c>
      <c r="F13" s="28">
        <v>16125</v>
      </c>
      <c r="G13" s="28">
        <v>25943</v>
      </c>
      <c r="H13" s="28">
        <v>38858</v>
      </c>
      <c r="I13" s="28">
        <v>45207</v>
      </c>
      <c r="J13" s="28">
        <v>45459</v>
      </c>
      <c r="K13" s="28">
        <v>45886</v>
      </c>
      <c r="L13" s="29">
        <v>46011</v>
      </c>
      <c r="M13" s="27">
        <v>9940</v>
      </c>
      <c r="N13" s="28">
        <v>18172</v>
      </c>
      <c r="O13" s="28">
        <v>30404</v>
      </c>
      <c r="P13" s="28">
        <v>48312</v>
      </c>
      <c r="Q13" s="28">
        <v>56339</v>
      </c>
      <c r="R13" s="28">
        <v>56542</v>
      </c>
      <c r="S13" s="28">
        <v>56447</v>
      </c>
      <c r="T13" s="29">
        <v>56438</v>
      </c>
      <c r="V13" s="93"/>
      <c r="W13" s="96"/>
      <c r="X13" s="5">
        <v>0.5</v>
      </c>
      <c r="Y13" s="18">
        <f t="shared" si="0"/>
        <v>1.3087131513107799</v>
      </c>
      <c r="Z13" s="12">
        <f t="shared" si="1"/>
        <v>1.3727751937984496</v>
      </c>
      <c r="AA13" s="12">
        <f t="shared" si="2"/>
        <v>1.4463246347762402</v>
      </c>
      <c r="AB13" s="12">
        <f t="shared" si="3"/>
        <v>1.4129394204539605</v>
      </c>
      <c r="AC13" s="12">
        <f t="shared" si="4"/>
        <v>1.4225009401198929</v>
      </c>
      <c r="AD13" s="12">
        <f t="shared" si="5"/>
        <v>1.4169031434919377</v>
      </c>
      <c r="AE13" s="12">
        <f t="shared" si="6"/>
        <v>1.4016475613476878</v>
      </c>
      <c r="AF13" s="19">
        <f t="shared" si="7"/>
        <v>1.3983395275042925</v>
      </c>
      <c r="AG13" s="18">
        <f t="shared" si="8"/>
        <v>1.2346076458752515</v>
      </c>
      <c r="AH13" s="12">
        <f t="shared" si="9"/>
        <v>1.2526414263702399</v>
      </c>
      <c r="AI13" s="12">
        <f t="shared" si="10"/>
        <v>1.3084791474805946</v>
      </c>
      <c r="AJ13" s="12">
        <f t="shared" si="11"/>
        <v>1.2803858254677927</v>
      </c>
      <c r="AK13" s="12">
        <f t="shared" si="12"/>
        <v>1.445694811764497</v>
      </c>
      <c r="AL13" s="12">
        <f t="shared" si="13"/>
        <v>1.4365604329524955</v>
      </c>
      <c r="AM13" s="12">
        <f t="shared" si="14"/>
        <v>1.4412634861020073</v>
      </c>
      <c r="AN13" s="19">
        <f t="shared" si="15"/>
        <v>1.4357347886175982</v>
      </c>
    </row>
    <row r="14" spans="2:40" ht="15" customHeight="1">
      <c r="B14" s="87"/>
      <c r="C14" s="90"/>
      <c r="D14" s="5">
        <v>0.75</v>
      </c>
      <c r="E14" s="27">
        <v>11464</v>
      </c>
      <c r="F14" s="28">
        <v>21371</v>
      </c>
      <c r="G14" s="28">
        <v>36951</v>
      </c>
      <c r="H14" s="28">
        <v>59109</v>
      </c>
      <c r="I14" s="28">
        <v>87975</v>
      </c>
      <c r="J14" s="28">
        <v>103014</v>
      </c>
      <c r="K14" s="28">
        <v>103381</v>
      </c>
      <c r="L14" s="29">
        <v>103310</v>
      </c>
      <c r="M14" s="27">
        <v>11956</v>
      </c>
      <c r="N14" s="28">
        <v>22911</v>
      </c>
      <c r="O14" s="28">
        <v>40839</v>
      </c>
      <c r="P14" s="28">
        <v>68506</v>
      </c>
      <c r="Q14" s="28">
        <v>107096</v>
      </c>
      <c r="R14" s="28">
        <v>135986</v>
      </c>
      <c r="S14" s="28">
        <v>135801</v>
      </c>
      <c r="T14" s="29">
        <v>135958</v>
      </c>
      <c r="V14" s="93"/>
      <c r="W14" s="96"/>
      <c r="X14" s="5">
        <v>0.75</v>
      </c>
      <c r="Y14" s="18">
        <f t="shared" si="0"/>
        <v>1.2261863224005582</v>
      </c>
      <c r="Z14" s="12">
        <f t="shared" si="1"/>
        <v>1.2523513172055589</v>
      </c>
      <c r="AA14" s="12">
        <f t="shared" si="2"/>
        <v>1.3204784714892697</v>
      </c>
      <c r="AB14" s="12">
        <f t="shared" si="3"/>
        <v>1.3839855182797882</v>
      </c>
      <c r="AC14" s="12">
        <f t="shared" si="4"/>
        <v>1.3084398976982097</v>
      </c>
      <c r="AD14" s="12">
        <f t="shared" si="5"/>
        <v>1.2930281320985497</v>
      </c>
      <c r="AE14" s="12">
        <f t="shared" si="6"/>
        <v>1.2884282411661718</v>
      </c>
      <c r="AF14" s="19">
        <f t="shared" si="7"/>
        <v>1.2896428225728391</v>
      </c>
      <c r="AG14" s="18">
        <f t="shared" si="8"/>
        <v>1.1968885915021747</v>
      </c>
      <c r="AH14" s="12">
        <f t="shared" si="9"/>
        <v>1.1988564445026406</v>
      </c>
      <c r="AI14" s="12">
        <f t="shared" si="10"/>
        <v>1.2454761380053381</v>
      </c>
      <c r="AJ14" s="12">
        <f t="shared" si="11"/>
        <v>1.3014188538230227</v>
      </c>
      <c r="AK14" s="12">
        <f t="shared" si="12"/>
        <v>1.2873029805034735</v>
      </c>
      <c r="AL14" s="12">
        <f t="shared" si="13"/>
        <v>1.3093259600252967</v>
      </c>
      <c r="AM14" s="12">
        <f t="shared" si="14"/>
        <v>1.3221036663942092</v>
      </c>
      <c r="AN14" s="19">
        <f t="shared" si="15"/>
        <v>1.3239235646302534</v>
      </c>
    </row>
    <row r="15" spans="2:40" ht="15" customHeight="1" thickBot="1">
      <c r="B15" s="88"/>
      <c r="C15" s="91"/>
      <c r="D15" s="6">
        <v>1</v>
      </c>
      <c r="E15" s="30">
        <v>13411</v>
      </c>
      <c r="F15" s="31">
        <v>26923</v>
      </c>
      <c r="G15" s="31">
        <v>52265</v>
      </c>
      <c r="H15" s="31">
        <v>98380</v>
      </c>
      <c r="I15" s="31">
        <v>174987</v>
      </c>
      <c r="J15" s="31">
        <v>280549</v>
      </c>
      <c r="K15" s="31">
        <v>382294</v>
      </c>
      <c r="L15" s="32">
        <v>442939</v>
      </c>
      <c r="M15" s="30">
        <v>13538</v>
      </c>
      <c r="N15" s="31">
        <v>27322</v>
      </c>
      <c r="O15" s="31">
        <v>53540</v>
      </c>
      <c r="P15" s="31">
        <v>102841</v>
      </c>
      <c r="Q15" s="31">
        <v>190185</v>
      </c>
      <c r="R15" s="31">
        <v>328357</v>
      </c>
      <c r="S15" s="31">
        <v>490469</v>
      </c>
      <c r="T15" s="32">
        <v>536381</v>
      </c>
      <c r="V15" s="94"/>
      <c r="W15" s="97"/>
      <c r="X15" s="6">
        <v>1</v>
      </c>
      <c r="Y15" s="20">
        <f t="shared" si="0"/>
        <v>1.1963313697710833</v>
      </c>
      <c r="Z15" s="21">
        <f t="shared" si="1"/>
        <v>1.1782862236749247</v>
      </c>
      <c r="AA15" s="21">
        <f t="shared" si="2"/>
        <v>1.1801205395580217</v>
      </c>
      <c r="AB15" s="21">
        <f t="shared" si="3"/>
        <v>1.1872128481398658</v>
      </c>
      <c r="AC15" s="21">
        <f t="shared" si="4"/>
        <v>1.1983004451759274</v>
      </c>
      <c r="AD15" s="21">
        <f t="shared" si="5"/>
        <v>1.2053117280760224</v>
      </c>
      <c r="AE15" s="21">
        <f t="shared" si="6"/>
        <v>1.2043898151684307</v>
      </c>
      <c r="AF15" s="22">
        <f t="shared" si="7"/>
        <v>1.1890418319452565</v>
      </c>
      <c r="AG15" s="20">
        <f t="shared" si="8"/>
        <v>1.1852563155562121</v>
      </c>
      <c r="AH15" s="21">
        <f t="shared" si="9"/>
        <v>1.166203059805285</v>
      </c>
      <c r="AI15" s="21">
        <f t="shared" si="10"/>
        <v>1.1684908479641389</v>
      </c>
      <c r="AJ15" s="21">
        <f t="shared" si="11"/>
        <v>1.1758734356919907</v>
      </c>
      <c r="AK15" s="21">
        <f t="shared" si="12"/>
        <v>1.1894681494334465</v>
      </c>
      <c r="AL15" s="21">
        <f t="shared" si="13"/>
        <v>1.2052978922331488</v>
      </c>
      <c r="AM15" s="21">
        <f t="shared" si="14"/>
        <v>1.108691884706271</v>
      </c>
      <c r="AN15" s="22">
        <f t="shared" si="15"/>
        <v>1.0394029617007314</v>
      </c>
    </row>
    <row r="16" spans="2:40" ht="15" customHeight="1">
      <c r="B16" s="83" t="s">
        <v>9</v>
      </c>
      <c r="C16" s="98" t="s">
        <v>6</v>
      </c>
      <c r="D16" s="4">
        <v>0.25</v>
      </c>
      <c r="E16" s="24">
        <v>16</v>
      </c>
      <c r="F16" s="25">
        <v>15</v>
      </c>
      <c r="G16" s="25">
        <v>13</v>
      </c>
      <c r="H16" s="25">
        <v>14</v>
      </c>
      <c r="I16" s="25">
        <v>15</v>
      </c>
      <c r="J16" s="25">
        <v>278</v>
      </c>
      <c r="K16" s="25">
        <v>612</v>
      </c>
      <c r="L16" s="26">
        <v>2416</v>
      </c>
      <c r="M16" s="24">
        <v>14</v>
      </c>
      <c r="N16" s="25">
        <v>15</v>
      </c>
      <c r="O16" s="25">
        <v>13</v>
      </c>
      <c r="P16" s="25">
        <v>14</v>
      </c>
      <c r="Q16" s="25">
        <v>16</v>
      </c>
      <c r="R16" s="25">
        <v>195</v>
      </c>
      <c r="S16" s="25">
        <v>450</v>
      </c>
      <c r="T16" s="26">
        <v>1960</v>
      </c>
      <c r="V16" s="86" t="s">
        <v>9</v>
      </c>
      <c r="W16" s="98" t="s">
        <v>6</v>
      </c>
      <c r="X16" s="4">
        <v>0.25</v>
      </c>
      <c r="Y16" s="15">
        <f t="shared" si="0"/>
        <v>0.6875</v>
      </c>
      <c r="Z16" s="16">
        <f t="shared" si="1"/>
        <v>0.8666666666666667</v>
      </c>
      <c r="AA16" s="16">
        <f t="shared" si="2"/>
        <v>1.0769230769230769</v>
      </c>
      <c r="AB16" s="16">
        <f t="shared" si="3"/>
        <v>1.2142857142857142</v>
      </c>
      <c r="AC16" s="16">
        <f t="shared" si="4"/>
        <v>1.2666666666666666</v>
      </c>
      <c r="AD16" s="16">
        <f t="shared" si="5"/>
        <v>6.83453237410072E-2</v>
      </c>
      <c r="AE16" s="16">
        <f t="shared" si="6"/>
        <v>3.1045751633986929E-2</v>
      </c>
      <c r="AF16" s="17">
        <f t="shared" si="7"/>
        <v>9.1059602649006619E-3</v>
      </c>
      <c r="AG16" s="15">
        <f t="shared" si="8"/>
        <v>0.7857142857142857</v>
      </c>
      <c r="AH16" s="16">
        <f t="shared" si="9"/>
        <v>0.8666666666666667</v>
      </c>
      <c r="AI16" s="16">
        <f t="shared" si="10"/>
        <v>1.1538461538461537</v>
      </c>
      <c r="AJ16" s="16">
        <f t="shared" si="11"/>
        <v>1.2142857142857142</v>
      </c>
      <c r="AK16" s="16">
        <f t="shared" si="12"/>
        <v>1.3125</v>
      </c>
      <c r="AL16" s="16">
        <f t="shared" si="13"/>
        <v>0.12307692307692308</v>
      </c>
      <c r="AM16" s="16">
        <f t="shared" si="14"/>
        <v>4.8888888888888891E-2</v>
      </c>
      <c r="AN16" s="17">
        <f t="shared" si="15"/>
        <v>1.2244897959183673E-2</v>
      </c>
    </row>
    <row r="17" spans="2:40" ht="15" customHeight="1">
      <c r="B17" s="93"/>
      <c r="C17" s="96"/>
      <c r="D17" s="5">
        <v>0.5</v>
      </c>
      <c r="E17" s="27">
        <v>17</v>
      </c>
      <c r="F17" s="28">
        <v>16</v>
      </c>
      <c r="G17" s="28">
        <v>13</v>
      </c>
      <c r="H17" s="28">
        <v>14</v>
      </c>
      <c r="I17" s="28">
        <v>199</v>
      </c>
      <c r="J17" s="28">
        <v>498</v>
      </c>
      <c r="K17" s="28">
        <v>1096</v>
      </c>
      <c r="L17" s="29">
        <v>3696</v>
      </c>
      <c r="M17" s="27">
        <v>16</v>
      </c>
      <c r="N17" s="28">
        <v>16</v>
      </c>
      <c r="O17" s="28">
        <v>13</v>
      </c>
      <c r="P17" s="28">
        <v>14</v>
      </c>
      <c r="Q17" s="28">
        <v>165</v>
      </c>
      <c r="R17" s="28">
        <v>406</v>
      </c>
      <c r="S17" s="28">
        <v>900</v>
      </c>
      <c r="T17" s="29">
        <v>3088</v>
      </c>
      <c r="V17" s="87"/>
      <c r="W17" s="96"/>
      <c r="X17" s="5">
        <v>0.5</v>
      </c>
      <c r="Y17" s="18">
        <f t="shared" si="0"/>
        <v>0.6470588235294118</v>
      </c>
      <c r="Z17" s="12">
        <f t="shared" si="1"/>
        <v>0.8125</v>
      </c>
      <c r="AA17" s="12">
        <f>G44/G17</f>
        <v>1.1538461538461537</v>
      </c>
      <c r="AB17" s="12">
        <f t="shared" si="3"/>
        <v>1.2142857142857142</v>
      </c>
      <c r="AC17" s="12">
        <f t="shared" si="4"/>
        <v>1.1507537688442211</v>
      </c>
      <c r="AD17" s="12">
        <f t="shared" si="5"/>
        <v>1.1325301204819278</v>
      </c>
      <c r="AE17" s="12">
        <f t="shared" si="6"/>
        <v>1.1167883211678833</v>
      </c>
      <c r="AF17" s="19">
        <f t="shared" si="7"/>
        <v>1.2380952380952381</v>
      </c>
      <c r="AG17" s="18">
        <f t="shared" si="8"/>
        <v>0.75</v>
      </c>
      <c r="AH17" s="12">
        <f t="shared" si="9"/>
        <v>0.8125</v>
      </c>
      <c r="AI17" s="12">
        <f t="shared" si="10"/>
        <v>1.1538461538461537</v>
      </c>
      <c r="AJ17" s="12">
        <f t="shared" si="11"/>
        <v>1.2857142857142858</v>
      </c>
      <c r="AK17" s="12">
        <f t="shared" si="12"/>
        <v>0.12121212121212122</v>
      </c>
      <c r="AL17" s="12">
        <f t="shared" si="13"/>
        <v>1.1083743842364533</v>
      </c>
      <c r="AM17" s="12">
        <f t="shared" si="14"/>
        <v>1.1333333333333333</v>
      </c>
      <c r="AN17" s="19">
        <f t="shared" si="15"/>
        <v>1.1139896373056994</v>
      </c>
    </row>
    <row r="18" spans="2:40" ht="15" customHeight="1">
      <c r="B18" s="93"/>
      <c r="C18" s="96"/>
      <c r="D18" s="5">
        <v>0.75</v>
      </c>
      <c r="E18" s="27">
        <v>20</v>
      </c>
      <c r="F18" s="28">
        <v>18</v>
      </c>
      <c r="G18" s="28">
        <v>13</v>
      </c>
      <c r="H18" s="28">
        <v>123</v>
      </c>
      <c r="I18" s="28">
        <v>278</v>
      </c>
      <c r="J18" s="28">
        <v>564</v>
      </c>
      <c r="K18" s="28">
        <v>1144</v>
      </c>
      <c r="L18" s="29">
        <v>4256</v>
      </c>
      <c r="M18" s="27">
        <v>17</v>
      </c>
      <c r="N18" s="28">
        <v>17</v>
      </c>
      <c r="O18" s="28">
        <v>14</v>
      </c>
      <c r="P18" s="28">
        <v>113</v>
      </c>
      <c r="Q18" s="28">
        <v>237</v>
      </c>
      <c r="R18" s="28">
        <v>482</v>
      </c>
      <c r="S18" s="28">
        <v>980</v>
      </c>
      <c r="T18" s="29">
        <v>3664</v>
      </c>
      <c r="V18" s="87"/>
      <c r="W18" s="96"/>
      <c r="X18" s="5">
        <v>0.75</v>
      </c>
      <c r="Y18" s="18">
        <f t="shared" si="0"/>
        <v>0.6</v>
      </c>
      <c r="Z18" s="12">
        <f t="shared" si="1"/>
        <v>0.72222222222222221</v>
      </c>
      <c r="AA18" s="12">
        <f t="shared" si="2"/>
        <v>1.1538461538461537</v>
      </c>
      <c r="AB18" s="12">
        <f t="shared" si="3"/>
        <v>1.3414634146341464</v>
      </c>
      <c r="AC18" s="12">
        <f t="shared" si="4"/>
        <v>1.1870503597122302</v>
      </c>
      <c r="AD18" s="12">
        <f t="shared" si="5"/>
        <v>1.1702127659574468</v>
      </c>
      <c r="AE18" s="12">
        <f t="shared" si="6"/>
        <v>1.1398601398601398</v>
      </c>
      <c r="AF18" s="19">
        <f t="shared" si="7"/>
        <v>1.1353383458646618</v>
      </c>
      <c r="AG18" s="18">
        <f t="shared" si="8"/>
        <v>0.76470588235294112</v>
      </c>
      <c r="AH18" s="12">
        <f t="shared" si="9"/>
        <v>0.82352941176470584</v>
      </c>
      <c r="AI18" s="12">
        <f t="shared" si="10"/>
        <v>1.0714285714285714</v>
      </c>
      <c r="AJ18" s="12">
        <f t="shared" si="11"/>
        <v>1.0530973451327434</v>
      </c>
      <c r="AK18" s="12">
        <f t="shared" si="12"/>
        <v>1.1561181434599157</v>
      </c>
      <c r="AL18" s="12">
        <f t="shared" si="13"/>
        <v>1.1369294605809128</v>
      </c>
      <c r="AM18" s="12">
        <f t="shared" si="14"/>
        <v>1.1020408163265305</v>
      </c>
      <c r="AN18" s="19">
        <f t="shared" si="15"/>
        <v>1.1441048034934498</v>
      </c>
    </row>
    <row r="19" spans="2:40" ht="15" customHeight="1" thickBot="1">
      <c r="B19" s="93"/>
      <c r="C19" s="97"/>
      <c r="D19" s="6">
        <v>1</v>
      </c>
      <c r="E19" s="30">
        <v>21</v>
      </c>
      <c r="F19" s="31">
        <v>34</v>
      </c>
      <c r="G19" s="31">
        <v>70</v>
      </c>
      <c r="H19" s="31">
        <v>141</v>
      </c>
      <c r="I19" s="31">
        <v>278</v>
      </c>
      <c r="J19" s="31">
        <v>548</v>
      </c>
      <c r="K19" s="31">
        <v>1144</v>
      </c>
      <c r="L19" s="32">
        <v>4448</v>
      </c>
      <c r="M19" s="30">
        <v>20</v>
      </c>
      <c r="N19" s="31">
        <v>31</v>
      </c>
      <c r="O19" s="31">
        <v>64</v>
      </c>
      <c r="P19" s="31">
        <v>129</v>
      </c>
      <c r="Q19" s="31">
        <v>253</v>
      </c>
      <c r="R19" s="31">
        <v>506</v>
      </c>
      <c r="S19" s="31">
        <v>1048</v>
      </c>
      <c r="T19" s="32">
        <v>4080</v>
      </c>
      <c r="V19" s="87"/>
      <c r="W19" s="97"/>
      <c r="X19" s="6">
        <v>1</v>
      </c>
      <c r="Y19" s="20">
        <f t="shared" si="0"/>
        <v>0.52380952380952384</v>
      </c>
      <c r="Z19" s="21">
        <f t="shared" si="1"/>
        <v>1.2058823529411764</v>
      </c>
      <c r="AA19" s="21">
        <f t="shared" si="2"/>
        <v>1.1714285714285715</v>
      </c>
      <c r="AB19" s="21">
        <f t="shared" si="3"/>
        <v>1.1702127659574468</v>
      </c>
      <c r="AC19" s="21">
        <f t="shared" si="4"/>
        <v>1.1870503597122302</v>
      </c>
      <c r="AD19" s="21">
        <f t="shared" si="5"/>
        <v>1.2043795620437956</v>
      </c>
      <c r="AE19" s="21">
        <f t="shared" si="6"/>
        <v>1.1538461538461537</v>
      </c>
      <c r="AF19" s="22">
        <f t="shared" si="7"/>
        <v>0.92805755395683454</v>
      </c>
      <c r="AG19" s="20">
        <f t="shared" si="8"/>
        <v>0.55000000000000004</v>
      </c>
      <c r="AH19" s="21">
        <f t="shared" si="9"/>
        <v>0.67741935483870963</v>
      </c>
      <c r="AI19" s="21">
        <f t="shared" si="10"/>
        <v>0.671875</v>
      </c>
      <c r="AJ19" s="21">
        <f t="shared" si="11"/>
        <v>0.67441860465116277</v>
      </c>
      <c r="AK19" s="21">
        <f t="shared" si="12"/>
        <v>0.69169960474308301</v>
      </c>
      <c r="AL19" s="21">
        <f t="shared" si="13"/>
        <v>0.69169960474308301</v>
      </c>
      <c r="AM19" s="21">
        <f t="shared" si="14"/>
        <v>0.66793893129770987</v>
      </c>
      <c r="AN19" s="22">
        <f t="shared" si="15"/>
        <v>0.69411764705882351</v>
      </c>
    </row>
    <row r="20" spans="2:40" ht="15" customHeight="1">
      <c r="B20" s="93"/>
      <c r="C20" s="98" t="s">
        <v>7</v>
      </c>
      <c r="D20" s="4">
        <v>0.25</v>
      </c>
      <c r="E20" s="24">
        <v>32</v>
      </c>
      <c r="F20" s="25">
        <v>35</v>
      </c>
      <c r="G20" s="25">
        <v>31</v>
      </c>
      <c r="H20" s="25">
        <v>20</v>
      </c>
      <c r="I20" s="25">
        <v>21</v>
      </c>
      <c r="J20" s="25">
        <v>410</v>
      </c>
      <c r="K20" s="25">
        <v>804</v>
      </c>
      <c r="L20" s="26">
        <v>2800</v>
      </c>
      <c r="M20" s="24">
        <v>28</v>
      </c>
      <c r="N20" s="25">
        <v>34</v>
      </c>
      <c r="O20" s="25">
        <v>29</v>
      </c>
      <c r="P20" s="25">
        <v>20</v>
      </c>
      <c r="Q20" s="25">
        <v>21</v>
      </c>
      <c r="R20" s="25">
        <v>290</v>
      </c>
      <c r="S20" s="25">
        <v>604</v>
      </c>
      <c r="T20" s="26">
        <v>2224</v>
      </c>
      <c r="V20" s="87"/>
      <c r="W20" s="98" t="s">
        <v>7</v>
      </c>
      <c r="X20" s="4">
        <v>0.25</v>
      </c>
      <c r="Y20" s="15">
        <f t="shared" ref="Y20:AM27" si="16">E47/E20</f>
        <v>0.84375</v>
      </c>
      <c r="Z20" s="16">
        <f t="shared" si="16"/>
        <v>0.77142857142857146</v>
      </c>
      <c r="AA20" s="16">
        <f t="shared" si="16"/>
        <v>0.61290322580645162</v>
      </c>
      <c r="AB20" s="16">
        <f t="shared" si="16"/>
        <v>1.1000000000000001</v>
      </c>
      <c r="AC20" s="16">
        <f t="shared" si="16"/>
        <v>1.2380952380952381</v>
      </c>
      <c r="AD20" s="16">
        <f t="shared" si="16"/>
        <v>6.3414634146341464E-2</v>
      </c>
      <c r="AE20" s="16">
        <f t="shared" si="16"/>
        <v>3.3582089552238806E-2</v>
      </c>
      <c r="AF20" s="17">
        <f t="shared" si="16"/>
        <v>1.2142857142857143E-2</v>
      </c>
      <c r="AG20" s="15">
        <f t="shared" si="16"/>
        <v>0.9642857142857143</v>
      </c>
      <c r="AH20" s="16">
        <f t="shared" si="16"/>
        <v>0.8529411764705882</v>
      </c>
      <c r="AI20" s="16">
        <f t="shared" si="16"/>
        <v>0.93103448275862066</v>
      </c>
      <c r="AJ20" s="16">
        <f t="shared" si="16"/>
        <v>1.1499999999999999</v>
      </c>
      <c r="AK20" s="16">
        <f t="shared" si="16"/>
        <v>1.3333333333333333</v>
      </c>
      <c r="AL20" s="16">
        <f t="shared" si="16"/>
        <v>0.12413793103448276</v>
      </c>
      <c r="AM20" s="16">
        <f t="shared" si="16"/>
        <v>0.12913907284768211</v>
      </c>
      <c r="AN20" s="17">
        <f t="shared" ref="AN20:AN27" si="17">T47/T20</f>
        <v>0.11780575539568346</v>
      </c>
    </row>
    <row r="21" spans="2:40" ht="15" customHeight="1">
      <c r="B21" s="93"/>
      <c r="C21" s="96"/>
      <c r="D21" s="5">
        <v>0.5</v>
      </c>
      <c r="E21" s="27">
        <v>34</v>
      </c>
      <c r="F21" s="28">
        <v>38</v>
      </c>
      <c r="G21" s="28">
        <v>34</v>
      </c>
      <c r="H21" s="28">
        <v>26</v>
      </c>
      <c r="I21" s="28">
        <v>262</v>
      </c>
      <c r="J21" s="28">
        <v>596</v>
      </c>
      <c r="K21" s="28">
        <v>1240</v>
      </c>
      <c r="L21" s="29">
        <v>4048</v>
      </c>
      <c r="M21" s="27">
        <v>31</v>
      </c>
      <c r="N21" s="28">
        <v>37</v>
      </c>
      <c r="O21" s="28">
        <v>32</v>
      </c>
      <c r="P21" s="28">
        <v>20</v>
      </c>
      <c r="Q21" s="28">
        <v>213</v>
      </c>
      <c r="R21" s="28">
        <v>482</v>
      </c>
      <c r="S21" s="28">
        <v>1020</v>
      </c>
      <c r="T21" s="29">
        <v>3408</v>
      </c>
      <c r="V21" s="87"/>
      <c r="W21" s="96"/>
      <c r="X21" s="5">
        <v>0.5</v>
      </c>
      <c r="Y21" s="18">
        <f t="shared" si="16"/>
        <v>0.8529411764705882</v>
      </c>
      <c r="Z21" s="12">
        <f t="shared" si="16"/>
        <v>0.73684210526315785</v>
      </c>
      <c r="AA21" s="12">
        <f t="shared" si="16"/>
        <v>0.55882352941176472</v>
      </c>
      <c r="AB21" s="12">
        <f t="shared" si="16"/>
        <v>0.88461538461538458</v>
      </c>
      <c r="AC21" s="12">
        <f t="shared" si="16"/>
        <v>1.1832061068702291</v>
      </c>
      <c r="AD21" s="12">
        <f t="shared" si="16"/>
        <v>1.080536912751678</v>
      </c>
      <c r="AE21" s="12">
        <f t="shared" si="16"/>
        <v>1.0516129032258064</v>
      </c>
      <c r="AF21" s="19">
        <f t="shared" si="16"/>
        <v>1.1462450592885376</v>
      </c>
      <c r="AG21" s="18">
        <f t="shared" si="16"/>
        <v>0.93548387096774188</v>
      </c>
      <c r="AH21" s="12">
        <f t="shared" si="16"/>
        <v>0.89189189189189189</v>
      </c>
      <c r="AI21" s="12">
        <f t="shared" si="16"/>
        <v>0.875</v>
      </c>
      <c r="AJ21" s="12">
        <f t="shared" si="16"/>
        <v>1.2</v>
      </c>
      <c r="AK21" s="12">
        <f t="shared" si="16"/>
        <v>0.12676056338028169</v>
      </c>
      <c r="AL21" s="12">
        <f t="shared" si="16"/>
        <v>1.0871369294605808</v>
      </c>
      <c r="AM21" s="12">
        <f t="shared" si="16"/>
        <v>1.0588235294117647</v>
      </c>
      <c r="AN21" s="19">
        <f t="shared" si="17"/>
        <v>1.2300469483568075</v>
      </c>
    </row>
    <row r="22" spans="2:40" ht="15" customHeight="1">
      <c r="B22" s="93"/>
      <c r="C22" s="96"/>
      <c r="D22" s="5">
        <v>0.75</v>
      </c>
      <c r="E22" s="27">
        <v>34</v>
      </c>
      <c r="F22" s="28">
        <v>40</v>
      </c>
      <c r="G22" s="28">
        <v>36</v>
      </c>
      <c r="H22" s="28">
        <v>145</v>
      </c>
      <c r="I22" s="28">
        <v>310</v>
      </c>
      <c r="J22" s="28">
        <v>612</v>
      </c>
      <c r="K22" s="28">
        <v>1240</v>
      </c>
      <c r="L22" s="29">
        <v>4640</v>
      </c>
      <c r="M22" s="27">
        <v>31</v>
      </c>
      <c r="N22" s="28">
        <v>39</v>
      </c>
      <c r="O22" s="28">
        <v>30</v>
      </c>
      <c r="P22" s="28">
        <v>129</v>
      </c>
      <c r="Q22" s="28">
        <v>266</v>
      </c>
      <c r="R22" s="28">
        <v>532</v>
      </c>
      <c r="S22" s="28">
        <v>1064</v>
      </c>
      <c r="T22" s="29">
        <v>4016</v>
      </c>
      <c r="V22" s="87"/>
      <c r="W22" s="96"/>
      <c r="X22" s="5">
        <v>0.75</v>
      </c>
      <c r="Y22" s="18">
        <f t="shared" si="16"/>
        <v>0.8529411764705882</v>
      </c>
      <c r="Z22" s="12">
        <f t="shared" si="16"/>
        <v>0.75</v>
      </c>
      <c r="AA22" s="12">
        <f t="shared" si="16"/>
        <v>0.55555555555555558</v>
      </c>
      <c r="AB22" s="12">
        <f t="shared" si="16"/>
        <v>1.1655172413793105</v>
      </c>
      <c r="AC22" s="12">
        <f t="shared" si="16"/>
        <v>1.0774193548387097</v>
      </c>
      <c r="AD22" s="12">
        <f t="shared" si="16"/>
        <v>1.0915032679738561</v>
      </c>
      <c r="AE22" s="12">
        <f t="shared" si="16"/>
        <v>1.0774193548387097</v>
      </c>
      <c r="AF22" s="19">
        <f t="shared" si="16"/>
        <v>1.1379310344827587</v>
      </c>
      <c r="AG22" s="18">
        <f t="shared" si="16"/>
        <v>0.967741935483871</v>
      </c>
      <c r="AH22" s="12">
        <f t="shared" si="16"/>
        <v>0.89743589743589747</v>
      </c>
      <c r="AI22" s="12">
        <f t="shared" si="16"/>
        <v>1</v>
      </c>
      <c r="AJ22" s="12">
        <f t="shared" si="16"/>
        <v>1.0775193798449612</v>
      </c>
      <c r="AK22" s="12">
        <f t="shared" si="16"/>
        <v>1.0451127819548873</v>
      </c>
      <c r="AL22" s="12">
        <f t="shared" si="16"/>
        <v>1.0451127819548873</v>
      </c>
      <c r="AM22" s="12">
        <f t="shared" si="16"/>
        <v>1.0300751879699248</v>
      </c>
      <c r="AN22" s="19">
        <f t="shared" si="17"/>
        <v>1.0916334661354581</v>
      </c>
    </row>
    <row r="23" spans="2:40" ht="15" customHeight="1" thickBot="1">
      <c r="B23" s="93"/>
      <c r="C23" s="97"/>
      <c r="D23" s="6">
        <v>1</v>
      </c>
      <c r="E23" s="30">
        <v>27</v>
      </c>
      <c r="F23" s="31">
        <v>38</v>
      </c>
      <c r="G23" s="31">
        <v>74</v>
      </c>
      <c r="H23" s="31">
        <v>145</v>
      </c>
      <c r="I23" s="31">
        <v>286</v>
      </c>
      <c r="J23" s="31">
        <v>572</v>
      </c>
      <c r="K23" s="31">
        <v>1160</v>
      </c>
      <c r="L23" s="32">
        <v>5792</v>
      </c>
      <c r="M23" s="30">
        <v>26</v>
      </c>
      <c r="N23" s="31">
        <v>35</v>
      </c>
      <c r="O23" s="31">
        <v>68</v>
      </c>
      <c r="P23" s="31">
        <v>133</v>
      </c>
      <c r="Q23" s="31">
        <v>262</v>
      </c>
      <c r="R23" s="31">
        <v>516</v>
      </c>
      <c r="S23" s="31">
        <v>1048</v>
      </c>
      <c r="T23" s="32">
        <v>5472</v>
      </c>
      <c r="V23" s="87"/>
      <c r="W23" s="97"/>
      <c r="X23" s="6">
        <v>1</v>
      </c>
      <c r="Y23" s="20">
        <f t="shared" si="16"/>
        <v>0.59259259259259256</v>
      </c>
      <c r="Z23" s="21">
        <f t="shared" si="16"/>
        <v>1.131578947368421</v>
      </c>
      <c r="AA23" s="21">
        <f t="shared" si="16"/>
        <v>1.1756756756756757</v>
      </c>
      <c r="AB23" s="21">
        <f t="shared" si="16"/>
        <v>1.193103448275862</v>
      </c>
      <c r="AC23" s="21">
        <f t="shared" si="16"/>
        <v>1.1958041958041958</v>
      </c>
      <c r="AD23" s="21">
        <f t="shared" si="16"/>
        <v>1.1818181818181819</v>
      </c>
      <c r="AE23" s="21">
        <f t="shared" si="16"/>
        <v>1.1517241379310346</v>
      </c>
      <c r="AF23" s="22">
        <f t="shared" si="16"/>
        <v>0.91160220994475138</v>
      </c>
      <c r="AG23" s="20">
        <f t="shared" si="16"/>
        <v>0.61538461538461542</v>
      </c>
      <c r="AH23" s="21">
        <f t="shared" si="16"/>
        <v>0.65714285714285714</v>
      </c>
      <c r="AI23" s="21">
        <f t="shared" si="16"/>
        <v>0.66176470588235292</v>
      </c>
      <c r="AJ23" s="21">
        <f t="shared" si="16"/>
        <v>0.66917293233082709</v>
      </c>
      <c r="AK23" s="21">
        <f t="shared" si="16"/>
        <v>0.67557251908396942</v>
      </c>
      <c r="AL23" s="21">
        <f t="shared" si="16"/>
        <v>0.68604651162790697</v>
      </c>
      <c r="AM23" s="21">
        <f t="shared" si="16"/>
        <v>0.67557251908396942</v>
      </c>
      <c r="AN23" s="22">
        <f t="shared" si="17"/>
        <v>0.51754385964912286</v>
      </c>
    </row>
    <row r="24" spans="2:40" ht="15" customHeight="1">
      <c r="B24" s="93"/>
      <c r="C24" s="95" t="s">
        <v>8</v>
      </c>
      <c r="D24" s="7">
        <v>0.25</v>
      </c>
      <c r="E24" s="33">
        <v>3822</v>
      </c>
      <c r="F24" s="34">
        <v>7127</v>
      </c>
      <c r="G24" s="34">
        <v>12316</v>
      </c>
      <c r="H24" s="34">
        <v>19708</v>
      </c>
      <c r="I24" s="34">
        <v>29312</v>
      </c>
      <c r="J24" s="34">
        <v>34347</v>
      </c>
      <c r="K24" s="34">
        <v>34465</v>
      </c>
      <c r="L24" s="35">
        <v>34438</v>
      </c>
      <c r="M24" s="33">
        <v>3985</v>
      </c>
      <c r="N24" s="34">
        <v>7638</v>
      </c>
      <c r="O24" s="34">
        <v>13614</v>
      </c>
      <c r="P24" s="34">
        <v>22836</v>
      </c>
      <c r="Q24" s="34">
        <v>35711</v>
      </c>
      <c r="R24" s="34">
        <v>45332</v>
      </c>
      <c r="S24" s="34">
        <v>45263</v>
      </c>
      <c r="T24" s="35">
        <v>45323</v>
      </c>
      <c r="V24" s="87"/>
      <c r="W24" s="89" t="s">
        <v>8</v>
      </c>
      <c r="X24" s="4">
        <v>0.25</v>
      </c>
      <c r="Y24" s="15">
        <f t="shared" si="16"/>
        <v>1.226582940868655</v>
      </c>
      <c r="Z24" s="16">
        <f t="shared" si="16"/>
        <v>1.2522800617370562</v>
      </c>
      <c r="AA24" s="16">
        <f t="shared" si="16"/>
        <v>1.3208834037025008</v>
      </c>
      <c r="AB24" s="16">
        <f t="shared" si="16"/>
        <v>1.3839050131926121</v>
      </c>
      <c r="AC24" s="16">
        <f t="shared" si="16"/>
        <v>1.308440229257642</v>
      </c>
      <c r="AD24" s="16">
        <f t="shared" si="16"/>
        <v>1.2919032229889074</v>
      </c>
      <c r="AE24" s="16">
        <f t="shared" si="16"/>
        <v>1.2884375453358479</v>
      </c>
      <c r="AF24" s="17">
        <f t="shared" si="16"/>
        <v>1.289302514664034</v>
      </c>
      <c r="AG24" s="15">
        <f t="shared" si="16"/>
        <v>1.1957340025094103</v>
      </c>
      <c r="AH24" s="16">
        <f t="shared" si="16"/>
        <v>1.1988740507986384</v>
      </c>
      <c r="AI24" s="16">
        <f t="shared" si="16"/>
        <v>1.2448949610694873</v>
      </c>
      <c r="AJ24" s="16">
        <f t="shared" si="16"/>
        <v>1.3017603783499738</v>
      </c>
      <c r="AK24" s="16">
        <f t="shared" si="16"/>
        <v>1.2868303883957324</v>
      </c>
      <c r="AL24" s="16">
        <f t="shared" si="16"/>
        <v>1.3090532074472778</v>
      </c>
      <c r="AM24" s="16">
        <f t="shared" si="16"/>
        <v>1.3222720544373991</v>
      </c>
      <c r="AN24" s="17">
        <f t="shared" si="17"/>
        <v>1.3232354433731217</v>
      </c>
    </row>
    <row r="25" spans="2:40" ht="15" customHeight="1">
      <c r="B25" s="93"/>
      <c r="C25" s="96"/>
      <c r="D25" s="5">
        <v>0.5</v>
      </c>
      <c r="E25" s="27">
        <v>9192</v>
      </c>
      <c r="F25" s="28">
        <v>16131</v>
      </c>
      <c r="G25" s="28">
        <v>25936</v>
      </c>
      <c r="H25" s="28">
        <v>38867</v>
      </c>
      <c r="I25" s="28">
        <v>45226</v>
      </c>
      <c r="J25" s="28">
        <v>45458</v>
      </c>
      <c r="K25" s="28">
        <v>45883</v>
      </c>
      <c r="L25" s="29">
        <v>46022</v>
      </c>
      <c r="M25" s="27">
        <v>9949</v>
      </c>
      <c r="N25" s="28">
        <v>18180</v>
      </c>
      <c r="O25" s="28">
        <v>30401</v>
      </c>
      <c r="P25" s="28">
        <v>48300</v>
      </c>
      <c r="Q25" s="28">
        <v>56349</v>
      </c>
      <c r="R25" s="28">
        <v>56553</v>
      </c>
      <c r="S25" s="28">
        <v>56477</v>
      </c>
      <c r="T25" s="29">
        <v>56441</v>
      </c>
      <c r="V25" s="87"/>
      <c r="W25" s="90"/>
      <c r="X25" s="5">
        <v>0.5</v>
      </c>
      <c r="Y25" s="18">
        <f t="shared" si="16"/>
        <v>1.3087467362924281</v>
      </c>
      <c r="Z25" s="12">
        <f t="shared" si="16"/>
        <v>1.3724505610315541</v>
      </c>
      <c r="AA25" s="12">
        <f t="shared" si="16"/>
        <v>1.4462908698334362</v>
      </c>
      <c r="AB25" s="12">
        <f t="shared" si="16"/>
        <v>1.4127923431188412</v>
      </c>
      <c r="AC25" s="12">
        <f t="shared" si="16"/>
        <v>1.4217927740680141</v>
      </c>
      <c r="AD25" s="12">
        <f t="shared" si="16"/>
        <v>1.4164283514452902</v>
      </c>
      <c r="AE25" s="12">
        <f t="shared" si="16"/>
        <v>1.4017174116775277</v>
      </c>
      <c r="AF25" s="19">
        <f t="shared" si="16"/>
        <v>1.3982225891964712</v>
      </c>
      <c r="AG25" s="18">
        <f t="shared" si="16"/>
        <v>1.2332897778671223</v>
      </c>
      <c r="AH25" s="12">
        <f t="shared" si="16"/>
        <v>1.2522552255225523</v>
      </c>
      <c r="AI25" s="12">
        <f t="shared" si="16"/>
        <v>1.3083451202263083</v>
      </c>
      <c r="AJ25" s="12">
        <f t="shared" si="16"/>
        <v>1.2805383022774328</v>
      </c>
      <c r="AK25" s="12">
        <f t="shared" si="16"/>
        <v>1.4452962785497525</v>
      </c>
      <c r="AL25" s="12">
        <f t="shared" si="16"/>
        <v>1.436334058316977</v>
      </c>
      <c r="AM25" s="12">
        <f t="shared" si="16"/>
        <v>1.4401260690192468</v>
      </c>
      <c r="AN25" s="19">
        <f t="shared" si="17"/>
        <v>1.4359242394713063</v>
      </c>
    </row>
    <row r="26" spans="2:40" ht="15" customHeight="1">
      <c r="B26" s="93"/>
      <c r="C26" s="96"/>
      <c r="D26" s="5">
        <v>0.75</v>
      </c>
      <c r="E26" s="27">
        <v>18582</v>
      </c>
      <c r="F26" s="28">
        <v>31456</v>
      </c>
      <c r="G26" s="28">
        <v>48270</v>
      </c>
      <c r="H26" s="28">
        <v>52244</v>
      </c>
      <c r="I26" s="28">
        <v>52317</v>
      </c>
      <c r="J26" s="28">
        <v>52400</v>
      </c>
      <c r="K26" s="28">
        <v>52664</v>
      </c>
      <c r="L26" s="29">
        <v>52705</v>
      </c>
      <c r="M26" s="27">
        <v>20728</v>
      </c>
      <c r="N26" s="28">
        <v>36562</v>
      </c>
      <c r="O26" s="28">
        <v>59192</v>
      </c>
      <c r="P26" s="28">
        <v>61694</v>
      </c>
      <c r="Q26" s="28">
        <v>61784</v>
      </c>
      <c r="R26" s="28">
        <v>61830</v>
      </c>
      <c r="S26" s="28">
        <v>61931</v>
      </c>
      <c r="T26" s="29">
        <v>61889</v>
      </c>
      <c r="V26" s="87"/>
      <c r="W26" s="90"/>
      <c r="X26" s="5">
        <v>0.75</v>
      </c>
      <c r="Y26" s="18">
        <f t="shared" si="16"/>
        <v>1.4049617909805188</v>
      </c>
      <c r="Z26" s="12">
        <f t="shared" si="16"/>
        <v>1.438326551373347</v>
      </c>
      <c r="AA26" s="12">
        <f t="shared" si="16"/>
        <v>1.4444582556453283</v>
      </c>
      <c r="AB26" s="12">
        <f t="shared" si="16"/>
        <v>1.5136666411453947</v>
      </c>
      <c r="AC26" s="12">
        <f t="shared" si="16"/>
        <v>1.5121662174818893</v>
      </c>
      <c r="AD26" s="12">
        <f t="shared" si="16"/>
        <v>1.5107824427480916</v>
      </c>
      <c r="AE26" s="12">
        <f t="shared" si="16"/>
        <v>1.5039875436730974</v>
      </c>
      <c r="AF26" s="19">
        <f t="shared" si="16"/>
        <v>1.4998766720425007</v>
      </c>
      <c r="AG26" s="18">
        <f t="shared" si="16"/>
        <v>1.2827093786182941</v>
      </c>
      <c r="AH26" s="12">
        <f t="shared" si="16"/>
        <v>1.279087577266014</v>
      </c>
      <c r="AI26" s="12">
        <f t="shared" si="16"/>
        <v>1.2396438707933504</v>
      </c>
      <c r="AJ26" s="12">
        <f t="shared" si="16"/>
        <v>1.556131876681687</v>
      </c>
      <c r="AK26" s="12">
        <f t="shared" si="16"/>
        <v>1.5499643920756183</v>
      </c>
      <c r="AL26" s="12">
        <f t="shared" si="16"/>
        <v>1.5513504771146693</v>
      </c>
      <c r="AM26" s="12">
        <f t="shared" si="16"/>
        <v>1.5492887245482876</v>
      </c>
      <c r="AN26" s="19">
        <f t="shared" si="17"/>
        <v>1.5415178787829824</v>
      </c>
    </row>
    <row r="27" spans="2:40" ht="15" customHeight="1" thickBot="1">
      <c r="B27" s="94"/>
      <c r="C27" s="97"/>
      <c r="D27" s="6">
        <v>1</v>
      </c>
      <c r="E27" s="30">
        <v>58127</v>
      </c>
      <c r="F27" s="31">
        <v>58151</v>
      </c>
      <c r="G27" s="31">
        <v>58139</v>
      </c>
      <c r="H27" s="31">
        <v>58137</v>
      </c>
      <c r="I27" s="31">
        <v>58133</v>
      </c>
      <c r="J27" s="31">
        <v>58142</v>
      </c>
      <c r="K27" s="31">
        <v>58132</v>
      </c>
      <c r="L27" s="32">
        <v>58128</v>
      </c>
      <c r="M27" s="30">
        <v>63542</v>
      </c>
      <c r="N27" s="31">
        <v>63550</v>
      </c>
      <c r="O27" s="31">
        <v>63501</v>
      </c>
      <c r="P27" s="31">
        <v>63504</v>
      </c>
      <c r="Q27" s="31">
        <v>63514</v>
      </c>
      <c r="R27" s="31">
        <v>63518</v>
      </c>
      <c r="S27" s="31">
        <v>63513</v>
      </c>
      <c r="T27" s="32">
        <v>63533</v>
      </c>
      <c r="V27" s="88"/>
      <c r="W27" s="91"/>
      <c r="X27" s="6">
        <v>1</v>
      </c>
      <c r="Y27" s="20">
        <f t="shared" si="16"/>
        <v>1.5179176630481532</v>
      </c>
      <c r="Z27" s="21">
        <f t="shared" si="16"/>
        <v>1.5853725645302745</v>
      </c>
      <c r="AA27" s="21">
        <f t="shared" si="16"/>
        <v>1.5858545898622267</v>
      </c>
      <c r="AB27" s="21">
        <f t="shared" si="16"/>
        <v>1.5866315771367632</v>
      </c>
      <c r="AC27" s="21">
        <f t="shared" si="16"/>
        <v>1.5859494607193849</v>
      </c>
      <c r="AD27" s="21">
        <f t="shared" si="16"/>
        <v>1.5847408069897837</v>
      </c>
      <c r="AE27" s="21">
        <f t="shared" si="16"/>
        <v>1.5864756072386981</v>
      </c>
      <c r="AF27" s="22">
        <f t="shared" si="16"/>
        <v>1.5866363886595101</v>
      </c>
      <c r="AG27" s="20">
        <f t="shared" si="16"/>
        <v>1.3811022630700953</v>
      </c>
      <c r="AH27" s="21">
        <f t="shared" si="16"/>
        <v>1.4301494885916601</v>
      </c>
      <c r="AI27" s="21">
        <f t="shared" si="16"/>
        <v>1.431253051133053</v>
      </c>
      <c r="AJ27" s="21">
        <f t="shared" si="16"/>
        <v>1.4311854371378181</v>
      </c>
      <c r="AK27" s="21">
        <f t="shared" si="16"/>
        <v>1.4309601032843153</v>
      </c>
      <c r="AL27" s="21">
        <f t="shared" si="16"/>
        <v>1.4308699896092447</v>
      </c>
      <c r="AM27" s="21">
        <f t="shared" si="16"/>
        <v>1.4309826334766111</v>
      </c>
      <c r="AN27" s="22">
        <f t="shared" si="17"/>
        <v>1.4305321643870115</v>
      </c>
    </row>
    <row r="28" spans="2:40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2:40" ht="15" customHeight="1" thickBot="1">
      <c r="B29" s="112" t="s">
        <v>57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5"/>
      <c r="M29" s="83" t="s">
        <v>24</v>
      </c>
      <c r="N29" s="84"/>
      <c r="O29" s="84"/>
      <c r="P29" s="84"/>
      <c r="Q29" s="84"/>
      <c r="R29" s="84"/>
      <c r="S29" s="84"/>
      <c r="T29" s="85"/>
      <c r="V29" s="13" t="s">
        <v>20</v>
      </c>
      <c r="W29" s="14">
        <f>(COUNTIF(Y4:AN11,"&lt;1.1")+COUNTIF(Y16:AN23,"&lt;1.1"))/(COUNT(Y4:AN11)+COUNT(Y16:AN23))</f>
        <v>0.8046875</v>
      </c>
      <c r="X29" s="109" t="s">
        <v>19</v>
      </c>
      <c r="Y29" s="110"/>
      <c r="Z29" s="110"/>
      <c r="AA29" s="110"/>
      <c r="AB29" s="111"/>
    </row>
    <row r="30" spans="2:40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3" t="s">
        <v>17</v>
      </c>
      <c r="M30" s="1" t="s">
        <v>0</v>
      </c>
      <c r="N30" s="2" t="s">
        <v>1</v>
      </c>
      <c r="O30" s="2" t="s">
        <v>2</v>
      </c>
      <c r="P30" s="2" t="s">
        <v>3</v>
      </c>
      <c r="Q30" s="2" t="s">
        <v>4</v>
      </c>
      <c r="R30" s="2" t="s">
        <v>18</v>
      </c>
      <c r="S30" s="2" t="s">
        <v>16</v>
      </c>
      <c r="T30" s="3" t="s">
        <v>17</v>
      </c>
      <c r="V30" s="13" t="s">
        <v>21</v>
      </c>
      <c r="W30" s="23">
        <f>(COUNTIF(Y4:AN11,"&lt;1.1"))/(COUNT(Y4:AN11))</f>
        <v>0.984375</v>
      </c>
      <c r="X30" s="109" t="s">
        <v>19</v>
      </c>
      <c r="Y30" s="110"/>
      <c r="Z30" s="110"/>
      <c r="AA30" s="110"/>
      <c r="AB30" s="111"/>
    </row>
    <row r="31" spans="2:40" ht="15" customHeight="1" thickBot="1">
      <c r="B31" s="92" t="s">
        <v>5</v>
      </c>
      <c r="C31" s="98" t="s">
        <v>6</v>
      </c>
      <c r="D31" s="4">
        <v>0.25</v>
      </c>
      <c r="E31" s="36">
        <v>278</v>
      </c>
      <c r="F31" s="37">
        <v>314</v>
      </c>
      <c r="G31" s="37">
        <v>382</v>
      </c>
      <c r="H31" s="37">
        <v>422</v>
      </c>
      <c r="I31" s="37">
        <v>458</v>
      </c>
      <c r="J31" s="37">
        <v>516</v>
      </c>
      <c r="K31" s="37">
        <v>548</v>
      </c>
      <c r="L31" s="38">
        <v>438</v>
      </c>
      <c r="M31" s="36">
        <v>330</v>
      </c>
      <c r="N31" s="37">
        <v>398</v>
      </c>
      <c r="O31" s="37">
        <v>494</v>
      </c>
      <c r="P31" s="37">
        <v>564</v>
      </c>
      <c r="Q31" s="37">
        <v>612</v>
      </c>
      <c r="R31" s="37">
        <v>660</v>
      </c>
      <c r="S31" s="37">
        <v>676</v>
      </c>
      <c r="T31" s="38">
        <v>628</v>
      </c>
      <c r="V31" s="13" t="s">
        <v>22</v>
      </c>
      <c r="W31" s="23">
        <f>COUNTIF(Y16:AN23,"&lt;1.1")/+COUNT(Y16:AN23)</f>
        <v>0.625</v>
      </c>
      <c r="X31" s="109" t="s">
        <v>19</v>
      </c>
      <c r="Y31" s="110"/>
      <c r="Z31" s="110"/>
      <c r="AA31" s="110"/>
      <c r="AB31" s="111"/>
    </row>
    <row r="32" spans="2:40" ht="15" customHeight="1">
      <c r="B32" s="93"/>
      <c r="C32" s="96"/>
      <c r="D32" s="5">
        <v>0.5</v>
      </c>
      <c r="E32" s="39">
        <v>211</v>
      </c>
      <c r="F32" s="40">
        <v>258</v>
      </c>
      <c r="G32" s="40">
        <v>310</v>
      </c>
      <c r="H32" s="40">
        <v>378</v>
      </c>
      <c r="I32" s="40">
        <v>466</v>
      </c>
      <c r="J32" s="40">
        <v>636</v>
      </c>
      <c r="K32" s="40">
        <v>964</v>
      </c>
      <c r="L32" s="41">
        <v>2736</v>
      </c>
      <c r="M32" s="39">
        <v>211</v>
      </c>
      <c r="N32" s="40">
        <v>302</v>
      </c>
      <c r="O32" s="40">
        <v>366</v>
      </c>
      <c r="P32" s="40">
        <v>462</v>
      </c>
      <c r="Q32" s="40">
        <v>572</v>
      </c>
      <c r="R32" s="40">
        <v>804</v>
      </c>
      <c r="S32" s="40">
        <v>1064</v>
      </c>
      <c r="T32" s="41">
        <v>820</v>
      </c>
    </row>
    <row r="33" spans="2:20" ht="15" customHeight="1">
      <c r="B33" s="93"/>
      <c r="C33" s="96"/>
      <c r="D33" s="5">
        <v>0.75</v>
      </c>
      <c r="E33" s="39">
        <v>123</v>
      </c>
      <c r="F33" s="40">
        <v>197</v>
      </c>
      <c r="G33" s="40">
        <v>258</v>
      </c>
      <c r="H33" s="40">
        <v>314</v>
      </c>
      <c r="I33" s="40">
        <v>398</v>
      </c>
      <c r="J33" s="40">
        <v>532</v>
      </c>
      <c r="K33" s="40">
        <v>796</v>
      </c>
      <c r="L33" s="41">
        <v>2352</v>
      </c>
      <c r="M33" s="39">
        <v>111</v>
      </c>
      <c r="N33" s="40">
        <v>177</v>
      </c>
      <c r="O33" s="40">
        <v>270</v>
      </c>
      <c r="P33" s="40">
        <v>346</v>
      </c>
      <c r="Q33" s="40">
        <v>446</v>
      </c>
      <c r="R33" s="40">
        <v>588</v>
      </c>
      <c r="S33" s="40">
        <v>836</v>
      </c>
      <c r="T33" s="41">
        <v>2128</v>
      </c>
    </row>
    <row r="34" spans="2:20" ht="15" customHeight="1" thickBot="1">
      <c r="B34" s="93"/>
      <c r="C34" s="97"/>
      <c r="D34" s="6">
        <v>1</v>
      </c>
      <c r="E34" s="42">
        <v>69</v>
      </c>
      <c r="F34" s="43">
        <v>89</v>
      </c>
      <c r="G34" s="43">
        <v>105</v>
      </c>
      <c r="H34" s="43">
        <v>120</v>
      </c>
      <c r="I34" s="43">
        <v>159</v>
      </c>
      <c r="J34" s="43">
        <v>241</v>
      </c>
      <c r="K34" s="43">
        <v>442</v>
      </c>
      <c r="L34" s="44">
        <v>1096</v>
      </c>
      <c r="M34" s="42">
        <v>68</v>
      </c>
      <c r="N34" s="43">
        <v>72</v>
      </c>
      <c r="O34" s="43">
        <v>97</v>
      </c>
      <c r="P34" s="43">
        <v>108</v>
      </c>
      <c r="Q34" s="43">
        <v>125</v>
      </c>
      <c r="R34" s="43">
        <v>165</v>
      </c>
      <c r="S34" s="43">
        <v>241</v>
      </c>
      <c r="T34" s="44">
        <v>588</v>
      </c>
    </row>
    <row r="35" spans="2:20" ht="15" customHeight="1">
      <c r="B35" s="93"/>
      <c r="C35" s="98" t="s">
        <v>7</v>
      </c>
      <c r="D35" s="4">
        <v>0.25</v>
      </c>
      <c r="E35" s="36">
        <v>572</v>
      </c>
      <c r="F35" s="37">
        <v>860</v>
      </c>
      <c r="G35" s="37">
        <v>892</v>
      </c>
      <c r="H35" s="37">
        <v>932</v>
      </c>
      <c r="I35" s="37">
        <v>964</v>
      </c>
      <c r="J35" s="37">
        <v>1004</v>
      </c>
      <c r="K35" s="37">
        <v>1096</v>
      </c>
      <c r="L35" s="38">
        <v>980</v>
      </c>
      <c r="M35" s="36">
        <v>740</v>
      </c>
      <c r="N35" s="37">
        <v>820</v>
      </c>
      <c r="O35" s="37">
        <v>892</v>
      </c>
      <c r="P35" s="37">
        <v>972</v>
      </c>
      <c r="Q35" s="37">
        <v>1032</v>
      </c>
      <c r="R35" s="37">
        <v>1112</v>
      </c>
      <c r="S35" s="37">
        <v>1256</v>
      </c>
      <c r="T35" s="38">
        <v>1048</v>
      </c>
    </row>
    <row r="36" spans="2:20" ht="15" customHeight="1">
      <c r="B36" s="93"/>
      <c r="C36" s="96"/>
      <c r="D36" s="5">
        <v>0.5</v>
      </c>
      <c r="E36" s="39">
        <v>548</v>
      </c>
      <c r="F36" s="40">
        <v>564</v>
      </c>
      <c r="G36" s="40">
        <v>844</v>
      </c>
      <c r="H36" s="40">
        <v>884</v>
      </c>
      <c r="I36" s="40">
        <v>972</v>
      </c>
      <c r="J36" s="40">
        <v>1352</v>
      </c>
      <c r="K36" s="40">
        <v>1592</v>
      </c>
      <c r="L36" s="41">
        <v>4576</v>
      </c>
      <c r="M36" s="39">
        <v>732</v>
      </c>
      <c r="N36" s="40">
        <v>740</v>
      </c>
      <c r="O36" s="40">
        <v>796</v>
      </c>
      <c r="P36" s="40">
        <v>884</v>
      </c>
      <c r="Q36" s="40">
        <v>988</v>
      </c>
      <c r="R36" s="40">
        <v>1272</v>
      </c>
      <c r="S36" s="40">
        <v>1688</v>
      </c>
      <c r="T36" s="41">
        <v>3536</v>
      </c>
    </row>
    <row r="37" spans="2:20" ht="15" customHeight="1">
      <c r="B37" s="93"/>
      <c r="C37" s="96"/>
      <c r="D37" s="5">
        <v>0.75</v>
      </c>
      <c r="E37" s="39">
        <v>502</v>
      </c>
      <c r="F37" s="40">
        <v>532</v>
      </c>
      <c r="G37" s="40">
        <v>556</v>
      </c>
      <c r="H37" s="40">
        <v>724</v>
      </c>
      <c r="I37" s="40">
        <v>884</v>
      </c>
      <c r="J37" s="40">
        <v>1032</v>
      </c>
      <c r="K37" s="40">
        <v>1608</v>
      </c>
      <c r="L37" s="41">
        <v>3568</v>
      </c>
      <c r="M37" s="39">
        <v>628</v>
      </c>
      <c r="N37" s="40">
        <v>700</v>
      </c>
      <c r="O37" s="40">
        <v>732</v>
      </c>
      <c r="P37" s="40">
        <v>764</v>
      </c>
      <c r="Q37" s="40">
        <v>884</v>
      </c>
      <c r="R37" s="40">
        <v>1096</v>
      </c>
      <c r="S37" s="40">
        <v>1448</v>
      </c>
      <c r="T37" s="41">
        <v>2928</v>
      </c>
    </row>
    <row r="38" spans="2:20" ht="15" customHeight="1" thickBot="1">
      <c r="B38" s="93"/>
      <c r="C38" s="97"/>
      <c r="D38" s="6">
        <v>1</v>
      </c>
      <c r="E38" s="42">
        <v>90</v>
      </c>
      <c r="F38" s="43">
        <v>120</v>
      </c>
      <c r="G38" s="43">
        <v>153</v>
      </c>
      <c r="H38" s="43">
        <v>193</v>
      </c>
      <c r="I38" s="43">
        <v>266</v>
      </c>
      <c r="J38" s="43">
        <v>430</v>
      </c>
      <c r="K38" s="43">
        <v>796</v>
      </c>
      <c r="L38" s="44">
        <v>1864</v>
      </c>
      <c r="M38" s="42">
        <v>74</v>
      </c>
      <c r="N38" s="43">
        <v>117</v>
      </c>
      <c r="O38" s="43">
        <v>139</v>
      </c>
      <c r="P38" s="43">
        <v>161</v>
      </c>
      <c r="Q38" s="43">
        <v>203</v>
      </c>
      <c r="R38" s="43">
        <v>282</v>
      </c>
      <c r="S38" s="43">
        <v>426</v>
      </c>
      <c r="T38" s="44">
        <v>780</v>
      </c>
    </row>
    <row r="39" spans="2:20" ht="15" customHeight="1">
      <c r="B39" s="93"/>
      <c r="C39" s="98" t="s">
        <v>8</v>
      </c>
      <c r="D39" s="4">
        <v>0.25</v>
      </c>
      <c r="E39" s="36">
        <v>8709</v>
      </c>
      <c r="F39" s="37">
        <v>15082</v>
      </c>
      <c r="G39" s="37">
        <v>23243</v>
      </c>
      <c r="H39" s="37">
        <v>26369</v>
      </c>
      <c r="I39" s="37">
        <v>26370</v>
      </c>
      <c r="J39" s="37">
        <v>26380</v>
      </c>
      <c r="K39" s="37">
        <v>26391</v>
      </c>
      <c r="L39" s="38">
        <v>26340</v>
      </c>
      <c r="M39" s="36">
        <v>8859</v>
      </c>
      <c r="N39" s="37">
        <v>15590</v>
      </c>
      <c r="O39" s="37">
        <v>24453</v>
      </c>
      <c r="P39" s="37">
        <v>31999</v>
      </c>
      <c r="Q39" s="37">
        <v>31929</v>
      </c>
      <c r="R39" s="37">
        <v>31976</v>
      </c>
      <c r="S39" s="37">
        <v>31982</v>
      </c>
      <c r="T39" s="38">
        <v>31811</v>
      </c>
    </row>
    <row r="40" spans="2:20" ht="15" customHeight="1">
      <c r="B40" s="93"/>
      <c r="C40" s="96"/>
      <c r="D40" s="5">
        <v>0.5</v>
      </c>
      <c r="E40" s="39">
        <v>12031</v>
      </c>
      <c r="F40" s="40">
        <v>22136</v>
      </c>
      <c r="G40" s="40">
        <v>37522</v>
      </c>
      <c r="H40" s="40">
        <v>54904</v>
      </c>
      <c r="I40" s="40">
        <v>64307</v>
      </c>
      <c r="J40" s="40">
        <v>64411</v>
      </c>
      <c r="K40" s="40">
        <v>64316</v>
      </c>
      <c r="L40" s="41">
        <v>64339</v>
      </c>
      <c r="M40" s="39">
        <v>12272</v>
      </c>
      <c r="N40" s="40">
        <v>22763</v>
      </c>
      <c r="O40" s="40">
        <v>39783</v>
      </c>
      <c r="P40" s="40">
        <v>61858</v>
      </c>
      <c r="Q40" s="40">
        <v>81449</v>
      </c>
      <c r="R40" s="40">
        <v>81226</v>
      </c>
      <c r="S40" s="40">
        <v>81355</v>
      </c>
      <c r="T40" s="41">
        <v>81030</v>
      </c>
    </row>
    <row r="41" spans="2:20" ht="15" customHeight="1">
      <c r="B41" s="93"/>
      <c r="C41" s="96"/>
      <c r="D41" s="5">
        <v>0.75</v>
      </c>
      <c r="E41" s="39">
        <v>14057</v>
      </c>
      <c r="F41" s="40">
        <v>26764</v>
      </c>
      <c r="G41" s="40">
        <v>48793</v>
      </c>
      <c r="H41" s="40">
        <v>81806</v>
      </c>
      <c r="I41" s="40">
        <v>115110</v>
      </c>
      <c r="J41" s="40">
        <v>133200</v>
      </c>
      <c r="K41" s="40">
        <v>133199</v>
      </c>
      <c r="L41" s="41">
        <v>133233</v>
      </c>
      <c r="M41" s="39">
        <v>14310</v>
      </c>
      <c r="N41" s="40">
        <v>27467</v>
      </c>
      <c r="O41" s="40">
        <v>50864</v>
      </c>
      <c r="P41" s="40">
        <v>89155</v>
      </c>
      <c r="Q41" s="40">
        <v>137865</v>
      </c>
      <c r="R41" s="40">
        <v>178050</v>
      </c>
      <c r="S41" s="40">
        <v>179543</v>
      </c>
      <c r="T41" s="41">
        <v>179998</v>
      </c>
    </row>
    <row r="42" spans="2:20" ht="15" customHeight="1" thickBot="1">
      <c r="B42" s="94"/>
      <c r="C42" s="97"/>
      <c r="D42" s="6">
        <v>1</v>
      </c>
      <c r="E42" s="42">
        <v>16044</v>
      </c>
      <c r="F42" s="43">
        <v>31723</v>
      </c>
      <c r="G42" s="43">
        <v>61679</v>
      </c>
      <c r="H42" s="43">
        <v>116798</v>
      </c>
      <c r="I42" s="43">
        <v>209687</v>
      </c>
      <c r="J42" s="43">
        <v>338149</v>
      </c>
      <c r="K42" s="43">
        <v>460431</v>
      </c>
      <c r="L42" s="44">
        <v>526673</v>
      </c>
      <c r="M42" s="42">
        <v>16046</v>
      </c>
      <c r="N42" s="43">
        <v>31863</v>
      </c>
      <c r="O42" s="43">
        <v>62561</v>
      </c>
      <c r="P42" s="43">
        <v>120928</v>
      </c>
      <c r="Q42" s="43">
        <v>226219</v>
      </c>
      <c r="R42" s="43">
        <v>395768</v>
      </c>
      <c r="S42" s="43">
        <v>543779</v>
      </c>
      <c r="T42" s="44">
        <v>557516</v>
      </c>
    </row>
    <row r="43" spans="2:20" ht="15" customHeight="1">
      <c r="B43" s="83" t="s">
        <v>9</v>
      </c>
      <c r="C43" s="98" t="s">
        <v>6</v>
      </c>
      <c r="D43" s="4">
        <v>0.25</v>
      </c>
      <c r="E43" s="36">
        <v>11</v>
      </c>
      <c r="F43" s="37">
        <v>13</v>
      </c>
      <c r="G43" s="37">
        <v>14</v>
      </c>
      <c r="H43" s="37">
        <v>17</v>
      </c>
      <c r="I43" s="37">
        <v>19</v>
      </c>
      <c r="J43" s="37">
        <v>19</v>
      </c>
      <c r="K43" s="37">
        <v>19</v>
      </c>
      <c r="L43" s="38">
        <v>22</v>
      </c>
      <c r="M43" s="36">
        <v>11</v>
      </c>
      <c r="N43" s="37">
        <v>13</v>
      </c>
      <c r="O43" s="37">
        <v>15</v>
      </c>
      <c r="P43" s="37">
        <v>17</v>
      </c>
      <c r="Q43" s="37">
        <v>21</v>
      </c>
      <c r="R43" s="37">
        <v>24</v>
      </c>
      <c r="S43" s="37">
        <v>22</v>
      </c>
      <c r="T43" s="38">
        <v>24</v>
      </c>
    </row>
    <row r="44" spans="2:20" ht="15" customHeight="1">
      <c r="B44" s="93"/>
      <c r="C44" s="96"/>
      <c r="D44" s="5">
        <v>0.5</v>
      </c>
      <c r="E44" s="39">
        <v>11</v>
      </c>
      <c r="F44" s="40">
        <v>13</v>
      </c>
      <c r="G44" s="40">
        <v>15</v>
      </c>
      <c r="H44" s="40">
        <v>17</v>
      </c>
      <c r="I44" s="40">
        <v>229</v>
      </c>
      <c r="J44" s="40">
        <v>564</v>
      </c>
      <c r="K44" s="40">
        <v>1224</v>
      </c>
      <c r="L44" s="41">
        <v>4576</v>
      </c>
      <c r="M44" s="39">
        <v>12</v>
      </c>
      <c r="N44" s="40">
        <v>13</v>
      </c>
      <c r="O44" s="40">
        <v>15</v>
      </c>
      <c r="P44" s="40">
        <v>18</v>
      </c>
      <c r="Q44" s="40">
        <v>20</v>
      </c>
      <c r="R44" s="40">
        <v>450</v>
      </c>
      <c r="S44" s="40">
        <v>1020</v>
      </c>
      <c r="T44" s="41">
        <v>3440</v>
      </c>
    </row>
    <row r="45" spans="2:20" ht="15" customHeight="1">
      <c r="B45" s="93"/>
      <c r="C45" s="96"/>
      <c r="D45" s="5">
        <v>0.75</v>
      </c>
      <c r="E45" s="39">
        <v>12</v>
      </c>
      <c r="F45" s="40">
        <v>13</v>
      </c>
      <c r="G45" s="40">
        <v>15</v>
      </c>
      <c r="H45" s="40">
        <v>165</v>
      </c>
      <c r="I45" s="40">
        <v>330</v>
      </c>
      <c r="J45" s="40">
        <v>660</v>
      </c>
      <c r="K45" s="40">
        <v>1304</v>
      </c>
      <c r="L45" s="41">
        <v>4832</v>
      </c>
      <c r="M45" s="39">
        <v>13</v>
      </c>
      <c r="N45" s="40">
        <v>14</v>
      </c>
      <c r="O45" s="40">
        <v>15</v>
      </c>
      <c r="P45" s="40">
        <v>119</v>
      </c>
      <c r="Q45" s="40">
        <v>274</v>
      </c>
      <c r="R45" s="40">
        <v>548</v>
      </c>
      <c r="S45" s="40">
        <v>1080</v>
      </c>
      <c r="T45" s="41">
        <v>4192</v>
      </c>
    </row>
    <row r="46" spans="2:20" ht="15" customHeight="1" thickBot="1">
      <c r="B46" s="93"/>
      <c r="C46" s="97"/>
      <c r="D46" s="6">
        <v>1</v>
      </c>
      <c r="E46" s="42">
        <v>11</v>
      </c>
      <c r="F46" s="43">
        <v>41</v>
      </c>
      <c r="G46" s="43">
        <v>82</v>
      </c>
      <c r="H46" s="43">
        <v>165</v>
      </c>
      <c r="I46" s="43">
        <v>330</v>
      </c>
      <c r="J46" s="43">
        <v>660</v>
      </c>
      <c r="K46" s="43">
        <v>1320</v>
      </c>
      <c r="L46" s="44">
        <v>4128</v>
      </c>
      <c r="M46" s="42">
        <v>11</v>
      </c>
      <c r="N46" s="43">
        <v>21</v>
      </c>
      <c r="O46" s="43">
        <v>43</v>
      </c>
      <c r="P46" s="43">
        <v>87</v>
      </c>
      <c r="Q46" s="43">
        <v>175</v>
      </c>
      <c r="R46" s="43">
        <v>350</v>
      </c>
      <c r="S46" s="43">
        <v>700</v>
      </c>
      <c r="T46" s="44">
        <v>2832</v>
      </c>
    </row>
    <row r="47" spans="2:20" ht="15" customHeight="1">
      <c r="B47" s="93"/>
      <c r="C47" s="98" t="s">
        <v>7</v>
      </c>
      <c r="D47" s="4">
        <v>0.25</v>
      </c>
      <c r="E47" s="36">
        <v>27</v>
      </c>
      <c r="F47" s="37">
        <v>27</v>
      </c>
      <c r="G47" s="37">
        <v>19</v>
      </c>
      <c r="H47" s="37">
        <v>22</v>
      </c>
      <c r="I47" s="37">
        <v>26</v>
      </c>
      <c r="J47" s="37">
        <v>26</v>
      </c>
      <c r="K47" s="37">
        <v>27</v>
      </c>
      <c r="L47" s="38">
        <v>34</v>
      </c>
      <c r="M47" s="36">
        <v>27</v>
      </c>
      <c r="N47" s="37">
        <v>29</v>
      </c>
      <c r="O47" s="37">
        <v>27</v>
      </c>
      <c r="P47" s="37">
        <v>23</v>
      </c>
      <c r="Q47" s="37">
        <v>28</v>
      </c>
      <c r="R47" s="37">
        <v>36</v>
      </c>
      <c r="S47" s="37">
        <v>78</v>
      </c>
      <c r="T47" s="38">
        <v>262</v>
      </c>
    </row>
    <row r="48" spans="2:20" ht="15" customHeight="1">
      <c r="B48" s="93"/>
      <c r="C48" s="96"/>
      <c r="D48" s="5">
        <v>0.5</v>
      </c>
      <c r="E48" s="39">
        <v>29</v>
      </c>
      <c r="F48" s="40">
        <v>28</v>
      </c>
      <c r="G48" s="40">
        <v>19</v>
      </c>
      <c r="H48" s="40">
        <v>23</v>
      </c>
      <c r="I48" s="40">
        <v>310</v>
      </c>
      <c r="J48" s="40">
        <v>644</v>
      </c>
      <c r="K48" s="40">
        <v>1304</v>
      </c>
      <c r="L48" s="41">
        <v>4640</v>
      </c>
      <c r="M48" s="39">
        <v>29</v>
      </c>
      <c r="N48" s="40">
        <v>33</v>
      </c>
      <c r="O48" s="40">
        <v>28</v>
      </c>
      <c r="P48" s="40">
        <v>24</v>
      </c>
      <c r="Q48" s="40">
        <v>27</v>
      </c>
      <c r="R48" s="40">
        <v>524</v>
      </c>
      <c r="S48" s="40">
        <v>1080</v>
      </c>
      <c r="T48" s="41">
        <v>4192</v>
      </c>
    </row>
    <row r="49" spans="2:20" ht="15" customHeight="1">
      <c r="B49" s="93"/>
      <c r="C49" s="96"/>
      <c r="D49" s="5">
        <v>0.75</v>
      </c>
      <c r="E49" s="39">
        <v>29</v>
      </c>
      <c r="F49" s="40">
        <v>30</v>
      </c>
      <c r="G49" s="40">
        <v>20</v>
      </c>
      <c r="H49" s="40">
        <v>169</v>
      </c>
      <c r="I49" s="40">
        <v>334</v>
      </c>
      <c r="J49" s="40">
        <v>668</v>
      </c>
      <c r="K49" s="40">
        <v>1336</v>
      </c>
      <c r="L49" s="41">
        <v>5280</v>
      </c>
      <c r="M49" s="39">
        <v>30</v>
      </c>
      <c r="N49" s="40">
        <v>35</v>
      </c>
      <c r="O49" s="40">
        <v>30</v>
      </c>
      <c r="P49" s="40">
        <v>139</v>
      </c>
      <c r="Q49" s="40">
        <v>278</v>
      </c>
      <c r="R49" s="40">
        <v>556</v>
      </c>
      <c r="S49" s="40">
        <v>1096</v>
      </c>
      <c r="T49" s="41">
        <v>4384</v>
      </c>
    </row>
    <row r="50" spans="2:20" ht="15" customHeight="1" thickBot="1">
      <c r="B50" s="93"/>
      <c r="C50" s="97"/>
      <c r="D50" s="6">
        <v>1</v>
      </c>
      <c r="E50" s="42">
        <v>16</v>
      </c>
      <c r="F50" s="43">
        <v>43</v>
      </c>
      <c r="G50" s="43">
        <v>87</v>
      </c>
      <c r="H50" s="43">
        <v>173</v>
      </c>
      <c r="I50" s="43">
        <v>342</v>
      </c>
      <c r="J50" s="43">
        <v>676</v>
      </c>
      <c r="K50" s="43">
        <v>1336</v>
      </c>
      <c r="L50" s="44">
        <v>5280</v>
      </c>
      <c r="M50" s="42">
        <v>16</v>
      </c>
      <c r="N50" s="43">
        <v>23</v>
      </c>
      <c r="O50" s="43">
        <v>45</v>
      </c>
      <c r="P50" s="43">
        <v>89</v>
      </c>
      <c r="Q50" s="43">
        <v>177</v>
      </c>
      <c r="R50" s="43">
        <v>354</v>
      </c>
      <c r="S50" s="43">
        <v>708</v>
      </c>
      <c r="T50" s="44">
        <v>2832</v>
      </c>
    </row>
    <row r="51" spans="2:20" ht="15" customHeight="1">
      <c r="B51" s="93"/>
      <c r="C51" s="98" t="s">
        <v>8</v>
      </c>
      <c r="D51" s="4">
        <v>0.25</v>
      </c>
      <c r="E51" s="24">
        <v>4688</v>
      </c>
      <c r="F51" s="25">
        <v>8925</v>
      </c>
      <c r="G51" s="25">
        <v>16268</v>
      </c>
      <c r="H51" s="25">
        <v>27274</v>
      </c>
      <c r="I51" s="25">
        <v>38353</v>
      </c>
      <c r="J51" s="25">
        <v>44373</v>
      </c>
      <c r="K51" s="25">
        <v>44406</v>
      </c>
      <c r="L51" s="26">
        <v>44401</v>
      </c>
      <c r="M51" s="24">
        <v>4765</v>
      </c>
      <c r="N51" s="25">
        <v>9157</v>
      </c>
      <c r="O51" s="25">
        <v>16948</v>
      </c>
      <c r="P51" s="25">
        <v>29727</v>
      </c>
      <c r="Q51" s="25">
        <v>45954</v>
      </c>
      <c r="R51" s="25">
        <v>59342</v>
      </c>
      <c r="S51" s="25">
        <v>59850</v>
      </c>
      <c r="T51" s="26">
        <v>59973</v>
      </c>
    </row>
    <row r="52" spans="2:20" ht="15" customHeight="1">
      <c r="B52" s="93"/>
      <c r="C52" s="96"/>
      <c r="D52" s="5">
        <v>0.5</v>
      </c>
      <c r="E52" s="27">
        <v>12030</v>
      </c>
      <c r="F52" s="28">
        <v>22139</v>
      </c>
      <c r="G52" s="28">
        <v>37511</v>
      </c>
      <c r="H52" s="28">
        <v>54911</v>
      </c>
      <c r="I52" s="28">
        <v>64302</v>
      </c>
      <c r="J52" s="28">
        <v>64388</v>
      </c>
      <c r="K52" s="28">
        <v>64315</v>
      </c>
      <c r="L52" s="29">
        <v>64349</v>
      </c>
      <c r="M52" s="27">
        <v>12270</v>
      </c>
      <c r="N52" s="28">
        <v>22766</v>
      </c>
      <c r="O52" s="28">
        <v>39775</v>
      </c>
      <c r="P52" s="28">
        <v>61850</v>
      </c>
      <c r="Q52" s="28">
        <v>81441</v>
      </c>
      <c r="R52" s="28">
        <v>81229</v>
      </c>
      <c r="S52" s="28">
        <v>81334</v>
      </c>
      <c r="T52" s="29">
        <v>81045</v>
      </c>
    </row>
    <row r="53" spans="2:20" ht="15" customHeight="1">
      <c r="B53" s="93"/>
      <c r="C53" s="96"/>
      <c r="D53" s="5">
        <v>0.75</v>
      </c>
      <c r="E53" s="27">
        <v>26107</v>
      </c>
      <c r="F53" s="28">
        <v>45244</v>
      </c>
      <c r="G53" s="28">
        <v>69724</v>
      </c>
      <c r="H53" s="28">
        <v>79080</v>
      </c>
      <c r="I53" s="28">
        <v>79112</v>
      </c>
      <c r="J53" s="28">
        <v>79165</v>
      </c>
      <c r="K53" s="28">
        <v>79206</v>
      </c>
      <c r="L53" s="29">
        <v>79051</v>
      </c>
      <c r="M53" s="27">
        <v>26588</v>
      </c>
      <c r="N53" s="28">
        <v>46766</v>
      </c>
      <c r="O53" s="28">
        <v>73377</v>
      </c>
      <c r="P53" s="28">
        <v>96004</v>
      </c>
      <c r="Q53" s="28">
        <v>95763</v>
      </c>
      <c r="R53" s="28">
        <v>95920</v>
      </c>
      <c r="S53" s="28">
        <v>95949</v>
      </c>
      <c r="T53" s="29">
        <v>95403</v>
      </c>
    </row>
    <row r="54" spans="2:20" ht="15" customHeight="1" thickBot="1">
      <c r="B54" s="94"/>
      <c r="C54" s="97"/>
      <c r="D54" s="6">
        <v>1</v>
      </c>
      <c r="E54" s="30">
        <v>88232</v>
      </c>
      <c r="F54" s="31">
        <v>92191</v>
      </c>
      <c r="G54" s="31">
        <v>92200</v>
      </c>
      <c r="H54" s="31">
        <v>92242</v>
      </c>
      <c r="I54" s="31">
        <v>92196</v>
      </c>
      <c r="J54" s="31">
        <v>92140</v>
      </c>
      <c r="K54" s="31">
        <v>92225</v>
      </c>
      <c r="L54" s="32">
        <v>92228</v>
      </c>
      <c r="M54" s="30">
        <v>87758</v>
      </c>
      <c r="N54" s="31">
        <v>90886</v>
      </c>
      <c r="O54" s="31">
        <v>90886</v>
      </c>
      <c r="P54" s="31">
        <v>90886</v>
      </c>
      <c r="Q54" s="31">
        <v>90886</v>
      </c>
      <c r="R54" s="31">
        <v>90886</v>
      </c>
      <c r="S54" s="31">
        <v>90886</v>
      </c>
      <c r="T54" s="32">
        <v>90886</v>
      </c>
    </row>
  </sheetData>
  <mergeCells count="36">
    <mergeCell ref="AG2:AN2"/>
    <mergeCell ref="B4:B15"/>
    <mergeCell ref="C4:C7"/>
    <mergeCell ref="V4:V15"/>
    <mergeCell ref="W4:W7"/>
    <mergeCell ref="C8:C11"/>
    <mergeCell ref="W8:W11"/>
    <mergeCell ref="C12:C15"/>
    <mergeCell ref="W12:W15"/>
    <mergeCell ref="B2:D3"/>
    <mergeCell ref="E2:L2"/>
    <mergeCell ref="M2:T2"/>
    <mergeCell ref="V2:X3"/>
    <mergeCell ref="Y2:AF2"/>
    <mergeCell ref="B16:B27"/>
    <mergeCell ref="C16:C19"/>
    <mergeCell ref="V16:V27"/>
    <mergeCell ref="W16:W19"/>
    <mergeCell ref="C20:C23"/>
    <mergeCell ref="W20:W23"/>
    <mergeCell ref="C24:C27"/>
    <mergeCell ref="W24:W27"/>
    <mergeCell ref="E29:L29"/>
    <mergeCell ref="M29:T29"/>
    <mergeCell ref="X31:AB31"/>
    <mergeCell ref="C35:C38"/>
    <mergeCell ref="C39:C42"/>
    <mergeCell ref="X29:AB29"/>
    <mergeCell ref="X30:AB30"/>
    <mergeCell ref="B29:D30"/>
    <mergeCell ref="B43:B54"/>
    <mergeCell ref="C43:C46"/>
    <mergeCell ref="C47:C50"/>
    <mergeCell ref="C51:C54"/>
    <mergeCell ref="B31:B42"/>
    <mergeCell ref="C31:C34"/>
  </mergeCells>
  <phoneticPr fontId="1" type="noConversion"/>
  <conditionalFormatting sqref="W29">
    <cfRule type="cellIs" dxfId="217" priority="46" operator="lessThan">
      <formula>0.8</formula>
    </cfRule>
  </conditionalFormatting>
  <conditionalFormatting sqref="W30:W31">
    <cfRule type="cellIs" dxfId="216" priority="45" operator="lessThan">
      <formula>0.8</formula>
    </cfRule>
  </conditionalFormatting>
  <conditionalFormatting sqref="E4:T11 E16:G16 E23 G23:T23 E22:T22 E19 G19:T19 E20:H20 J20:O20 E21:O21 Q21:T21 R20:T20 E17:F18 Q17:T17 R16:T16 H18:T18 I17:N17 J16:N16">
    <cfRule type="expression" dxfId="215" priority="39">
      <formula>Y4&gt;1.1</formula>
    </cfRule>
  </conditionalFormatting>
  <conditionalFormatting sqref="K4:K11">
    <cfRule type="expression" dxfId="214" priority="38">
      <formula>AD4&gt;1.1</formula>
    </cfRule>
  </conditionalFormatting>
  <conditionalFormatting sqref="L16:L23">
    <cfRule type="expression" dxfId="213" priority="40">
      <formula>AF16&gt;1.1</formula>
    </cfRule>
  </conditionalFormatting>
  <conditionalFormatting sqref="T4:T11">
    <cfRule type="expression" dxfId="212" priority="36">
      <formula>AN4&gt;1.1</formula>
    </cfRule>
  </conditionalFormatting>
  <conditionalFormatting sqref="S16:S23">
    <cfRule type="expression" dxfId="211" priority="35">
      <formula>AL16&gt;1.1</formula>
    </cfRule>
  </conditionalFormatting>
  <conditionalFormatting sqref="S4:S11">
    <cfRule type="expression" dxfId="210" priority="34">
      <formula>AL4&gt;1.1</formula>
    </cfRule>
  </conditionalFormatting>
  <conditionalFormatting sqref="T16:T23">
    <cfRule type="expression" dxfId="209" priority="37">
      <formula>AN16&gt;1.1</formula>
    </cfRule>
  </conditionalFormatting>
  <conditionalFormatting sqref="E31:T38 M49:T50 Q48:T48 M47:O48 R47:T47 M45:T46 M43:N44 Q44:T44 R43:T43">
    <cfRule type="expression" dxfId="208" priority="32">
      <formula>Y4&gt;1.1</formula>
    </cfRule>
  </conditionalFormatting>
  <conditionalFormatting sqref="E43:G43 E50 G50:T50 E49:T49 E46 G46:T46 E47:H47 J47:O47 E48:O48 Q48:T48 R47:T47 H45:T45 E44:F45 I44:N44 J43:N43 Q44:T44 R43:T43">
    <cfRule type="expression" dxfId="207" priority="31">
      <formula>Y16&gt;1.1</formula>
    </cfRule>
  </conditionalFormatting>
  <conditionalFormatting sqref="AN16:AN23 AN4:AN11 AG4:AL11 AG22:AL23 AK21:AL21 AG20:AI21 AL20 AG18:AL19 AG16:AH17 AK17:AL17 AL16">
    <cfRule type="cellIs" dxfId="206" priority="19" operator="greaterThan">
      <formula>1.1</formula>
    </cfRule>
    <cfRule type="cellIs" dxfId="205" priority="20" operator="lessThan">
      <formula>0.9</formula>
    </cfRule>
  </conditionalFormatting>
  <conditionalFormatting sqref="AN24:AN27 AN12:AN15 AG12:AL15 AG24:AL27">
    <cfRule type="cellIs" dxfId="204" priority="17" operator="lessThan">
      <formula>0.9</formula>
    </cfRule>
    <cfRule type="cellIs" dxfId="203" priority="18" operator="greaterThan">
      <formula>1.1</formula>
    </cfRule>
  </conditionalFormatting>
  <conditionalFormatting sqref="AN4:AN27 AG4:AL15 AG22:AL27 AK21:AL21 AG20:AI21 AL20 AG18:AL19 AK17:AL17 AG16:AH17 AL16">
    <cfRule type="cellIs" dxfId="202" priority="16" operator="greaterThan">
      <formula>10</formula>
    </cfRule>
  </conditionalFormatting>
  <conditionalFormatting sqref="AM16:AM23 AM4:AM11">
    <cfRule type="cellIs" dxfId="201" priority="14" operator="greaterThan">
      <formula>1.1</formula>
    </cfRule>
    <cfRule type="cellIs" dxfId="200" priority="15" operator="lessThan">
      <formula>0.9</formula>
    </cfRule>
  </conditionalFormatting>
  <conditionalFormatting sqref="AM24:AM27 AM12:AM15">
    <cfRule type="cellIs" dxfId="199" priority="12" operator="lessThan">
      <formula>0.9</formula>
    </cfRule>
    <cfRule type="cellIs" dxfId="198" priority="13" operator="greaterThan">
      <formula>1.1</formula>
    </cfRule>
  </conditionalFormatting>
  <conditionalFormatting sqref="AM4:AM27">
    <cfRule type="cellIs" dxfId="197" priority="11" operator="greaterThan">
      <formula>10</formula>
    </cfRule>
  </conditionalFormatting>
  <conditionalFormatting sqref="AF16:AF23 AF4:AF11 Y4:AD11 Y19 Y21:AD22 Y20:AB20 AD20 Y16:AA16 AD16 AC17:AD17 Y17:Z18 AB18:AD18 Y23 AA23:AD23 AA19:AD19">
    <cfRule type="cellIs" dxfId="196" priority="9" operator="greaterThan">
      <formula>1.1</formula>
    </cfRule>
    <cfRule type="cellIs" dxfId="195" priority="10" operator="lessThan">
      <formula>0.9</formula>
    </cfRule>
  </conditionalFormatting>
  <conditionalFormatting sqref="AF24:AF27 AF12:AF15 Y12:AD15 Y24:AD27">
    <cfRule type="cellIs" dxfId="194" priority="7" operator="lessThan">
      <formula>0.9</formula>
    </cfRule>
    <cfRule type="cellIs" dxfId="193" priority="8" operator="greaterThan">
      <formula>1.1</formula>
    </cfRule>
  </conditionalFormatting>
  <conditionalFormatting sqref="AF4:AF27 Y4:AD15 Y21:AD22 Y20:AB20 AD20 Y19 Y16:AA16 AD16 AC17:AD17 Y17:Z18 AB18:AD18 Y24:AD27 Y23 AA23:AD23 AA19:AD19">
    <cfRule type="cellIs" dxfId="192" priority="6" operator="greaterThan">
      <formula>10</formula>
    </cfRule>
  </conditionalFormatting>
  <conditionalFormatting sqref="AE16:AE23 AE4:AE11">
    <cfRule type="cellIs" dxfId="191" priority="4" operator="greaterThan">
      <formula>1.1</formula>
    </cfRule>
    <cfRule type="cellIs" dxfId="190" priority="5" operator="lessThan">
      <formula>0.9</formula>
    </cfRule>
  </conditionalFormatting>
  <conditionalFormatting sqref="AE24:AE27 AE12:AE15">
    <cfRule type="cellIs" dxfId="189" priority="2" operator="lessThan">
      <formula>0.9</formula>
    </cfRule>
    <cfRule type="cellIs" dxfId="188" priority="3" operator="greaterThan">
      <formula>1.1</formula>
    </cfRule>
  </conditionalFormatting>
  <conditionalFormatting sqref="AE4:AE27">
    <cfRule type="cellIs" dxfId="187" priority="1" operator="greaterThan">
      <formula>10</formula>
    </cfRule>
  </conditionalFormatting>
  <pageMargins left="0.75" right="0.75" top="1" bottom="1" header="0.5" footer="0.5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2"/>
  <dimension ref="B1:AR54"/>
  <sheetViews>
    <sheetView showGridLines="0" zoomScale="70" zoomScaleNormal="70" workbookViewId="0">
      <selection activeCell="V50" sqref="N50:V50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1.69921875" style="11" customWidth="1"/>
    <col min="5" max="22" width="6.59765625" style="11" customWidth="1"/>
    <col min="23" max="23" width="3.09765625" style="11" customWidth="1"/>
    <col min="24" max="24" width="13.09765625" style="11" customWidth="1"/>
    <col min="25" max="25" width="11" style="11" bestFit="1" customWidth="1"/>
    <col min="26" max="26" width="11.5" style="11" customWidth="1"/>
    <col min="27" max="44" width="6.59765625" style="11" customWidth="1"/>
    <col min="45" max="16384" width="9" style="11"/>
  </cols>
  <sheetData>
    <row r="1" spans="2:44" ht="15" customHeight="1" thickBot="1"/>
    <row r="2" spans="2:44" ht="15" customHeight="1">
      <c r="B2" s="99" t="s">
        <v>26</v>
      </c>
      <c r="C2" s="118"/>
      <c r="D2" s="119"/>
      <c r="E2" s="83" t="s">
        <v>14</v>
      </c>
      <c r="F2" s="84"/>
      <c r="G2" s="84"/>
      <c r="H2" s="84"/>
      <c r="I2" s="84"/>
      <c r="J2" s="84"/>
      <c r="K2" s="84"/>
      <c r="L2" s="84"/>
      <c r="M2" s="85"/>
      <c r="N2" s="83" t="s">
        <v>24</v>
      </c>
      <c r="O2" s="84"/>
      <c r="P2" s="84"/>
      <c r="Q2" s="84"/>
      <c r="R2" s="84"/>
      <c r="S2" s="84"/>
      <c r="T2" s="84"/>
      <c r="U2" s="84"/>
      <c r="V2" s="85"/>
      <c r="X2" s="105" t="s">
        <v>59</v>
      </c>
      <c r="Y2" s="106"/>
      <c r="Z2" s="106"/>
      <c r="AA2" s="98" t="s">
        <v>15</v>
      </c>
      <c r="AB2" s="116"/>
      <c r="AC2" s="116"/>
      <c r="AD2" s="116"/>
      <c r="AE2" s="116"/>
      <c r="AF2" s="116"/>
      <c r="AG2" s="116"/>
      <c r="AH2" s="116"/>
      <c r="AI2" s="117"/>
      <c r="AJ2" s="98" t="s">
        <v>15</v>
      </c>
      <c r="AK2" s="116"/>
      <c r="AL2" s="116"/>
      <c r="AM2" s="116"/>
      <c r="AN2" s="116"/>
      <c r="AO2" s="116"/>
      <c r="AP2" s="116"/>
      <c r="AQ2" s="116"/>
      <c r="AR2" s="117"/>
    </row>
    <row r="3" spans="2:44" ht="20.25" customHeight="1" thickBot="1">
      <c r="B3" s="120"/>
      <c r="C3" s="121"/>
      <c r="D3" s="122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2" t="s">
        <v>23</v>
      </c>
      <c r="M3" s="3" t="s">
        <v>17</v>
      </c>
      <c r="N3" s="1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18</v>
      </c>
      <c r="T3" s="2" t="s">
        <v>16</v>
      </c>
      <c r="U3" s="2" t="s">
        <v>23</v>
      </c>
      <c r="V3" s="3" t="s">
        <v>17</v>
      </c>
      <c r="X3" s="107"/>
      <c r="Y3" s="108"/>
      <c r="Z3" s="108"/>
      <c r="AA3" s="1" t="s">
        <v>0</v>
      </c>
      <c r="AB3" s="2" t="s">
        <v>1</v>
      </c>
      <c r="AC3" s="2" t="s">
        <v>2</v>
      </c>
      <c r="AD3" s="2" t="s">
        <v>3</v>
      </c>
      <c r="AE3" s="2" t="s">
        <v>4</v>
      </c>
      <c r="AF3" s="2" t="s">
        <v>18</v>
      </c>
      <c r="AG3" s="2" t="s">
        <v>16</v>
      </c>
      <c r="AH3" s="2" t="s">
        <v>23</v>
      </c>
      <c r="AI3" s="3" t="s">
        <v>17</v>
      </c>
      <c r="AJ3" s="1" t="s">
        <v>0</v>
      </c>
      <c r="AK3" s="2" t="s">
        <v>1</v>
      </c>
      <c r="AL3" s="2" t="s">
        <v>2</v>
      </c>
      <c r="AM3" s="2" t="s">
        <v>3</v>
      </c>
      <c r="AN3" s="2" t="s">
        <v>4</v>
      </c>
      <c r="AO3" s="2" t="s">
        <v>18</v>
      </c>
      <c r="AP3" s="2" t="s">
        <v>16</v>
      </c>
      <c r="AQ3" s="2" t="s">
        <v>23</v>
      </c>
      <c r="AR3" s="3" t="s">
        <v>17</v>
      </c>
    </row>
    <row r="4" spans="2:44" ht="15" customHeight="1">
      <c r="B4" s="92" t="s">
        <v>5</v>
      </c>
      <c r="C4" s="98" t="s">
        <v>6</v>
      </c>
      <c r="D4" s="4">
        <v>0.25</v>
      </c>
      <c r="E4" s="24">
        <v>684</v>
      </c>
      <c r="F4" s="25">
        <v>764</v>
      </c>
      <c r="G4" s="25">
        <v>844</v>
      </c>
      <c r="H4" s="25">
        <v>1012</v>
      </c>
      <c r="I4" s="25">
        <v>1448</v>
      </c>
      <c r="J4" s="25">
        <v>3024</v>
      </c>
      <c r="K4" s="25">
        <v>6880</v>
      </c>
      <c r="L4" s="25">
        <v>15680</v>
      </c>
      <c r="M4" s="26">
        <v>34560</v>
      </c>
      <c r="N4" s="24">
        <v>596</v>
      </c>
      <c r="O4" s="25">
        <v>596</v>
      </c>
      <c r="P4" s="25">
        <v>676</v>
      </c>
      <c r="Q4" s="25">
        <v>836</v>
      </c>
      <c r="R4" s="25">
        <v>1160</v>
      </c>
      <c r="S4" s="25">
        <v>2416</v>
      </c>
      <c r="T4" s="25">
        <v>5600</v>
      </c>
      <c r="U4" s="25">
        <v>12480</v>
      </c>
      <c r="V4" s="26">
        <v>27520</v>
      </c>
      <c r="X4" s="92" t="s">
        <v>5</v>
      </c>
      <c r="Y4" s="95" t="s">
        <v>6</v>
      </c>
      <c r="Z4" s="7">
        <v>0.25</v>
      </c>
      <c r="AA4" s="15">
        <f t="shared" ref="AA4:AA27" si="0">E31/E4</f>
        <v>0.55847953216374269</v>
      </c>
      <c r="AB4" s="16">
        <f t="shared" ref="AB4:AB27" si="1">F31/F4</f>
        <v>0.55235602094240843</v>
      </c>
      <c r="AC4" s="16">
        <f t="shared" ref="AC4:AC27" si="2">G31/G4</f>
        <v>0.54265402843601895</v>
      </c>
      <c r="AD4" s="16">
        <f t="shared" ref="AD4:AD27" si="3">H31/H4</f>
        <v>0.51778656126482214</v>
      </c>
      <c r="AE4" s="16">
        <f t="shared" ref="AE4:AE27" si="4">I31/I4</f>
        <v>0.39502762430939226</v>
      </c>
      <c r="AF4" s="16">
        <f t="shared" ref="AF4:AF27" si="5">J31/J4</f>
        <v>0.1917989417989418</v>
      </c>
      <c r="AG4" s="16">
        <f t="shared" ref="AG4:AG27" si="6">K31/K4</f>
        <v>6.3662790697674415E-2</v>
      </c>
      <c r="AH4" s="16">
        <f t="shared" ref="AH4:AH27" si="7">L31/L4</f>
        <v>0.42653061224489797</v>
      </c>
      <c r="AI4" s="17">
        <f t="shared" ref="AI4:AI27" si="8">M31/M4</f>
        <v>0.52962962962962967</v>
      </c>
      <c r="AJ4" s="15">
        <f t="shared" ref="AJ4:AJ27" si="9">N31/N4</f>
        <v>0.82885906040268453</v>
      </c>
      <c r="AK4" s="16">
        <f t="shared" ref="AK4:AK27" si="10">O31/O4</f>
        <v>0.94630872483221473</v>
      </c>
      <c r="AL4" s="16">
        <f t="shared" ref="AL4:AL27" si="11">P31/P4</f>
        <v>0.90532544378698221</v>
      </c>
      <c r="AM4" s="16">
        <f t="shared" ref="AM4:AM27" si="12">Q31/Q4</f>
        <v>0.78947368421052633</v>
      </c>
      <c r="AN4" s="16">
        <f t="shared" ref="AN4:AN27" si="13">R31/R4</f>
        <v>0.58965517241379306</v>
      </c>
      <c r="AO4" s="16">
        <f t="shared" ref="AO4:AO27" si="14">S31/S4</f>
        <v>0.28642384105960267</v>
      </c>
      <c r="AP4" s="16">
        <f t="shared" ref="AP4:AP27" si="15">T31/T4</f>
        <v>0.11214285714285714</v>
      </c>
      <c r="AQ4" s="16">
        <f t="shared" ref="AQ4:AQ27" si="16">U31/U4</f>
        <v>0.45897435897435895</v>
      </c>
      <c r="AR4" s="17">
        <f t="shared" ref="AR4:AR27" si="17">V31/V4</f>
        <v>0.6</v>
      </c>
    </row>
    <row r="5" spans="2:44" ht="15" customHeight="1">
      <c r="B5" s="93"/>
      <c r="C5" s="96"/>
      <c r="D5" s="5">
        <v>0.5</v>
      </c>
      <c r="E5" s="27">
        <v>564</v>
      </c>
      <c r="F5" s="28">
        <v>628</v>
      </c>
      <c r="G5" s="28">
        <v>756</v>
      </c>
      <c r="H5" s="28">
        <v>932</v>
      </c>
      <c r="I5" s="28">
        <v>1432</v>
      </c>
      <c r="J5" s="28">
        <v>2288</v>
      </c>
      <c r="K5" s="28">
        <v>5344</v>
      </c>
      <c r="L5" s="28">
        <v>12096</v>
      </c>
      <c r="M5" s="29">
        <v>26496</v>
      </c>
      <c r="N5" s="27">
        <v>556</v>
      </c>
      <c r="O5" s="28">
        <v>596</v>
      </c>
      <c r="P5" s="28">
        <v>588</v>
      </c>
      <c r="Q5" s="28">
        <v>708</v>
      </c>
      <c r="R5" s="28">
        <v>1048</v>
      </c>
      <c r="S5" s="28">
        <v>1768</v>
      </c>
      <c r="T5" s="28">
        <v>4256</v>
      </c>
      <c r="U5" s="28">
        <v>9536</v>
      </c>
      <c r="V5" s="29">
        <v>20864</v>
      </c>
      <c r="X5" s="93"/>
      <c r="Y5" s="96"/>
      <c r="Z5" s="5">
        <v>0.5</v>
      </c>
      <c r="AA5" s="18">
        <f t="shared" si="0"/>
        <v>0.54964539007092195</v>
      </c>
      <c r="AB5" s="12">
        <f t="shared" si="1"/>
        <v>0.60191082802547768</v>
      </c>
      <c r="AC5" s="12">
        <f t="shared" si="2"/>
        <v>0.6164021164021164</v>
      </c>
      <c r="AD5" s="12">
        <f t="shared" si="3"/>
        <v>0.68240343347639487</v>
      </c>
      <c r="AE5" s="12">
        <f t="shared" si="4"/>
        <v>0.67318435754189943</v>
      </c>
      <c r="AF5" s="12">
        <f t="shared" si="5"/>
        <v>0.68881118881118886</v>
      </c>
      <c r="AG5" s="12">
        <f t="shared" si="6"/>
        <v>0.4940119760479042</v>
      </c>
      <c r="AH5" s="12">
        <f t="shared" si="7"/>
        <v>0.53703703703703709</v>
      </c>
      <c r="AI5" s="19">
        <f t="shared" si="8"/>
        <v>0.6811594202898551</v>
      </c>
      <c r="AJ5" s="18">
        <f t="shared" si="9"/>
        <v>0.65827338129496404</v>
      </c>
      <c r="AK5" s="12">
        <f t="shared" si="10"/>
        <v>0.78187919463087252</v>
      </c>
      <c r="AL5" s="12">
        <f t="shared" si="11"/>
        <v>0.97278911564625847</v>
      </c>
      <c r="AM5" s="12">
        <f t="shared" si="12"/>
        <v>1.1355932203389831</v>
      </c>
      <c r="AN5" s="12">
        <f t="shared" si="13"/>
        <v>1.0152671755725191</v>
      </c>
      <c r="AO5" s="12">
        <f t="shared" si="14"/>
        <v>0.79185520361990946</v>
      </c>
      <c r="AP5" s="12">
        <f t="shared" si="15"/>
        <v>0.19266917293233082</v>
      </c>
      <c r="AQ5" s="12">
        <f t="shared" si="16"/>
        <v>0.47315436241610737</v>
      </c>
      <c r="AR5" s="19">
        <f t="shared" si="17"/>
        <v>0.59815950920245398</v>
      </c>
    </row>
    <row r="6" spans="2:44" ht="15" customHeight="1">
      <c r="B6" s="93"/>
      <c r="C6" s="96"/>
      <c r="D6" s="5">
        <v>0.75</v>
      </c>
      <c r="E6" s="27">
        <v>442</v>
      </c>
      <c r="F6" s="28">
        <v>516</v>
      </c>
      <c r="G6" s="28">
        <v>596</v>
      </c>
      <c r="H6" s="28">
        <v>756</v>
      </c>
      <c r="I6" s="28">
        <v>1032</v>
      </c>
      <c r="J6" s="28">
        <v>1672</v>
      </c>
      <c r="K6" s="28">
        <v>4048</v>
      </c>
      <c r="L6" s="28">
        <v>8896</v>
      </c>
      <c r="M6" s="29">
        <v>18560</v>
      </c>
      <c r="N6" s="27">
        <v>406</v>
      </c>
      <c r="O6" s="28">
        <v>510</v>
      </c>
      <c r="P6" s="28">
        <v>564</v>
      </c>
      <c r="Q6" s="28">
        <v>580</v>
      </c>
      <c r="R6" s="28">
        <v>772</v>
      </c>
      <c r="S6" s="28">
        <v>1224</v>
      </c>
      <c r="T6" s="28">
        <v>2832</v>
      </c>
      <c r="U6" s="28">
        <v>6944</v>
      </c>
      <c r="V6" s="29">
        <v>14144</v>
      </c>
      <c r="X6" s="93"/>
      <c r="Y6" s="96"/>
      <c r="Z6" s="5">
        <v>0.75</v>
      </c>
      <c r="AA6" s="18">
        <f t="shared" si="0"/>
        <v>0.58371040723981904</v>
      </c>
      <c r="AB6" s="12">
        <f t="shared" si="1"/>
        <v>0.60852713178294571</v>
      </c>
      <c r="AC6" s="12">
        <f t="shared" si="2"/>
        <v>0.66778523489932884</v>
      </c>
      <c r="AD6" s="12">
        <f t="shared" si="3"/>
        <v>0.70370370370370372</v>
      </c>
      <c r="AE6" s="12">
        <f t="shared" si="4"/>
        <v>0.77131782945736438</v>
      </c>
      <c r="AF6" s="12">
        <f t="shared" si="5"/>
        <v>0.77990430622009566</v>
      </c>
      <c r="AG6" s="12">
        <f t="shared" si="6"/>
        <v>0.5810276679841897</v>
      </c>
      <c r="AH6" s="12">
        <f t="shared" si="7"/>
        <v>0.70143884892086328</v>
      </c>
      <c r="AI6" s="19">
        <f t="shared" si="8"/>
        <v>0.81034482758620685</v>
      </c>
      <c r="AJ6" s="18">
        <f t="shared" si="9"/>
        <v>0.66502463054187189</v>
      </c>
      <c r="AK6" s="12">
        <f t="shared" si="10"/>
        <v>0.67843137254901964</v>
      </c>
      <c r="AL6" s="12">
        <f t="shared" si="11"/>
        <v>0.79078014184397161</v>
      </c>
      <c r="AM6" s="12">
        <f t="shared" si="12"/>
        <v>1.0137931034482759</v>
      </c>
      <c r="AN6" s="12">
        <f t="shared" si="13"/>
        <v>1.0829015544041452</v>
      </c>
      <c r="AO6" s="12">
        <f t="shared" si="14"/>
        <v>1.0522875816993464</v>
      </c>
      <c r="AP6" s="12">
        <f t="shared" si="15"/>
        <v>0.75141242937853103</v>
      </c>
      <c r="AQ6" s="12">
        <f t="shared" si="16"/>
        <v>0.76036866359447008</v>
      </c>
      <c r="AR6" s="19">
        <f t="shared" si="17"/>
        <v>0.83710407239819007</v>
      </c>
    </row>
    <row r="7" spans="2:44" ht="15" customHeight="1" thickBot="1">
      <c r="B7" s="93"/>
      <c r="C7" s="97"/>
      <c r="D7" s="6">
        <v>1</v>
      </c>
      <c r="E7" s="30">
        <v>127</v>
      </c>
      <c r="F7" s="31">
        <v>149</v>
      </c>
      <c r="G7" s="31">
        <v>191</v>
      </c>
      <c r="H7" s="31">
        <v>286</v>
      </c>
      <c r="I7" s="31">
        <v>506</v>
      </c>
      <c r="J7" s="31">
        <v>956</v>
      </c>
      <c r="K7" s="31">
        <v>1592</v>
      </c>
      <c r="L7" s="31">
        <v>3632</v>
      </c>
      <c r="M7" s="32">
        <v>7200</v>
      </c>
      <c r="N7" s="30">
        <v>115</v>
      </c>
      <c r="O7" s="31">
        <v>131</v>
      </c>
      <c r="P7" s="31">
        <v>153</v>
      </c>
      <c r="Q7" s="31">
        <v>203</v>
      </c>
      <c r="R7" s="31">
        <v>310</v>
      </c>
      <c r="S7" s="31">
        <v>556</v>
      </c>
      <c r="T7" s="31">
        <v>1144</v>
      </c>
      <c r="U7" s="31">
        <v>2832</v>
      </c>
      <c r="V7" s="32">
        <v>6240</v>
      </c>
      <c r="X7" s="93"/>
      <c r="Y7" s="97"/>
      <c r="Z7" s="6">
        <v>1</v>
      </c>
      <c r="AA7" s="20">
        <f t="shared" si="0"/>
        <v>0.83464566929133854</v>
      </c>
      <c r="AB7" s="21">
        <f t="shared" si="1"/>
        <v>0.80536912751677847</v>
      </c>
      <c r="AC7" s="21">
        <f t="shared" si="2"/>
        <v>0.82198952879581155</v>
      </c>
      <c r="AD7" s="21">
        <f t="shared" si="3"/>
        <v>0.84265734265734271</v>
      </c>
      <c r="AE7" s="21">
        <f t="shared" si="4"/>
        <v>0.87351778656126478</v>
      </c>
      <c r="AF7" s="21">
        <f t="shared" si="5"/>
        <v>0.94142259414225937</v>
      </c>
      <c r="AG7" s="21">
        <f t="shared" si="6"/>
        <v>1.0703517587939699</v>
      </c>
      <c r="AH7" s="21">
        <f t="shared" si="7"/>
        <v>0.77973568281938321</v>
      </c>
      <c r="AI7" s="22">
        <f t="shared" si="8"/>
        <v>0.81333333333333335</v>
      </c>
      <c r="AJ7" s="20">
        <f t="shared" si="9"/>
        <v>0.84347826086956523</v>
      </c>
      <c r="AK7" s="21">
        <f t="shared" si="10"/>
        <v>0.82442748091603058</v>
      </c>
      <c r="AL7" s="21">
        <f t="shared" si="11"/>
        <v>0.81699346405228757</v>
      </c>
      <c r="AM7" s="21">
        <f t="shared" si="12"/>
        <v>0.81280788177339902</v>
      </c>
      <c r="AN7" s="21">
        <f t="shared" si="13"/>
        <v>0.83225806451612905</v>
      </c>
      <c r="AO7" s="21">
        <f t="shared" si="14"/>
        <v>0.87410071942446044</v>
      </c>
      <c r="AP7" s="21">
        <f t="shared" si="15"/>
        <v>0.79370629370629375</v>
      </c>
      <c r="AQ7" s="21">
        <f t="shared" si="16"/>
        <v>0.61864406779661019</v>
      </c>
      <c r="AR7" s="22">
        <f t="shared" si="17"/>
        <v>0.64871794871794874</v>
      </c>
    </row>
    <row r="8" spans="2:44" ht="15" customHeight="1">
      <c r="B8" s="93"/>
      <c r="C8" s="98" t="s">
        <v>7</v>
      </c>
      <c r="D8" s="4">
        <v>0.25</v>
      </c>
      <c r="E8" s="24">
        <v>1320</v>
      </c>
      <c r="F8" s="25">
        <v>1704</v>
      </c>
      <c r="G8" s="25">
        <v>1752</v>
      </c>
      <c r="H8" s="25">
        <v>1960</v>
      </c>
      <c r="I8" s="25">
        <v>2320</v>
      </c>
      <c r="J8" s="25">
        <v>3760</v>
      </c>
      <c r="K8" s="25">
        <v>9536</v>
      </c>
      <c r="L8" s="25">
        <v>21888</v>
      </c>
      <c r="M8" s="26">
        <v>48896</v>
      </c>
      <c r="N8" s="24">
        <v>1064</v>
      </c>
      <c r="O8" s="25">
        <v>1096</v>
      </c>
      <c r="P8" s="25">
        <v>1176</v>
      </c>
      <c r="Q8" s="25">
        <v>1352</v>
      </c>
      <c r="R8" s="25">
        <v>1688</v>
      </c>
      <c r="S8" s="25">
        <v>2992</v>
      </c>
      <c r="T8" s="25">
        <v>8256</v>
      </c>
      <c r="U8" s="25">
        <v>17280</v>
      </c>
      <c r="V8" s="26">
        <v>38656</v>
      </c>
      <c r="X8" s="93"/>
      <c r="Y8" s="98" t="s">
        <v>7</v>
      </c>
      <c r="Z8" s="4">
        <v>0.25</v>
      </c>
      <c r="AA8" s="15">
        <f t="shared" si="0"/>
        <v>0.67575757575757578</v>
      </c>
      <c r="AB8" s="16">
        <f t="shared" si="1"/>
        <v>0.54694835680751175</v>
      </c>
      <c r="AC8" s="16">
        <f t="shared" si="2"/>
        <v>0.5547945205479452</v>
      </c>
      <c r="AD8" s="16">
        <f t="shared" si="3"/>
        <v>0.52040816326530615</v>
      </c>
      <c r="AE8" s="16">
        <f t="shared" si="4"/>
        <v>0.45862068965517239</v>
      </c>
      <c r="AF8" s="16">
        <f t="shared" si="5"/>
        <v>0.44893617021276594</v>
      </c>
      <c r="AG8" s="16">
        <f t="shared" si="6"/>
        <v>0.10444630872483221</v>
      </c>
      <c r="AH8" s="16">
        <f t="shared" si="7"/>
        <v>0.45321637426900585</v>
      </c>
      <c r="AI8" s="17">
        <f t="shared" si="8"/>
        <v>0.56806282722513091</v>
      </c>
      <c r="AJ8" s="15">
        <f t="shared" si="9"/>
        <v>0.83834586466165417</v>
      </c>
      <c r="AK8" s="16">
        <f t="shared" si="10"/>
        <v>0.88686131386861311</v>
      </c>
      <c r="AL8" s="16">
        <f t="shared" si="11"/>
        <v>0.87755102040816324</v>
      </c>
      <c r="AM8" s="16">
        <f t="shared" si="12"/>
        <v>0.8224852071005917</v>
      </c>
      <c r="AN8" s="16">
        <f t="shared" si="13"/>
        <v>0.71563981042654023</v>
      </c>
      <c r="AO8" s="16">
        <f t="shared" si="14"/>
        <v>0.55882352941176472</v>
      </c>
      <c r="AP8" s="16">
        <f t="shared" si="15"/>
        <v>0.12887596899224807</v>
      </c>
      <c r="AQ8" s="16">
        <f t="shared" si="16"/>
        <v>0.51481481481481484</v>
      </c>
      <c r="AR8" s="17">
        <f t="shared" si="17"/>
        <v>0.61920529801324509</v>
      </c>
    </row>
    <row r="9" spans="2:44" ht="15" customHeight="1">
      <c r="B9" s="93"/>
      <c r="C9" s="96"/>
      <c r="D9" s="5">
        <v>0.5</v>
      </c>
      <c r="E9" s="27">
        <v>940</v>
      </c>
      <c r="F9" s="28">
        <v>1144</v>
      </c>
      <c r="G9" s="28">
        <v>1624</v>
      </c>
      <c r="H9" s="28">
        <v>1864</v>
      </c>
      <c r="I9" s="28">
        <v>2192</v>
      </c>
      <c r="J9" s="28">
        <v>3088</v>
      </c>
      <c r="K9" s="28">
        <v>7648</v>
      </c>
      <c r="L9" s="28">
        <v>18048</v>
      </c>
      <c r="M9" s="29">
        <v>38144</v>
      </c>
      <c r="N9" s="27">
        <v>1020</v>
      </c>
      <c r="O9" s="28">
        <v>1080</v>
      </c>
      <c r="P9" s="28">
        <v>1096</v>
      </c>
      <c r="Q9" s="28">
        <v>1208</v>
      </c>
      <c r="R9" s="28">
        <v>1544</v>
      </c>
      <c r="S9" s="28">
        <v>2288</v>
      </c>
      <c r="T9" s="28">
        <v>6112</v>
      </c>
      <c r="U9" s="28">
        <v>13632</v>
      </c>
      <c r="V9" s="29">
        <v>29312</v>
      </c>
      <c r="X9" s="93"/>
      <c r="Y9" s="96"/>
      <c r="Z9" s="5">
        <v>0.5</v>
      </c>
      <c r="AA9" s="18">
        <f t="shared" si="0"/>
        <v>0.90638297872340423</v>
      </c>
      <c r="AB9" s="12">
        <f t="shared" si="1"/>
        <v>0.77272727272727271</v>
      </c>
      <c r="AC9" s="12">
        <f t="shared" si="2"/>
        <v>0.60344827586206895</v>
      </c>
      <c r="AD9" s="12">
        <f t="shared" si="3"/>
        <v>0.72532188841201717</v>
      </c>
      <c r="AE9" s="12">
        <f t="shared" si="4"/>
        <v>0.71167883211678828</v>
      </c>
      <c r="AF9" s="12">
        <f t="shared" si="5"/>
        <v>0.78238341968911918</v>
      </c>
      <c r="AG9" s="12">
        <f t="shared" si="6"/>
        <v>0.58158995815899583</v>
      </c>
      <c r="AH9" s="12">
        <f t="shared" si="7"/>
        <v>0.5</v>
      </c>
      <c r="AI9" s="19">
        <f t="shared" si="8"/>
        <v>0.61409395973154357</v>
      </c>
      <c r="AJ9" s="18">
        <f t="shared" si="9"/>
        <v>0.7803921568627451</v>
      </c>
      <c r="AK9" s="12">
        <f t="shared" si="10"/>
        <v>0.81851851851851853</v>
      </c>
      <c r="AL9" s="12">
        <f t="shared" si="11"/>
        <v>0.90145985401459849</v>
      </c>
      <c r="AM9" s="12">
        <f t="shared" si="12"/>
        <v>1.0529801324503312</v>
      </c>
      <c r="AN9" s="12">
        <f t="shared" si="13"/>
        <v>1.0829015544041452</v>
      </c>
      <c r="AO9" s="12">
        <f t="shared" si="14"/>
        <v>0.98601398601398604</v>
      </c>
      <c r="AP9" s="12">
        <f t="shared" si="15"/>
        <v>0.56806282722513091</v>
      </c>
      <c r="AQ9" s="12">
        <f t="shared" si="16"/>
        <v>0.5</v>
      </c>
      <c r="AR9" s="19">
        <f t="shared" si="17"/>
        <v>0.62445414847161573</v>
      </c>
    </row>
    <row r="10" spans="2:44" ht="15" customHeight="1">
      <c r="B10" s="93"/>
      <c r="C10" s="96"/>
      <c r="D10" s="5">
        <v>0.75</v>
      </c>
      <c r="E10" s="27">
        <v>836</v>
      </c>
      <c r="F10" s="28">
        <v>900</v>
      </c>
      <c r="G10" s="28">
        <v>1048</v>
      </c>
      <c r="H10" s="28">
        <v>1672</v>
      </c>
      <c r="I10" s="28">
        <v>2040</v>
      </c>
      <c r="J10" s="28">
        <v>2640</v>
      </c>
      <c r="K10" s="28">
        <v>5600</v>
      </c>
      <c r="L10" s="28">
        <v>13248</v>
      </c>
      <c r="M10" s="29">
        <v>26496</v>
      </c>
      <c r="N10" s="27">
        <v>988</v>
      </c>
      <c r="O10" s="28">
        <v>1032</v>
      </c>
      <c r="P10" s="28">
        <v>1096</v>
      </c>
      <c r="Q10" s="28">
        <v>1080</v>
      </c>
      <c r="R10" s="28">
        <v>1272</v>
      </c>
      <c r="S10" s="28">
        <v>1736</v>
      </c>
      <c r="T10" s="28">
        <v>4128</v>
      </c>
      <c r="U10" s="28">
        <v>10432</v>
      </c>
      <c r="V10" s="29">
        <v>20608</v>
      </c>
      <c r="X10" s="93"/>
      <c r="Y10" s="96"/>
      <c r="Z10" s="5">
        <v>0.75</v>
      </c>
      <c r="AA10" s="18">
        <f t="shared" si="0"/>
        <v>0.66507177033492826</v>
      </c>
      <c r="AB10" s="12">
        <f t="shared" si="1"/>
        <v>0.83111111111111113</v>
      </c>
      <c r="AC10" s="12">
        <f t="shared" si="2"/>
        <v>0.84351145038167941</v>
      </c>
      <c r="AD10" s="12">
        <f t="shared" si="3"/>
        <v>0.63636363636363635</v>
      </c>
      <c r="AE10" s="12">
        <f t="shared" si="4"/>
        <v>0.7803921568627451</v>
      </c>
      <c r="AF10" s="12">
        <f t="shared" si="5"/>
        <v>0.92727272727272725</v>
      </c>
      <c r="AG10" s="12">
        <f t="shared" si="6"/>
        <v>0.63714285714285712</v>
      </c>
      <c r="AH10" s="12">
        <f t="shared" si="7"/>
        <v>0.61594202898550721</v>
      </c>
      <c r="AI10" s="19">
        <f t="shared" si="8"/>
        <v>0.73913043478260865</v>
      </c>
      <c r="AJ10" s="18">
        <f t="shared" si="9"/>
        <v>0.74898785425101211</v>
      </c>
      <c r="AK10" s="12">
        <f t="shared" si="10"/>
        <v>0.74031007751937983</v>
      </c>
      <c r="AL10" s="12">
        <f t="shared" si="11"/>
        <v>0.80656934306569339</v>
      </c>
      <c r="AM10" s="12">
        <f t="shared" si="12"/>
        <v>1</v>
      </c>
      <c r="AN10" s="12">
        <f t="shared" si="13"/>
        <v>1.1257861635220126</v>
      </c>
      <c r="AO10" s="12">
        <f t="shared" si="14"/>
        <v>1.1382488479262673</v>
      </c>
      <c r="AP10" s="12">
        <f t="shared" si="15"/>
        <v>0.70930232558139539</v>
      </c>
      <c r="AQ10" s="12">
        <f t="shared" si="16"/>
        <v>0.64110429447852757</v>
      </c>
      <c r="AR10" s="19">
        <f t="shared" si="17"/>
        <v>0.77329192546583847</v>
      </c>
    </row>
    <row r="11" spans="2:44" ht="15" customHeight="1" thickBot="1">
      <c r="B11" s="93"/>
      <c r="C11" s="97"/>
      <c r="D11" s="6">
        <v>1</v>
      </c>
      <c r="E11" s="30">
        <v>189</v>
      </c>
      <c r="F11" s="31">
        <v>237</v>
      </c>
      <c r="G11" s="31">
        <v>318</v>
      </c>
      <c r="H11" s="31">
        <v>498</v>
      </c>
      <c r="I11" s="31">
        <v>900</v>
      </c>
      <c r="J11" s="31">
        <v>1688</v>
      </c>
      <c r="K11" s="45">
        <v>2384</v>
      </c>
      <c r="L11" s="31">
        <v>4512</v>
      </c>
      <c r="M11" s="32">
        <v>9664</v>
      </c>
      <c r="N11" s="30">
        <v>173</v>
      </c>
      <c r="O11" s="31">
        <v>201</v>
      </c>
      <c r="P11" s="31">
        <v>249</v>
      </c>
      <c r="Q11" s="31">
        <v>342</v>
      </c>
      <c r="R11" s="31">
        <v>540</v>
      </c>
      <c r="S11" s="31">
        <v>860</v>
      </c>
      <c r="T11" s="31">
        <v>1496</v>
      </c>
      <c r="U11" s="31">
        <v>3248</v>
      </c>
      <c r="V11" s="32">
        <v>7264</v>
      </c>
      <c r="X11" s="93"/>
      <c r="Y11" s="97"/>
      <c r="Z11" s="6">
        <v>1</v>
      </c>
      <c r="AA11" s="20">
        <f t="shared" si="0"/>
        <v>0.80952380952380953</v>
      </c>
      <c r="AB11" s="21">
        <f t="shared" si="1"/>
        <v>0.80590717299578063</v>
      </c>
      <c r="AC11" s="21">
        <f t="shared" si="2"/>
        <v>0.82389937106918243</v>
      </c>
      <c r="AD11" s="21">
        <f t="shared" si="3"/>
        <v>0.86345381526104414</v>
      </c>
      <c r="AE11" s="21">
        <f t="shared" si="4"/>
        <v>0.89333333333333331</v>
      </c>
      <c r="AF11" s="21">
        <f t="shared" si="5"/>
        <v>0.96208530805687209</v>
      </c>
      <c r="AG11" s="21">
        <f t="shared" si="6"/>
        <v>1.2684563758389262</v>
      </c>
      <c r="AH11" s="21">
        <f t="shared" si="7"/>
        <v>0.94326241134751776</v>
      </c>
      <c r="AI11" s="22">
        <f t="shared" si="8"/>
        <v>0.77152317880794707</v>
      </c>
      <c r="AJ11" s="20">
        <f t="shared" si="9"/>
        <v>0.80346820809248554</v>
      </c>
      <c r="AK11" s="21">
        <f t="shared" si="10"/>
        <v>0.80099502487562191</v>
      </c>
      <c r="AL11" s="21">
        <f t="shared" si="11"/>
        <v>0.81526104417670686</v>
      </c>
      <c r="AM11" s="21">
        <f t="shared" si="12"/>
        <v>0.83625730994152048</v>
      </c>
      <c r="AN11" s="21">
        <f t="shared" si="13"/>
        <v>0.88518518518518519</v>
      </c>
      <c r="AO11" s="21">
        <f t="shared" si="14"/>
        <v>1.0558139534883721</v>
      </c>
      <c r="AP11" s="21">
        <f t="shared" si="15"/>
        <v>1.106951871657754</v>
      </c>
      <c r="AQ11" s="21">
        <f t="shared" si="16"/>
        <v>0.7931034482758621</v>
      </c>
      <c r="AR11" s="22">
        <f t="shared" si="17"/>
        <v>0.68281938325991187</v>
      </c>
    </row>
    <row r="12" spans="2:44" ht="15" customHeight="1">
      <c r="B12" s="93"/>
      <c r="C12" s="98" t="s">
        <v>8</v>
      </c>
      <c r="D12" s="4">
        <v>0.25</v>
      </c>
      <c r="E12" s="24">
        <v>15910</v>
      </c>
      <c r="F12" s="25">
        <v>16986</v>
      </c>
      <c r="G12" s="25">
        <v>16983</v>
      </c>
      <c r="H12" s="25">
        <v>17008</v>
      </c>
      <c r="I12" s="25">
        <v>17074</v>
      </c>
      <c r="J12" s="25">
        <v>17116</v>
      </c>
      <c r="K12" s="25">
        <v>17125</v>
      </c>
      <c r="L12" s="25">
        <v>17118</v>
      </c>
      <c r="M12" s="26">
        <v>17103</v>
      </c>
      <c r="N12" s="24">
        <v>19741</v>
      </c>
      <c r="O12" s="25">
        <v>20859</v>
      </c>
      <c r="P12" s="25">
        <v>20879</v>
      </c>
      <c r="Q12" s="25">
        <v>20242</v>
      </c>
      <c r="R12" s="25">
        <v>20725</v>
      </c>
      <c r="S12" s="25">
        <v>20918</v>
      </c>
      <c r="T12" s="25">
        <v>21003</v>
      </c>
      <c r="U12" s="25">
        <v>20907</v>
      </c>
      <c r="V12" s="26">
        <v>20970</v>
      </c>
      <c r="X12" s="93"/>
      <c r="Y12" s="98" t="s">
        <v>8</v>
      </c>
      <c r="Z12" s="4">
        <v>0.25</v>
      </c>
      <c r="AA12" s="15">
        <f t="shared" si="0"/>
        <v>1.4456945317410435</v>
      </c>
      <c r="AB12" s="16">
        <f t="shared" si="1"/>
        <v>1.5527493229718592</v>
      </c>
      <c r="AC12" s="16">
        <f t="shared" si="2"/>
        <v>1.5076252723311547</v>
      </c>
      <c r="AD12" s="16">
        <f t="shared" si="3"/>
        <v>1.5329844778927564</v>
      </c>
      <c r="AE12" s="16">
        <f t="shared" si="4"/>
        <v>1.5139978915309829</v>
      </c>
      <c r="AF12" s="16">
        <f t="shared" si="5"/>
        <v>1.5203902781023604</v>
      </c>
      <c r="AG12" s="16">
        <f t="shared" si="6"/>
        <v>1.5441167883211679</v>
      </c>
      <c r="AH12" s="16">
        <f t="shared" si="7"/>
        <v>1.5388479962612456</v>
      </c>
      <c r="AI12" s="17">
        <f t="shared" si="8"/>
        <v>1.5407823188914225</v>
      </c>
      <c r="AJ12" s="15">
        <f t="shared" si="9"/>
        <v>1.2257737703257181</v>
      </c>
      <c r="AK12" s="16">
        <f t="shared" si="10"/>
        <v>1.5362673186634066</v>
      </c>
      <c r="AL12" s="16">
        <f t="shared" si="11"/>
        <v>1.5301978064083528</v>
      </c>
      <c r="AM12" s="16">
        <f t="shared" si="12"/>
        <v>1.5806244442248789</v>
      </c>
      <c r="AN12" s="16">
        <f t="shared" si="13"/>
        <v>1.5427744270205066</v>
      </c>
      <c r="AO12" s="16">
        <f t="shared" si="14"/>
        <v>1.5294005163017497</v>
      </c>
      <c r="AP12" s="16">
        <f t="shared" si="15"/>
        <v>1.5145455411131743</v>
      </c>
      <c r="AQ12" s="16">
        <f t="shared" si="16"/>
        <v>1.5218826230449132</v>
      </c>
      <c r="AR12" s="17">
        <f t="shared" si="17"/>
        <v>1.5191225560324273</v>
      </c>
    </row>
    <row r="13" spans="2:44" ht="15" customHeight="1">
      <c r="B13" s="93"/>
      <c r="C13" s="96"/>
      <c r="D13" s="5">
        <v>0.5</v>
      </c>
      <c r="E13" s="27">
        <v>25780</v>
      </c>
      <c r="F13" s="28">
        <v>39105</v>
      </c>
      <c r="G13" s="28">
        <v>44190</v>
      </c>
      <c r="H13" s="28">
        <v>44373</v>
      </c>
      <c r="I13" s="28">
        <v>44766</v>
      </c>
      <c r="J13" s="28">
        <v>44907</v>
      </c>
      <c r="K13" s="28">
        <v>44881</v>
      </c>
      <c r="L13" s="28">
        <v>44892</v>
      </c>
      <c r="M13" s="29">
        <v>44916</v>
      </c>
      <c r="N13" s="27">
        <v>30599</v>
      </c>
      <c r="O13" s="28">
        <v>48296</v>
      </c>
      <c r="P13" s="28">
        <v>57250</v>
      </c>
      <c r="Q13" s="28">
        <v>57204</v>
      </c>
      <c r="R13" s="28">
        <v>57394</v>
      </c>
      <c r="S13" s="28">
        <v>56330</v>
      </c>
      <c r="T13" s="28">
        <v>56162</v>
      </c>
      <c r="U13" s="28">
        <v>57384</v>
      </c>
      <c r="V13" s="29">
        <v>57358</v>
      </c>
      <c r="X13" s="93"/>
      <c r="Y13" s="96"/>
      <c r="Z13" s="5">
        <v>0.5</v>
      </c>
      <c r="AA13" s="18">
        <f t="shared" si="0"/>
        <v>1.4390612878200155</v>
      </c>
      <c r="AB13" s="12">
        <f t="shared" si="1"/>
        <v>1.4001534330648255</v>
      </c>
      <c r="AC13" s="12">
        <f t="shared" si="2"/>
        <v>1.4556008146639512</v>
      </c>
      <c r="AD13" s="12">
        <f t="shared" si="3"/>
        <v>1.4495751921213351</v>
      </c>
      <c r="AE13" s="12">
        <f t="shared" si="4"/>
        <v>1.4368047178662378</v>
      </c>
      <c r="AF13" s="12">
        <f t="shared" si="5"/>
        <v>1.4322934063731712</v>
      </c>
      <c r="AG13" s="12">
        <f t="shared" si="6"/>
        <v>1.4330117421626078</v>
      </c>
      <c r="AH13" s="12">
        <f t="shared" si="7"/>
        <v>1.4326828833645193</v>
      </c>
      <c r="AI13" s="19">
        <f t="shared" si="8"/>
        <v>1.4323181049069373</v>
      </c>
      <c r="AJ13" s="18">
        <f t="shared" si="9"/>
        <v>1.2852707604823688</v>
      </c>
      <c r="AK13" s="12">
        <f t="shared" si="10"/>
        <v>1.2769380486996853</v>
      </c>
      <c r="AL13" s="12">
        <f t="shared" si="11"/>
        <v>1.4226375545851528</v>
      </c>
      <c r="AM13" s="12">
        <f t="shared" si="12"/>
        <v>1.4186420530032864</v>
      </c>
      <c r="AN13" s="12">
        <f t="shared" si="13"/>
        <v>1.4174478168449665</v>
      </c>
      <c r="AO13" s="12">
        <f t="shared" si="14"/>
        <v>1.4463696076690928</v>
      </c>
      <c r="AP13" s="12">
        <f t="shared" si="15"/>
        <v>1.4433602791923366</v>
      </c>
      <c r="AQ13" s="12">
        <f t="shared" si="16"/>
        <v>1.4136518890283005</v>
      </c>
      <c r="AR13" s="19">
        <f t="shared" si="17"/>
        <v>1.4138568290386695</v>
      </c>
    </row>
    <row r="14" spans="2:44" ht="15" customHeight="1">
      <c r="B14" s="93"/>
      <c r="C14" s="96"/>
      <c r="D14" s="5">
        <v>0.75</v>
      </c>
      <c r="E14" s="27">
        <v>36540</v>
      </c>
      <c r="F14" s="28">
        <v>58644</v>
      </c>
      <c r="G14" s="28">
        <v>87137</v>
      </c>
      <c r="H14" s="28">
        <v>100965</v>
      </c>
      <c r="I14" s="28">
        <v>101304</v>
      </c>
      <c r="J14" s="28">
        <v>101236</v>
      </c>
      <c r="K14" s="28">
        <v>101231</v>
      </c>
      <c r="L14" s="28">
        <v>101260</v>
      </c>
      <c r="M14" s="29">
        <v>101287</v>
      </c>
      <c r="N14" s="27">
        <v>41265</v>
      </c>
      <c r="O14" s="28">
        <v>68866</v>
      </c>
      <c r="P14" s="28">
        <v>107561</v>
      </c>
      <c r="Q14" s="28">
        <v>137989</v>
      </c>
      <c r="R14" s="28">
        <v>137435</v>
      </c>
      <c r="S14" s="28">
        <v>137573</v>
      </c>
      <c r="T14" s="28">
        <v>137499</v>
      </c>
      <c r="U14" s="28">
        <v>137542</v>
      </c>
      <c r="V14" s="29">
        <v>137384</v>
      </c>
      <c r="X14" s="93"/>
      <c r="Y14" s="96"/>
      <c r="Z14" s="5">
        <v>0.75</v>
      </c>
      <c r="AA14" s="18">
        <f t="shared" si="0"/>
        <v>1.3205528188286808</v>
      </c>
      <c r="AB14" s="12">
        <f t="shared" si="1"/>
        <v>1.3885478480321942</v>
      </c>
      <c r="AC14" s="12">
        <f t="shared" si="2"/>
        <v>1.3205297405235434</v>
      </c>
      <c r="AD14" s="12">
        <f t="shared" si="3"/>
        <v>1.3167038082503837</v>
      </c>
      <c r="AE14" s="12">
        <f t="shared" si="4"/>
        <v>1.3147555871436469</v>
      </c>
      <c r="AF14" s="12">
        <f t="shared" si="5"/>
        <v>1.314166897151211</v>
      </c>
      <c r="AG14" s="12">
        <f t="shared" si="6"/>
        <v>1.3146862127213996</v>
      </c>
      <c r="AH14" s="12">
        <f t="shared" si="7"/>
        <v>1.3150009875567845</v>
      </c>
      <c r="AI14" s="19">
        <f t="shared" si="8"/>
        <v>1.3135446799688015</v>
      </c>
      <c r="AJ14" s="18">
        <f t="shared" si="9"/>
        <v>1.2186114140312614</v>
      </c>
      <c r="AK14" s="12">
        <f t="shared" si="10"/>
        <v>1.2892719193796649</v>
      </c>
      <c r="AL14" s="12">
        <f t="shared" si="11"/>
        <v>1.2847779399596508</v>
      </c>
      <c r="AM14" s="12">
        <f t="shared" si="12"/>
        <v>1.293204530795933</v>
      </c>
      <c r="AN14" s="12">
        <f t="shared" si="13"/>
        <v>1.3058536762833339</v>
      </c>
      <c r="AO14" s="12">
        <f t="shared" si="14"/>
        <v>1.3077057271412269</v>
      </c>
      <c r="AP14" s="12">
        <f t="shared" si="15"/>
        <v>1.3088895191965033</v>
      </c>
      <c r="AQ14" s="12">
        <f t="shared" si="16"/>
        <v>1.308247662532172</v>
      </c>
      <c r="AR14" s="19">
        <f t="shared" si="17"/>
        <v>1.3102326326209748</v>
      </c>
    </row>
    <row r="15" spans="2:44" ht="15" customHeight="1" thickBot="1">
      <c r="B15" s="94"/>
      <c r="C15" s="97"/>
      <c r="D15" s="6">
        <v>1</v>
      </c>
      <c r="E15" s="30">
        <v>51639</v>
      </c>
      <c r="F15" s="31">
        <v>97442</v>
      </c>
      <c r="G15" s="31">
        <v>174157</v>
      </c>
      <c r="H15" s="31">
        <v>280302</v>
      </c>
      <c r="I15" s="31">
        <v>382238</v>
      </c>
      <c r="J15" s="31">
        <v>442373</v>
      </c>
      <c r="K15" s="31">
        <v>442834</v>
      </c>
      <c r="L15" s="31">
        <v>442792</v>
      </c>
      <c r="M15" s="32">
        <v>442827</v>
      </c>
      <c r="N15" s="30">
        <v>53873</v>
      </c>
      <c r="O15" s="31">
        <v>103737</v>
      </c>
      <c r="P15" s="31">
        <v>193198</v>
      </c>
      <c r="Q15" s="31">
        <v>335420</v>
      </c>
      <c r="R15" s="31">
        <v>498040</v>
      </c>
      <c r="S15" s="31">
        <v>580260</v>
      </c>
      <c r="T15" s="31">
        <v>580852</v>
      </c>
      <c r="U15" s="31">
        <v>580865</v>
      </c>
      <c r="V15" s="32">
        <v>580862</v>
      </c>
      <c r="X15" s="94"/>
      <c r="Y15" s="97"/>
      <c r="Z15" s="6">
        <v>1</v>
      </c>
      <c r="AA15" s="20">
        <f t="shared" si="0"/>
        <v>1.1803094560312941</v>
      </c>
      <c r="AB15" s="21">
        <f t="shared" si="1"/>
        <v>1.1912419695819052</v>
      </c>
      <c r="AC15" s="21">
        <f t="shared" si="2"/>
        <v>1.2044821626463478</v>
      </c>
      <c r="AD15" s="21">
        <f t="shared" si="3"/>
        <v>1.2115040206634273</v>
      </c>
      <c r="AE15" s="21">
        <f t="shared" si="4"/>
        <v>1.2079385095150141</v>
      </c>
      <c r="AF15" s="21">
        <f t="shared" si="5"/>
        <v>1.2140908238070587</v>
      </c>
      <c r="AG15" s="21">
        <f t="shared" si="6"/>
        <v>1.2887944466775361</v>
      </c>
      <c r="AH15" s="21">
        <f t="shared" si="7"/>
        <v>1.2893886971761008</v>
      </c>
      <c r="AI15" s="22">
        <f t="shared" si="8"/>
        <v>1.289128711663923</v>
      </c>
      <c r="AJ15" s="20">
        <f t="shared" si="9"/>
        <v>1.1475507211404599</v>
      </c>
      <c r="AK15" s="21">
        <f t="shared" si="10"/>
        <v>1.1575619113720272</v>
      </c>
      <c r="AL15" s="21">
        <f t="shared" si="11"/>
        <v>1.1737233304692596</v>
      </c>
      <c r="AM15" s="21">
        <f t="shared" si="12"/>
        <v>1.198226104585296</v>
      </c>
      <c r="AN15" s="21">
        <f t="shared" si="13"/>
        <v>1.2624026182635932</v>
      </c>
      <c r="AO15" s="21">
        <f t="shared" si="14"/>
        <v>1.4167528349360632</v>
      </c>
      <c r="AP15" s="21">
        <f t="shared" si="15"/>
        <v>1.4658363920585622</v>
      </c>
      <c r="AQ15" s="21">
        <f t="shared" si="16"/>
        <v>1.4654816523632859</v>
      </c>
      <c r="AR15" s="22">
        <f t="shared" si="17"/>
        <v>1.4654926643505686</v>
      </c>
    </row>
    <row r="16" spans="2:44" ht="15" customHeight="1">
      <c r="B16" s="83" t="s">
        <v>9</v>
      </c>
      <c r="C16" s="98" t="s">
        <v>6</v>
      </c>
      <c r="D16" s="4">
        <v>0.25</v>
      </c>
      <c r="E16" s="24">
        <v>12</v>
      </c>
      <c r="F16" s="25">
        <v>13</v>
      </c>
      <c r="G16" s="25">
        <v>14</v>
      </c>
      <c r="H16" s="25">
        <v>302</v>
      </c>
      <c r="I16" s="25">
        <v>628</v>
      </c>
      <c r="J16" s="25">
        <v>1400</v>
      </c>
      <c r="K16" s="25">
        <v>3888</v>
      </c>
      <c r="L16" s="25">
        <v>8768</v>
      </c>
      <c r="M16" s="26">
        <v>18560</v>
      </c>
      <c r="N16" s="24">
        <v>13</v>
      </c>
      <c r="O16" s="25">
        <v>13</v>
      </c>
      <c r="P16" s="25">
        <v>15</v>
      </c>
      <c r="Q16" s="25">
        <v>183</v>
      </c>
      <c r="R16" s="25">
        <v>446</v>
      </c>
      <c r="S16" s="25">
        <v>980</v>
      </c>
      <c r="T16" s="25">
        <v>2704</v>
      </c>
      <c r="U16" s="25">
        <v>6816</v>
      </c>
      <c r="V16" s="26">
        <v>14016</v>
      </c>
      <c r="X16" s="83" t="s">
        <v>9</v>
      </c>
      <c r="Y16" s="98" t="s">
        <v>6</v>
      </c>
      <c r="Z16" s="4">
        <v>0.25</v>
      </c>
      <c r="AA16" s="15">
        <f t="shared" si="0"/>
        <v>1.0833333333333333</v>
      </c>
      <c r="AB16" s="16">
        <f t="shared" si="1"/>
        <v>1.0769230769230769</v>
      </c>
      <c r="AC16" s="16">
        <f t="shared" si="2"/>
        <v>1.0714285714285714</v>
      </c>
      <c r="AD16" s="16">
        <f t="shared" si="3"/>
        <v>5.2980132450331126E-2</v>
      </c>
      <c r="AE16" s="16">
        <f t="shared" si="4"/>
        <v>2.5477707006369428E-2</v>
      </c>
      <c r="AF16" s="16">
        <f t="shared" si="5"/>
        <v>1.1428571428571429E-2</v>
      </c>
      <c r="AG16" s="16">
        <f t="shared" si="6"/>
        <v>5.1440329218106996E-3</v>
      </c>
      <c r="AH16" s="16">
        <f t="shared" si="7"/>
        <v>0.48540145985401462</v>
      </c>
      <c r="AI16" s="17">
        <f t="shared" si="8"/>
        <v>0.7068965517241379</v>
      </c>
      <c r="AJ16" s="15">
        <f t="shared" si="9"/>
        <v>1</v>
      </c>
      <c r="AK16" s="16">
        <f t="shared" si="10"/>
        <v>1.0769230769230769</v>
      </c>
      <c r="AL16" s="16">
        <f t="shared" si="11"/>
        <v>1.0666666666666667</v>
      </c>
      <c r="AM16" s="16">
        <f t="shared" si="12"/>
        <v>9.8360655737704916E-2</v>
      </c>
      <c r="AN16" s="16">
        <f t="shared" si="13"/>
        <v>3.811659192825112E-2</v>
      </c>
      <c r="AO16" s="16">
        <f t="shared" si="14"/>
        <v>1.8367346938775512E-2</v>
      </c>
      <c r="AP16" s="16">
        <f t="shared" si="15"/>
        <v>6.6568047337278108E-3</v>
      </c>
      <c r="AQ16" s="16">
        <f t="shared" si="16"/>
        <v>0.54694835680751175</v>
      </c>
      <c r="AR16" s="17">
        <f t="shared" si="17"/>
        <v>0.74429223744292239</v>
      </c>
    </row>
    <row r="17" spans="2:44" ht="15" customHeight="1">
      <c r="B17" s="93"/>
      <c r="C17" s="96"/>
      <c r="D17" s="5">
        <v>0.5</v>
      </c>
      <c r="E17" s="27">
        <v>16</v>
      </c>
      <c r="F17" s="28">
        <v>14</v>
      </c>
      <c r="G17" s="28">
        <v>213</v>
      </c>
      <c r="H17" s="28">
        <v>516</v>
      </c>
      <c r="I17" s="28">
        <v>1128</v>
      </c>
      <c r="J17" s="28">
        <v>2384</v>
      </c>
      <c r="K17" s="28">
        <v>5664</v>
      </c>
      <c r="L17" s="28">
        <v>12480</v>
      </c>
      <c r="M17" s="29">
        <v>27008</v>
      </c>
      <c r="N17" s="27">
        <v>13</v>
      </c>
      <c r="O17" s="28">
        <v>14</v>
      </c>
      <c r="P17" s="28">
        <v>159</v>
      </c>
      <c r="Q17" s="28">
        <v>398</v>
      </c>
      <c r="R17" s="28">
        <v>884</v>
      </c>
      <c r="S17" s="28">
        <v>1896</v>
      </c>
      <c r="T17" s="28">
        <v>4576</v>
      </c>
      <c r="U17" s="28">
        <v>9920</v>
      </c>
      <c r="V17" s="29">
        <v>21120</v>
      </c>
      <c r="X17" s="93"/>
      <c r="Y17" s="96"/>
      <c r="Z17" s="5">
        <v>0.5</v>
      </c>
      <c r="AA17" s="18">
        <f t="shared" si="0"/>
        <v>0.8125</v>
      </c>
      <c r="AB17" s="12">
        <f t="shared" si="1"/>
        <v>1</v>
      </c>
      <c r="AC17" s="12">
        <f t="shared" si="2"/>
        <v>1.0751173708920188</v>
      </c>
      <c r="AD17" s="12">
        <f t="shared" si="3"/>
        <v>1.0930232558139534</v>
      </c>
      <c r="AE17" s="12">
        <f t="shared" si="4"/>
        <v>1.0851063829787233</v>
      </c>
      <c r="AF17" s="12">
        <f t="shared" si="5"/>
        <v>1.0671140939597314</v>
      </c>
      <c r="AG17" s="12">
        <f t="shared" si="6"/>
        <v>0.80790960451977401</v>
      </c>
      <c r="AH17" s="12">
        <f t="shared" si="7"/>
        <v>0.79487179487179482</v>
      </c>
      <c r="AI17" s="19">
        <f t="shared" si="8"/>
        <v>0.79146919431279616</v>
      </c>
      <c r="AJ17" s="18">
        <f t="shared" si="9"/>
        <v>1</v>
      </c>
      <c r="AK17" s="12">
        <f t="shared" si="10"/>
        <v>1.0714285714285714</v>
      </c>
      <c r="AL17" s="12">
        <f t="shared" si="11"/>
        <v>0.10062893081761007</v>
      </c>
      <c r="AM17" s="12">
        <f t="shared" si="12"/>
        <v>1.1306532663316582</v>
      </c>
      <c r="AN17" s="12">
        <f t="shared" si="13"/>
        <v>1.1538461538461537</v>
      </c>
      <c r="AO17" s="12">
        <f t="shared" si="14"/>
        <v>1.1223628691983123</v>
      </c>
      <c r="AP17" s="12">
        <f t="shared" si="15"/>
        <v>0.74475524475524479</v>
      </c>
      <c r="AQ17" s="12">
        <f t="shared" si="16"/>
        <v>0.72580645161290325</v>
      </c>
      <c r="AR17" s="19">
        <f t="shared" si="17"/>
        <v>0.72424242424242424</v>
      </c>
    </row>
    <row r="18" spans="2:44" ht="15" customHeight="1">
      <c r="B18" s="93"/>
      <c r="C18" s="96"/>
      <c r="D18" s="5">
        <v>0.75</v>
      </c>
      <c r="E18" s="27">
        <v>16</v>
      </c>
      <c r="F18" s="28">
        <v>131</v>
      </c>
      <c r="G18" s="28">
        <v>290</v>
      </c>
      <c r="H18" s="28">
        <v>580</v>
      </c>
      <c r="I18" s="28">
        <v>1176</v>
      </c>
      <c r="J18" s="28">
        <v>3120</v>
      </c>
      <c r="K18" s="28">
        <v>7136</v>
      </c>
      <c r="L18" s="28">
        <v>16064</v>
      </c>
      <c r="M18" s="29">
        <v>35072</v>
      </c>
      <c r="N18" s="27">
        <v>15</v>
      </c>
      <c r="O18" s="28">
        <v>111</v>
      </c>
      <c r="P18" s="28">
        <v>235</v>
      </c>
      <c r="Q18" s="28">
        <v>490</v>
      </c>
      <c r="R18" s="28">
        <v>996</v>
      </c>
      <c r="S18" s="28">
        <v>2544</v>
      </c>
      <c r="T18" s="28">
        <v>5856</v>
      </c>
      <c r="U18" s="28">
        <v>12736</v>
      </c>
      <c r="V18" s="29">
        <v>27776</v>
      </c>
      <c r="X18" s="93"/>
      <c r="Y18" s="96"/>
      <c r="Z18" s="5">
        <v>0.75</v>
      </c>
      <c r="AA18" s="18">
        <f t="shared" si="0"/>
        <v>0.8125</v>
      </c>
      <c r="AB18" s="12">
        <f t="shared" si="1"/>
        <v>1.2442748091603053</v>
      </c>
      <c r="AC18" s="12">
        <f t="shared" si="2"/>
        <v>1.1379310344827587</v>
      </c>
      <c r="AD18" s="12">
        <f t="shared" si="3"/>
        <v>1.1379310344827587</v>
      </c>
      <c r="AE18" s="12">
        <f t="shared" si="4"/>
        <v>1.1224489795918366</v>
      </c>
      <c r="AF18" s="12">
        <f t="shared" si="5"/>
        <v>0.84615384615384615</v>
      </c>
      <c r="AG18" s="12">
        <f t="shared" si="6"/>
        <v>0.67713004484304928</v>
      </c>
      <c r="AH18" s="12">
        <f t="shared" si="7"/>
        <v>0.60956175298804782</v>
      </c>
      <c r="AI18" s="19">
        <f t="shared" si="8"/>
        <v>0.60948905109489049</v>
      </c>
      <c r="AJ18" s="18">
        <f t="shared" si="9"/>
        <v>0.8666666666666667</v>
      </c>
      <c r="AK18" s="12">
        <f t="shared" si="10"/>
        <v>1.0630630630630631</v>
      </c>
      <c r="AL18" s="12">
        <f t="shared" si="11"/>
        <v>1.1659574468085105</v>
      </c>
      <c r="AM18" s="12">
        <f t="shared" si="12"/>
        <v>1.1183673469387756</v>
      </c>
      <c r="AN18" s="12">
        <f t="shared" si="13"/>
        <v>1.0843373493975903</v>
      </c>
      <c r="AO18" s="12">
        <f t="shared" si="14"/>
        <v>0.86163522012578619</v>
      </c>
      <c r="AP18" s="12">
        <f t="shared" si="15"/>
        <v>0.71584699453551914</v>
      </c>
      <c r="AQ18" s="12">
        <f t="shared" si="16"/>
        <v>0.64824120603015079</v>
      </c>
      <c r="AR18" s="19">
        <f t="shared" si="17"/>
        <v>0.68663594470046085</v>
      </c>
    </row>
    <row r="19" spans="2:44" ht="15" customHeight="1" thickBot="1">
      <c r="B19" s="93"/>
      <c r="C19" s="97"/>
      <c r="D19" s="6">
        <v>1</v>
      </c>
      <c r="E19" s="30">
        <v>74</v>
      </c>
      <c r="F19" s="31">
        <v>149</v>
      </c>
      <c r="G19" s="31">
        <v>298</v>
      </c>
      <c r="H19" s="31">
        <v>596</v>
      </c>
      <c r="I19" s="31">
        <v>1192</v>
      </c>
      <c r="J19" s="31">
        <v>2384</v>
      </c>
      <c r="K19" s="31">
        <v>4768</v>
      </c>
      <c r="L19" s="31">
        <v>9408</v>
      </c>
      <c r="M19" s="32">
        <v>19072</v>
      </c>
      <c r="N19" s="30">
        <v>64</v>
      </c>
      <c r="O19" s="31">
        <v>131</v>
      </c>
      <c r="P19" s="31">
        <v>253</v>
      </c>
      <c r="Q19" s="31">
        <v>506</v>
      </c>
      <c r="R19" s="31">
        <v>1048</v>
      </c>
      <c r="S19" s="31">
        <v>2064</v>
      </c>
      <c r="T19" s="31">
        <v>4080</v>
      </c>
      <c r="U19" s="31">
        <v>8160</v>
      </c>
      <c r="V19" s="32">
        <v>16512</v>
      </c>
      <c r="X19" s="93"/>
      <c r="Y19" s="97"/>
      <c r="Z19" s="6">
        <v>1</v>
      </c>
      <c r="AA19" s="20">
        <f t="shared" si="0"/>
        <v>1.1081081081081081</v>
      </c>
      <c r="AB19" s="21">
        <f t="shared" si="1"/>
        <v>1.1073825503355705</v>
      </c>
      <c r="AC19" s="21">
        <f t="shared" si="2"/>
        <v>1.1073825503355705</v>
      </c>
      <c r="AD19" s="21">
        <f t="shared" si="3"/>
        <v>1.1073825503355705</v>
      </c>
      <c r="AE19" s="21">
        <f t="shared" si="4"/>
        <v>1.1073825503355705</v>
      </c>
      <c r="AF19" s="21">
        <f t="shared" si="5"/>
        <v>1.1073825503355705</v>
      </c>
      <c r="AG19" s="21">
        <f t="shared" si="6"/>
        <v>0.86577181208053688</v>
      </c>
      <c r="AH19" s="21">
        <f t="shared" si="7"/>
        <v>0.79931972789115646</v>
      </c>
      <c r="AI19" s="22">
        <f t="shared" si="8"/>
        <v>0.87919463087248317</v>
      </c>
      <c r="AJ19" s="20">
        <f t="shared" si="9"/>
        <v>0.671875</v>
      </c>
      <c r="AK19" s="21">
        <f t="shared" si="10"/>
        <v>0.66412213740458015</v>
      </c>
      <c r="AL19" s="21">
        <f t="shared" si="11"/>
        <v>0.69169960474308301</v>
      </c>
      <c r="AM19" s="21">
        <f t="shared" si="12"/>
        <v>0.69169960474308301</v>
      </c>
      <c r="AN19" s="21">
        <f t="shared" si="13"/>
        <v>0.66793893129770987</v>
      </c>
      <c r="AO19" s="21">
        <f t="shared" si="14"/>
        <v>0.67829457364341084</v>
      </c>
      <c r="AP19" s="21">
        <f t="shared" si="15"/>
        <v>0.69411764705882351</v>
      </c>
      <c r="AQ19" s="21">
        <f t="shared" si="16"/>
        <v>0.69411764705882351</v>
      </c>
      <c r="AR19" s="22">
        <f t="shared" si="17"/>
        <v>0.69379844961240311</v>
      </c>
    </row>
    <row r="20" spans="2:44" ht="15" customHeight="1">
      <c r="B20" s="93"/>
      <c r="C20" s="98" t="s">
        <v>7</v>
      </c>
      <c r="D20" s="4">
        <v>0.25</v>
      </c>
      <c r="E20" s="24">
        <v>17</v>
      </c>
      <c r="F20" s="25">
        <v>17</v>
      </c>
      <c r="G20" s="25">
        <v>19</v>
      </c>
      <c r="H20" s="25">
        <v>442</v>
      </c>
      <c r="I20" s="25">
        <v>828</v>
      </c>
      <c r="J20" s="25">
        <v>1880</v>
      </c>
      <c r="K20" s="25">
        <v>5344</v>
      </c>
      <c r="L20" s="25">
        <v>12992</v>
      </c>
      <c r="M20" s="26">
        <v>26240</v>
      </c>
      <c r="N20" s="24">
        <v>31</v>
      </c>
      <c r="O20" s="25">
        <v>19</v>
      </c>
      <c r="P20" s="25">
        <v>20</v>
      </c>
      <c r="Q20" s="25">
        <v>274</v>
      </c>
      <c r="R20" s="25">
        <v>596</v>
      </c>
      <c r="S20" s="25">
        <v>1320</v>
      </c>
      <c r="T20" s="25">
        <v>3952</v>
      </c>
      <c r="U20" s="25">
        <v>10304</v>
      </c>
      <c r="V20" s="26">
        <v>20352</v>
      </c>
      <c r="X20" s="93"/>
      <c r="Y20" s="98" t="s">
        <v>7</v>
      </c>
      <c r="Z20" s="4">
        <v>0.25</v>
      </c>
      <c r="AA20" s="15">
        <f t="shared" si="0"/>
        <v>1</v>
      </c>
      <c r="AB20" s="16">
        <f t="shared" si="1"/>
        <v>1.0588235294117647</v>
      </c>
      <c r="AC20" s="16">
        <f t="shared" si="2"/>
        <v>1.0526315789473684</v>
      </c>
      <c r="AD20" s="16">
        <f t="shared" si="3"/>
        <v>4.5248868778280542E-2</v>
      </c>
      <c r="AE20" s="16">
        <f t="shared" si="4"/>
        <v>2.5362318840579712E-2</v>
      </c>
      <c r="AF20" s="16">
        <f t="shared" si="5"/>
        <v>1.1170212765957447E-2</v>
      </c>
      <c r="AG20" s="16">
        <f t="shared" si="6"/>
        <v>5.8008982035928141E-3</v>
      </c>
      <c r="AH20" s="16">
        <f t="shared" si="7"/>
        <v>0.47044334975369456</v>
      </c>
      <c r="AI20" s="17">
        <f t="shared" si="8"/>
        <v>0.66829268292682931</v>
      </c>
      <c r="AJ20" s="15">
        <f t="shared" si="9"/>
        <v>0.77419354838709675</v>
      </c>
      <c r="AK20" s="16">
        <f t="shared" si="10"/>
        <v>1</v>
      </c>
      <c r="AL20" s="16">
        <f t="shared" si="11"/>
        <v>1.05</v>
      </c>
      <c r="AM20" s="16">
        <f t="shared" si="12"/>
        <v>9.4890510948905105E-2</v>
      </c>
      <c r="AN20" s="16">
        <f t="shared" si="13"/>
        <v>4.1946308724832217E-2</v>
      </c>
      <c r="AO20" s="16">
        <f t="shared" si="14"/>
        <v>1.9696969696969695E-2</v>
      </c>
      <c r="AP20" s="16">
        <f t="shared" si="15"/>
        <v>6.8319838056680165E-3</v>
      </c>
      <c r="AQ20" s="16">
        <f t="shared" si="16"/>
        <v>0.48136645962732921</v>
      </c>
      <c r="AR20" s="17">
        <f t="shared" si="17"/>
        <v>0.70125786163522008</v>
      </c>
    </row>
    <row r="21" spans="2:44" ht="15" customHeight="1">
      <c r="B21" s="93"/>
      <c r="C21" s="96"/>
      <c r="D21" s="5">
        <v>0.5</v>
      </c>
      <c r="E21" s="27">
        <v>39</v>
      </c>
      <c r="F21" s="28">
        <v>18</v>
      </c>
      <c r="G21" s="28">
        <v>274</v>
      </c>
      <c r="H21" s="28">
        <v>612</v>
      </c>
      <c r="I21" s="28">
        <v>1272</v>
      </c>
      <c r="J21" s="28">
        <v>2800</v>
      </c>
      <c r="K21" s="28">
        <v>7904</v>
      </c>
      <c r="L21" s="28">
        <v>18560</v>
      </c>
      <c r="M21" s="29">
        <v>38656</v>
      </c>
      <c r="N21" s="27">
        <v>31</v>
      </c>
      <c r="O21" s="28">
        <v>19</v>
      </c>
      <c r="P21" s="28">
        <v>207</v>
      </c>
      <c r="Q21" s="28">
        <v>474</v>
      </c>
      <c r="R21" s="28">
        <v>996</v>
      </c>
      <c r="S21" s="28">
        <v>2256</v>
      </c>
      <c r="T21" s="28">
        <v>6368</v>
      </c>
      <c r="U21" s="28">
        <v>14016</v>
      </c>
      <c r="V21" s="29">
        <v>29568</v>
      </c>
      <c r="X21" s="93"/>
      <c r="Y21" s="96"/>
      <c r="Z21" s="5">
        <v>0.5</v>
      </c>
      <c r="AA21" s="18">
        <f t="shared" si="0"/>
        <v>0.46153846153846156</v>
      </c>
      <c r="AB21" s="12">
        <f t="shared" si="1"/>
        <v>1.0555555555555556</v>
      </c>
      <c r="AC21" s="12">
        <f t="shared" si="2"/>
        <v>1.1167883211678833</v>
      </c>
      <c r="AD21" s="12">
        <f t="shared" si="3"/>
        <v>1.0522875816993464</v>
      </c>
      <c r="AE21" s="12">
        <f t="shared" si="4"/>
        <v>1.0251572327044025</v>
      </c>
      <c r="AF21" s="12">
        <f t="shared" si="5"/>
        <v>0.93142857142857138</v>
      </c>
      <c r="AG21" s="12">
        <f t="shared" si="6"/>
        <v>0.58704453441295545</v>
      </c>
      <c r="AH21" s="12">
        <f t="shared" si="7"/>
        <v>0.67241379310344829</v>
      </c>
      <c r="AI21" s="19">
        <f t="shared" si="8"/>
        <v>0.69867549668874174</v>
      </c>
      <c r="AJ21" s="18">
        <f t="shared" si="9"/>
        <v>0.80645161290322576</v>
      </c>
      <c r="AK21" s="12">
        <f t="shared" si="10"/>
        <v>1.0526315789473684</v>
      </c>
      <c r="AL21" s="12">
        <f t="shared" si="11"/>
        <v>0.10144927536231885</v>
      </c>
      <c r="AM21" s="12">
        <f t="shared" si="12"/>
        <v>1.1054852320675106</v>
      </c>
      <c r="AN21" s="12">
        <f t="shared" si="13"/>
        <v>1.0843373493975903</v>
      </c>
      <c r="AO21" s="12">
        <f t="shared" si="14"/>
        <v>0.97163120567375882</v>
      </c>
      <c r="AP21" s="12">
        <f t="shared" si="15"/>
        <v>0.65829145728643212</v>
      </c>
      <c r="AQ21" s="12">
        <f t="shared" si="16"/>
        <v>0.68036529680365299</v>
      </c>
      <c r="AR21" s="19">
        <f t="shared" si="17"/>
        <v>0.7142857142857143</v>
      </c>
    </row>
    <row r="22" spans="2:44" ht="15" customHeight="1">
      <c r="B22" s="93"/>
      <c r="C22" s="96"/>
      <c r="D22" s="5">
        <v>0.75</v>
      </c>
      <c r="E22" s="27">
        <v>42</v>
      </c>
      <c r="F22" s="28">
        <v>151</v>
      </c>
      <c r="G22" s="28">
        <v>322</v>
      </c>
      <c r="H22" s="28">
        <v>636</v>
      </c>
      <c r="I22" s="28">
        <v>1272</v>
      </c>
      <c r="J22" s="28">
        <v>3632</v>
      </c>
      <c r="K22" s="28">
        <v>9792</v>
      </c>
      <c r="L22" s="28">
        <v>22400</v>
      </c>
      <c r="M22" s="29">
        <v>48896</v>
      </c>
      <c r="N22" s="27">
        <v>37</v>
      </c>
      <c r="O22" s="28">
        <v>126</v>
      </c>
      <c r="P22" s="28">
        <v>262</v>
      </c>
      <c r="Q22" s="28">
        <v>540</v>
      </c>
      <c r="R22" s="28">
        <v>1096</v>
      </c>
      <c r="S22" s="28">
        <v>2960</v>
      </c>
      <c r="T22" s="28">
        <v>8640</v>
      </c>
      <c r="U22" s="28">
        <v>17536</v>
      </c>
      <c r="V22" s="29">
        <v>39168</v>
      </c>
      <c r="X22" s="93"/>
      <c r="Y22" s="96"/>
      <c r="Z22" s="5">
        <v>0.75</v>
      </c>
      <c r="AA22" s="18">
        <f t="shared" si="0"/>
        <v>0.42857142857142855</v>
      </c>
      <c r="AB22" s="12">
        <f t="shared" si="1"/>
        <v>1.1059602649006623</v>
      </c>
      <c r="AC22" s="12">
        <f t="shared" si="2"/>
        <v>5.9378881987577641</v>
      </c>
      <c r="AD22" s="12">
        <f t="shared" si="3"/>
        <v>1.050314465408805</v>
      </c>
      <c r="AE22" s="12">
        <f t="shared" si="4"/>
        <v>1.050314465408805</v>
      </c>
      <c r="AF22" s="12">
        <f t="shared" si="5"/>
        <v>0.73568281938325997</v>
      </c>
      <c r="AG22" s="12">
        <f t="shared" si="6"/>
        <v>0.53921568627450978</v>
      </c>
      <c r="AH22" s="12">
        <f t="shared" si="7"/>
        <v>0.59142857142857141</v>
      </c>
      <c r="AI22" s="19">
        <f t="shared" si="8"/>
        <v>0.63089005235602091</v>
      </c>
      <c r="AJ22" s="18">
        <f t="shared" si="9"/>
        <v>0.7567567567567568</v>
      </c>
      <c r="AK22" s="12">
        <f t="shared" si="10"/>
        <v>1.0873015873015872</v>
      </c>
      <c r="AL22" s="12">
        <f t="shared" si="11"/>
        <v>1.0458015267175573</v>
      </c>
      <c r="AM22" s="12">
        <f t="shared" si="12"/>
        <v>1.0148148148148148</v>
      </c>
      <c r="AN22" s="12">
        <f t="shared" si="13"/>
        <v>1</v>
      </c>
      <c r="AO22" s="12">
        <f t="shared" si="14"/>
        <v>0.75135135135135134</v>
      </c>
      <c r="AP22" s="12">
        <f t="shared" si="15"/>
        <v>0.50740740740740742</v>
      </c>
      <c r="AQ22" s="12">
        <f t="shared" si="16"/>
        <v>0.66788321167883213</v>
      </c>
      <c r="AR22" s="19">
        <f t="shared" si="17"/>
        <v>0.67647058823529416</v>
      </c>
    </row>
    <row r="23" spans="2:44" ht="15" customHeight="1" thickBot="1">
      <c r="B23" s="93"/>
      <c r="C23" s="97"/>
      <c r="D23" s="6">
        <v>1</v>
      </c>
      <c r="E23" s="30">
        <v>79</v>
      </c>
      <c r="F23" s="31">
        <v>157</v>
      </c>
      <c r="G23" s="31">
        <v>314</v>
      </c>
      <c r="H23" s="31">
        <v>628</v>
      </c>
      <c r="I23" s="31">
        <v>1256</v>
      </c>
      <c r="J23" s="31">
        <v>2608</v>
      </c>
      <c r="K23" s="31">
        <v>5152</v>
      </c>
      <c r="L23" s="31">
        <v>13248</v>
      </c>
      <c r="M23" s="32">
        <v>25216</v>
      </c>
      <c r="N23" s="30">
        <v>68</v>
      </c>
      <c r="O23" s="31">
        <v>133</v>
      </c>
      <c r="P23" s="31">
        <v>262</v>
      </c>
      <c r="Q23" s="31">
        <v>516</v>
      </c>
      <c r="R23" s="31">
        <v>1048</v>
      </c>
      <c r="S23" s="31">
        <v>2384</v>
      </c>
      <c r="T23" s="31">
        <v>4576</v>
      </c>
      <c r="U23" s="31">
        <v>11328</v>
      </c>
      <c r="V23" s="32">
        <v>22400</v>
      </c>
      <c r="X23" s="93"/>
      <c r="Y23" s="97"/>
      <c r="Z23" s="6">
        <v>1</v>
      </c>
      <c r="AA23" s="20">
        <f t="shared" si="0"/>
        <v>1.0632911392405062</v>
      </c>
      <c r="AB23" s="21">
        <f t="shared" si="1"/>
        <v>1.0764331210191083</v>
      </c>
      <c r="AC23" s="21">
        <f t="shared" si="2"/>
        <v>1.0636942675159236</v>
      </c>
      <c r="AD23" s="21">
        <f t="shared" si="3"/>
        <v>1.0636942675159236</v>
      </c>
      <c r="AE23" s="21">
        <f t="shared" si="4"/>
        <v>1.0509554140127388</v>
      </c>
      <c r="AF23" s="21">
        <f t="shared" si="5"/>
        <v>1.0245398773006136</v>
      </c>
      <c r="AG23" s="21">
        <f t="shared" si="6"/>
        <v>1.0248447204968945</v>
      </c>
      <c r="AH23" s="21">
        <f t="shared" si="7"/>
        <v>0.79710144927536231</v>
      </c>
      <c r="AI23" s="22">
        <f t="shared" si="8"/>
        <v>0.92893401015228427</v>
      </c>
      <c r="AJ23" s="20">
        <f t="shared" si="9"/>
        <v>0.66176470588235292</v>
      </c>
      <c r="AK23" s="21">
        <f t="shared" si="10"/>
        <v>0.66917293233082709</v>
      </c>
      <c r="AL23" s="21">
        <f t="shared" si="11"/>
        <v>0.67557251908396942</v>
      </c>
      <c r="AM23" s="21">
        <f t="shared" si="12"/>
        <v>0.68604651162790697</v>
      </c>
      <c r="AN23" s="21">
        <f t="shared" si="13"/>
        <v>0.67557251908396942</v>
      </c>
      <c r="AO23" s="21">
        <f t="shared" si="14"/>
        <v>0.59395973154362414</v>
      </c>
      <c r="AP23" s="21">
        <f t="shared" si="15"/>
        <v>0.61888111888111885</v>
      </c>
      <c r="AQ23" s="21">
        <f t="shared" si="16"/>
        <v>0.56779661016949157</v>
      </c>
      <c r="AR23" s="22">
        <f t="shared" si="17"/>
        <v>0.72857142857142854</v>
      </c>
    </row>
    <row r="24" spans="2:44" ht="15" customHeight="1">
      <c r="B24" s="93"/>
      <c r="C24" s="95" t="s">
        <v>8</v>
      </c>
      <c r="D24" s="7">
        <v>0.25</v>
      </c>
      <c r="E24" s="33">
        <v>12187</v>
      </c>
      <c r="F24" s="34">
        <v>19547</v>
      </c>
      <c r="G24" s="34">
        <v>29051</v>
      </c>
      <c r="H24" s="34">
        <v>33666</v>
      </c>
      <c r="I24" s="34">
        <v>33757</v>
      </c>
      <c r="J24" s="34">
        <v>33742</v>
      </c>
      <c r="K24" s="34">
        <v>33756</v>
      </c>
      <c r="L24" s="34">
        <v>33756</v>
      </c>
      <c r="M24" s="35">
        <v>33754</v>
      </c>
      <c r="N24" s="33">
        <v>13762</v>
      </c>
      <c r="O24" s="34">
        <v>22957</v>
      </c>
      <c r="P24" s="34">
        <v>35846</v>
      </c>
      <c r="Q24" s="34">
        <v>46024</v>
      </c>
      <c r="R24" s="34">
        <v>45812</v>
      </c>
      <c r="S24" s="34">
        <v>45855</v>
      </c>
      <c r="T24" s="34">
        <v>45819</v>
      </c>
      <c r="U24" s="34">
        <v>45832</v>
      </c>
      <c r="V24" s="35">
        <v>45783</v>
      </c>
      <c r="X24" s="93"/>
      <c r="Y24" s="98" t="s">
        <v>8</v>
      </c>
      <c r="Z24" s="4">
        <v>0.25</v>
      </c>
      <c r="AA24" s="15">
        <f t="shared" si="0"/>
        <v>1.3200951833921393</v>
      </c>
      <c r="AB24" s="16">
        <f t="shared" si="1"/>
        <v>1.3887041489742671</v>
      </c>
      <c r="AC24" s="16">
        <f t="shared" si="2"/>
        <v>1.3204708960104643</v>
      </c>
      <c r="AD24" s="16">
        <f t="shared" si="3"/>
        <v>1.3164914156715974</v>
      </c>
      <c r="AE24" s="16">
        <f t="shared" si="4"/>
        <v>1.3155789910240838</v>
      </c>
      <c r="AF24" s="16">
        <f t="shared" si="5"/>
        <v>1.3139114456760121</v>
      </c>
      <c r="AG24" s="16">
        <f t="shared" si="6"/>
        <v>1.3145218627799502</v>
      </c>
      <c r="AH24" s="16">
        <f t="shared" si="7"/>
        <v>1.3151143500414741</v>
      </c>
      <c r="AI24" s="17">
        <f t="shared" si="8"/>
        <v>1.3137405937074125</v>
      </c>
      <c r="AJ24" s="15">
        <f t="shared" si="9"/>
        <v>1.2174102601366081</v>
      </c>
      <c r="AK24" s="16">
        <f t="shared" si="10"/>
        <v>1.2889750402927211</v>
      </c>
      <c r="AL24" s="16">
        <f t="shared" si="11"/>
        <v>1.2854153880488757</v>
      </c>
      <c r="AM24" s="16">
        <f t="shared" si="12"/>
        <v>1.2922605597079784</v>
      </c>
      <c r="AN24" s="16">
        <f t="shared" si="13"/>
        <v>1.3058150702872611</v>
      </c>
      <c r="AO24" s="16">
        <f t="shared" si="14"/>
        <v>1.3075782357431032</v>
      </c>
      <c r="AP24" s="16">
        <f t="shared" si="15"/>
        <v>1.3096532006372903</v>
      </c>
      <c r="AQ24" s="16">
        <f t="shared" si="16"/>
        <v>1.3088017105952172</v>
      </c>
      <c r="AR24" s="17">
        <f t="shared" si="17"/>
        <v>1.3108358997881309</v>
      </c>
    </row>
    <row r="25" spans="2:44" ht="15" customHeight="1">
      <c r="B25" s="93"/>
      <c r="C25" s="96"/>
      <c r="D25" s="5">
        <v>0.5</v>
      </c>
      <c r="E25" s="27">
        <v>25788</v>
      </c>
      <c r="F25" s="28">
        <v>39108</v>
      </c>
      <c r="G25" s="28">
        <v>44180</v>
      </c>
      <c r="H25" s="28">
        <v>44355</v>
      </c>
      <c r="I25" s="28">
        <v>44767</v>
      </c>
      <c r="J25" s="28">
        <v>44920</v>
      </c>
      <c r="K25" s="28">
        <v>44880</v>
      </c>
      <c r="L25" s="28">
        <v>44891</v>
      </c>
      <c r="M25" s="29">
        <v>44917</v>
      </c>
      <c r="N25" s="27">
        <v>30590</v>
      </c>
      <c r="O25" s="28">
        <v>48300</v>
      </c>
      <c r="P25" s="28">
        <v>57237</v>
      </c>
      <c r="Q25" s="28">
        <v>57194</v>
      </c>
      <c r="R25" s="28">
        <v>57411</v>
      </c>
      <c r="S25" s="28">
        <v>56339</v>
      </c>
      <c r="T25" s="28">
        <v>56194</v>
      </c>
      <c r="U25" s="28">
        <v>57380</v>
      </c>
      <c r="V25" s="29">
        <v>57365</v>
      </c>
      <c r="X25" s="93"/>
      <c r="Y25" s="96"/>
      <c r="Z25" s="5">
        <v>0.5</v>
      </c>
      <c r="AA25" s="18">
        <f t="shared" si="0"/>
        <v>1.4387699705289281</v>
      </c>
      <c r="AB25" s="12">
        <f t="shared" si="1"/>
        <v>1.3998158944461492</v>
      </c>
      <c r="AC25" s="12">
        <f t="shared" si="2"/>
        <v>1.455998189225894</v>
      </c>
      <c r="AD25" s="12">
        <f t="shared" si="3"/>
        <v>1.450276180813888</v>
      </c>
      <c r="AE25" s="12">
        <f t="shared" si="4"/>
        <v>1.4368843121048986</v>
      </c>
      <c r="AF25" s="12">
        <f t="shared" si="5"/>
        <v>1.4321015138023152</v>
      </c>
      <c r="AG25" s="12">
        <f t="shared" si="6"/>
        <v>1.432909982174688</v>
      </c>
      <c r="AH25" s="12">
        <f t="shared" si="7"/>
        <v>1.4324029315452986</v>
      </c>
      <c r="AI25" s="19">
        <f t="shared" si="8"/>
        <v>1.4321526370861812</v>
      </c>
      <c r="AJ25" s="18">
        <f t="shared" si="9"/>
        <v>1.2851258581235698</v>
      </c>
      <c r="AK25" s="12">
        <f t="shared" si="10"/>
        <v>1.2768530020703934</v>
      </c>
      <c r="AL25" s="12">
        <f t="shared" si="11"/>
        <v>1.4231353844541119</v>
      </c>
      <c r="AM25" s="12">
        <f t="shared" si="12"/>
        <v>1.4188376403119207</v>
      </c>
      <c r="AN25" s="12">
        <f t="shared" si="13"/>
        <v>1.4170977687202801</v>
      </c>
      <c r="AO25" s="12">
        <f t="shared" si="14"/>
        <v>1.4464757982924794</v>
      </c>
      <c r="AP25" s="12">
        <f t="shared" si="15"/>
        <v>1.4426451222550449</v>
      </c>
      <c r="AQ25" s="12">
        <f t="shared" si="16"/>
        <v>1.413663297316138</v>
      </c>
      <c r="AR25" s="19">
        <f t="shared" si="17"/>
        <v>1.4135797088817224</v>
      </c>
    </row>
    <row r="26" spans="2:44" ht="15" customHeight="1">
      <c r="B26" s="93"/>
      <c r="C26" s="96"/>
      <c r="D26" s="5">
        <v>0.75</v>
      </c>
      <c r="E26" s="27">
        <v>47723</v>
      </c>
      <c r="F26" s="28">
        <v>50964</v>
      </c>
      <c r="G26" s="28">
        <v>50939</v>
      </c>
      <c r="H26" s="28">
        <v>51037</v>
      </c>
      <c r="I26" s="28">
        <v>51238</v>
      </c>
      <c r="J26" s="28">
        <v>51343</v>
      </c>
      <c r="K26" s="28">
        <v>51377</v>
      </c>
      <c r="L26" s="28">
        <v>51368</v>
      </c>
      <c r="M26" s="29">
        <v>51329</v>
      </c>
      <c r="N26" s="27">
        <v>59217</v>
      </c>
      <c r="O26" s="28">
        <v>62564</v>
      </c>
      <c r="P26" s="28">
        <v>62632</v>
      </c>
      <c r="Q26" s="28">
        <v>60736</v>
      </c>
      <c r="R26" s="28">
        <v>62202</v>
      </c>
      <c r="S26" s="28">
        <v>62772</v>
      </c>
      <c r="T26" s="28">
        <v>63012</v>
      </c>
      <c r="U26" s="28">
        <v>62728</v>
      </c>
      <c r="V26" s="29">
        <v>62926</v>
      </c>
      <c r="X26" s="93"/>
      <c r="Y26" s="96"/>
      <c r="Z26" s="5">
        <v>0.75</v>
      </c>
      <c r="AA26" s="18">
        <f t="shared" si="0"/>
        <v>1.4460532657209313</v>
      </c>
      <c r="AB26" s="12">
        <f t="shared" si="1"/>
        <v>1.5520563535044345</v>
      </c>
      <c r="AC26" s="12">
        <f t="shared" si="2"/>
        <v>1.5080782897190756</v>
      </c>
      <c r="AD26" s="12">
        <f t="shared" si="3"/>
        <v>1.5322609087524737</v>
      </c>
      <c r="AE26" s="12">
        <f t="shared" si="4"/>
        <v>1.5142862719075687</v>
      </c>
      <c r="AF26" s="12">
        <f t="shared" si="5"/>
        <v>1.5205578170344545</v>
      </c>
      <c r="AG26" s="12">
        <f t="shared" si="6"/>
        <v>1.5431613367849426</v>
      </c>
      <c r="AH26" s="12">
        <f t="shared" si="7"/>
        <v>1.5384869957950476</v>
      </c>
      <c r="AI26" s="19">
        <f t="shared" si="8"/>
        <v>1.5400066239357868</v>
      </c>
      <c r="AJ26" s="18">
        <f t="shared" si="9"/>
        <v>1.2261006129996455</v>
      </c>
      <c r="AK26" s="12">
        <f t="shared" si="10"/>
        <v>1.5368582571446838</v>
      </c>
      <c r="AL26" s="12">
        <f t="shared" si="11"/>
        <v>1.5299846723719503</v>
      </c>
      <c r="AM26" s="12">
        <f t="shared" si="12"/>
        <v>1.5800513698630136</v>
      </c>
      <c r="AN26" s="12">
        <f t="shared" si="13"/>
        <v>1.5418636056718433</v>
      </c>
      <c r="AO26" s="12">
        <f t="shared" si="14"/>
        <v>1.5282769387625055</v>
      </c>
      <c r="AP26" s="12">
        <f t="shared" si="15"/>
        <v>1.5140766838062591</v>
      </c>
      <c r="AQ26" s="12">
        <f t="shared" si="16"/>
        <v>1.5218403264889682</v>
      </c>
      <c r="AR26" s="19">
        <f t="shared" si="17"/>
        <v>1.5182277595906302</v>
      </c>
    </row>
    <row r="27" spans="2:44" ht="15" customHeight="1" thickBot="1">
      <c r="B27" s="94"/>
      <c r="C27" s="97"/>
      <c r="D27" s="6">
        <v>1</v>
      </c>
      <c r="E27" s="30">
        <v>57151</v>
      </c>
      <c r="F27" s="31">
        <v>57114</v>
      </c>
      <c r="G27" s="31">
        <v>57083</v>
      </c>
      <c r="H27" s="31">
        <v>57126</v>
      </c>
      <c r="I27" s="31">
        <v>57102</v>
      </c>
      <c r="J27" s="31">
        <v>57110</v>
      </c>
      <c r="K27" s="31">
        <v>57109</v>
      </c>
      <c r="L27" s="31">
        <v>57140</v>
      </c>
      <c r="M27" s="32">
        <v>57075</v>
      </c>
      <c r="N27" s="30">
        <v>63511</v>
      </c>
      <c r="O27" s="31">
        <v>63512</v>
      </c>
      <c r="P27" s="31">
        <v>63518</v>
      </c>
      <c r="Q27" s="31">
        <v>63520</v>
      </c>
      <c r="R27" s="31">
        <v>63517</v>
      </c>
      <c r="S27" s="31">
        <v>63532</v>
      </c>
      <c r="T27" s="31">
        <v>63528</v>
      </c>
      <c r="U27" s="31">
        <v>63529</v>
      </c>
      <c r="V27" s="32">
        <v>63535</v>
      </c>
      <c r="X27" s="94"/>
      <c r="Y27" s="97"/>
      <c r="Z27" s="6">
        <v>1</v>
      </c>
      <c r="AA27" s="20">
        <f t="shared" si="0"/>
        <v>1.6139700092736784</v>
      </c>
      <c r="AB27" s="21">
        <f t="shared" si="1"/>
        <v>1.6148755121336276</v>
      </c>
      <c r="AC27" s="21">
        <f t="shared" si="2"/>
        <v>1.615612353940753</v>
      </c>
      <c r="AD27" s="21">
        <f t="shared" si="3"/>
        <v>1.6123656478661206</v>
      </c>
      <c r="AE27" s="21">
        <f t="shared" si="4"/>
        <v>1.6157927918461701</v>
      </c>
      <c r="AF27" s="21">
        <f t="shared" si="5"/>
        <v>1.613342672036421</v>
      </c>
      <c r="AG27" s="21">
        <f t="shared" si="6"/>
        <v>1.6157698436323522</v>
      </c>
      <c r="AH27" s="21">
        <f t="shared" si="7"/>
        <v>1.6130031501575079</v>
      </c>
      <c r="AI27" s="22">
        <f t="shared" si="8"/>
        <v>1.6163469119579501</v>
      </c>
      <c r="AJ27" s="20">
        <f t="shared" si="9"/>
        <v>1.4310276959896711</v>
      </c>
      <c r="AK27" s="21">
        <f t="shared" si="10"/>
        <v>1.4310051643783852</v>
      </c>
      <c r="AL27" s="21">
        <f t="shared" si="11"/>
        <v>1.4308699896092447</v>
      </c>
      <c r="AM27" s="21">
        <f t="shared" si="12"/>
        <v>1.4308249370277077</v>
      </c>
      <c r="AN27" s="21">
        <f t="shared" si="13"/>
        <v>1.4308925169639624</v>
      </c>
      <c r="AO27" s="21">
        <f t="shared" si="14"/>
        <v>1.4305546811055845</v>
      </c>
      <c r="AP27" s="21">
        <f t="shared" si="15"/>
        <v>1.4306447550686312</v>
      </c>
      <c r="AQ27" s="21">
        <f t="shared" si="16"/>
        <v>1.4306222355144895</v>
      </c>
      <c r="AR27" s="22">
        <f t="shared" si="17"/>
        <v>1.4304713937199969</v>
      </c>
    </row>
    <row r="28" spans="2:44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44" ht="15" customHeight="1" thickBot="1">
      <c r="B29" s="112" t="s">
        <v>58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4"/>
      <c r="M29" s="85"/>
      <c r="N29" s="83" t="s">
        <v>24</v>
      </c>
      <c r="O29" s="84"/>
      <c r="P29" s="84"/>
      <c r="Q29" s="84"/>
      <c r="R29" s="84"/>
      <c r="S29" s="84"/>
      <c r="T29" s="84"/>
      <c r="U29" s="84"/>
      <c r="V29" s="85"/>
      <c r="X29" s="13" t="s">
        <v>20</v>
      </c>
      <c r="Y29" s="14">
        <f>(COUNTIF(AA4:AR11,"&lt;1.1")+COUNTIF(AA16:AR23,"&lt;1.1"))/(COUNT(AA4:AR11)+COUNT(AA16:AR23))</f>
        <v>0.91666666666666663</v>
      </c>
      <c r="Z29" s="109" t="s">
        <v>19</v>
      </c>
      <c r="AA29" s="110"/>
      <c r="AB29" s="110"/>
      <c r="AC29" s="110"/>
      <c r="AD29" s="111"/>
    </row>
    <row r="30" spans="2:44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2" t="s">
        <v>23</v>
      </c>
      <c r="M30" s="3" t="s">
        <v>17</v>
      </c>
      <c r="N30" s="1" t="s">
        <v>0</v>
      </c>
      <c r="O30" s="2" t="s">
        <v>1</v>
      </c>
      <c r="P30" s="2" t="s">
        <v>2</v>
      </c>
      <c r="Q30" s="2" t="s">
        <v>3</v>
      </c>
      <c r="R30" s="2" t="s">
        <v>4</v>
      </c>
      <c r="S30" s="2" t="s">
        <v>18</v>
      </c>
      <c r="T30" s="2" t="s">
        <v>16</v>
      </c>
      <c r="U30" s="2" t="s">
        <v>23</v>
      </c>
      <c r="V30" s="3" t="s">
        <v>17</v>
      </c>
      <c r="X30" s="13" t="s">
        <v>21</v>
      </c>
      <c r="Y30" s="23">
        <f>(COUNTIF(AA4:AR11,"&lt;1.1"))/(COUNT(AA4:AR11))</f>
        <v>0.96527777777777779</v>
      </c>
      <c r="Z30" s="109" t="s">
        <v>19</v>
      </c>
      <c r="AA30" s="110"/>
      <c r="AB30" s="110"/>
      <c r="AC30" s="110"/>
      <c r="AD30" s="111"/>
    </row>
    <row r="31" spans="2:44" ht="15" customHeight="1" thickBot="1">
      <c r="B31" s="92" t="s">
        <v>5</v>
      </c>
      <c r="C31" s="98" t="s">
        <v>6</v>
      </c>
      <c r="D31" s="4">
        <v>0.25</v>
      </c>
      <c r="E31" s="36">
        <v>382</v>
      </c>
      <c r="F31" s="37">
        <v>422</v>
      </c>
      <c r="G31" s="37">
        <v>458</v>
      </c>
      <c r="H31" s="37">
        <v>524</v>
      </c>
      <c r="I31" s="37">
        <v>572</v>
      </c>
      <c r="J31" s="37">
        <v>580</v>
      </c>
      <c r="K31" s="37">
        <v>438</v>
      </c>
      <c r="L31" s="37">
        <v>6688</v>
      </c>
      <c r="M31" s="38">
        <v>18304</v>
      </c>
      <c r="N31" s="36">
        <v>494</v>
      </c>
      <c r="O31" s="37">
        <v>564</v>
      </c>
      <c r="P31" s="37">
        <v>612</v>
      </c>
      <c r="Q31" s="37">
        <v>660</v>
      </c>
      <c r="R31" s="37">
        <v>684</v>
      </c>
      <c r="S31" s="37">
        <v>692</v>
      </c>
      <c r="T31" s="37">
        <v>628</v>
      </c>
      <c r="U31" s="37">
        <v>5728</v>
      </c>
      <c r="V31" s="38">
        <v>16512</v>
      </c>
      <c r="X31" s="13" t="s">
        <v>22</v>
      </c>
      <c r="Y31" s="23">
        <f>COUNTIF(AA16:AR23,"&lt;1.1")/+COUNT(AA16:AR23)</f>
        <v>0.86805555555555558</v>
      </c>
      <c r="Z31" s="109" t="s">
        <v>19</v>
      </c>
      <c r="AA31" s="110"/>
      <c r="AB31" s="110"/>
      <c r="AC31" s="110"/>
      <c r="AD31" s="111"/>
    </row>
    <row r="32" spans="2:44" ht="15" customHeight="1">
      <c r="B32" s="93"/>
      <c r="C32" s="96"/>
      <c r="D32" s="5">
        <v>0.5</v>
      </c>
      <c r="E32" s="39">
        <v>310</v>
      </c>
      <c r="F32" s="40">
        <v>378</v>
      </c>
      <c r="G32" s="40">
        <v>466</v>
      </c>
      <c r="H32" s="40">
        <v>636</v>
      </c>
      <c r="I32" s="40">
        <v>964</v>
      </c>
      <c r="J32" s="40">
        <v>1576</v>
      </c>
      <c r="K32" s="40">
        <v>2640</v>
      </c>
      <c r="L32" s="40">
        <v>6496</v>
      </c>
      <c r="M32" s="41">
        <v>18048</v>
      </c>
      <c r="N32" s="39">
        <v>366</v>
      </c>
      <c r="O32" s="40">
        <v>466</v>
      </c>
      <c r="P32" s="40">
        <v>572</v>
      </c>
      <c r="Q32" s="40">
        <v>804</v>
      </c>
      <c r="R32" s="40">
        <v>1064</v>
      </c>
      <c r="S32" s="40">
        <v>1400</v>
      </c>
      <c r="T32" s="40">
        <v>820</v>
      </c>
      <c r="U32" s="40">
        <v>4512</v>
      </c>
      <c r="V32" s="41">
        <v>12480</v>
      </c>
    </row>
    <row r="33" spans="2:22" ht="15" customHeight="1">
      <c r="B33" s="93"/>
      <c r="C33" s="96"/>
      <c r="D33" s="5">
        <v>0.75</v>
      </c>
      <c r="E33" s="39">
        <v>258</v>
      </c>
      <c r="F33" s="40">
        <v>314</v>
      </c>
      <c r="G33" s="40">
        <v>398</v>
      </c>
      <c r="H33" s="40">
        <v>532</v>
      </c>
      <c r="I33" s="40">
        <v>796</v>
      </c>
      <c r="J33" s="40">
        <v>1304</v>
      </c>
      <c r="K33" s="40">
        <v>2352</v>
      </c>
      <c r="L33" s="40">
        <v>6240</v>
      </c>
      <c r="M33" s="41">
        <v>15040</v>
      </c>
      <c r="N33" s="39">
        <v>270</v>
      </c>
      <c r="O33" s="40">
        <v>346</v>
      </c>
      <c r="P33" s="40">
        <v>446</v>
      </c>
      <c r="Q33" s="40">
        <v>588</v>
      </c>
      <c r="R33" s="40">
        <v>836</v>
      </c>
      <c r="S33" s="40">
        <v>1288</v>
      </c>
      <c r="T33" s="40">
        <v>2128</v>
      </c>
      <c r="U33" s="40">
        <v>5280</v>
      </c>
      <c r="V33" s="41">
        <v>11840</v>
      </c>
    </row>
    <row r="34" spans="2:22" ht="15" customHeight="1" thickBot="1">
      <c r="B34" s="93"/>
      <c r="C34" s="97"/>
      <c r="D34" s="6">
        <v>1</v>
      </c>
      <c r="E34" s="42">
        <v>106</v>
      </c>
      <c r="F34" s="43">
        <v>120</v>
      </c>
      <c r="G34" s="43">
        <v>157</v>
      </c>
      <c r="H34" s="43">
        <v>241</v>
      </c>
      <c r="I34" s="43">
        <v>442</v>
      </c>
      <c r="J34" s="43">
        <v>900</v>
      </c>
      <c r="K34" s="43">
        <v>1704</v>
      </c>
      <c r="L34" s="43">
        <v>2832</v>
      </c>
      <c r="M34" s="44">
        <v>5856</v>
      </c>
      <c r="N34" s="42">
        <v>97</v>
      </c>
      <c r="O34" s="43">
        <v>108</v>
      </c>
      <c r="P34" s="43">
        <v>125</v>
      </c>
      <c r="Q34" s="43">
        <v>165</v>
      </c>
      <c r="R34" s="43">
        <v>258</v>
      </c>
      <c r="S34" s="43">
        <v>486</v>
      </c>
      <c r="T34" s="43">
        <v>908</v>
      </c>
      <c r="U34" s="43">
        <v>1752</v>
      </c>
      <c r="V34" s="44">
        <v>4048</v>
      </c>
    </row>
    <row r="35" spans="2:22" ht="15" customHeight="1">
      <c r="B35" s="93"/>
      <c r="C35" s="98" t="s">
        <v>7</v>
      </c>
      <c r="D35" s="4">
        <v>0.25</v>
      </c>
      <c r="E35" s="36">
        <v>892</v>
      </c>
      <c r="F35" s="37">
        <v>932</v>
      </c>
      <c r="G35" s="37">
        <v>972</v>
      </c>
      <c r="H35" s="37">
        <v>1020</v>
      </c>
      <c r="I35" s="37">
        <v>1064</v>
      </c>
      <c r="J35" s="37">
        <v>1688</v>
      </c>
      <c r="K35" s="37">
        <v>996</v>
      </c>
      <c r="L35" s="37">
        <v>9920</v>
      </c>
      <c r="M35" s="38">
        <v>27776</v>
      </c>
      <c r="N35" s="36">
        <v>892</v>
      </c>
      <c r="O35" s="37">
        <v>972</v>
      </c>
      <c r="P35" s="37">
        <v>1032</v>
      </c>
      <c r="Q35" s="37">
        <v>1112</v>
      </c>
      <c r="R35" s="37">
        <v>1208</v>
      </c>
      <c r="S35" s="37">
        <v>1672</v>
      </c>
      <c r="T35" s="37">
        <v>1064</v>
      </c>
      <c r="U35" s="37">
        <v>8896</v>
      </c>
      <c r="V35" s="38">
        <v>23936</v>
      </c>
    </row>
    <row r="36" spans="2:22" ht="15" customHeight="1">
      <c r="B36" s="93"/>
      <c r="C36" s="96"/>
      <c r="D36" s="5">
        <v>0.5</v>
      </c>
      <c r="E36" s="39">
        <v>852</v>
      </c>
      <c r="F36" s="40">
        <v>884</v>
      </c>
      <c r="G36" s="40">
        <v>980</v>
      </c>
      <c r="H36" s="40">
        <v>1352</v>
      </c>
      <c r="I36" s="40">
        <v>1560</v>
      </c>
      <c r="J36" s="40">
        <v>2416</v>
      </c>
      <c r="K36" s="40">
        <v>4448</v>
      </c>
      <c r="L36" s="40">
        <v>9024</v>
      </c>
      <c r="M36" s="41">
        <v>23424</v>
      </c>
      <c r="N36" s="39">
        <v>796</v>
      </c>
      <c r="O36" s="40">
        <v>884</v>
      </c>
      <c r="P36" s="40">
        <v>988</v>
      </c>
      <c r="Q36" s="40">
        <v>1272</v>
      </c>
      <c r="R36" s="40">
        <v>1672</v>
      </c>
      <c r="S36" s="40">
        <v>2256</v>
      </c>
      <c r="T36" s="40">
        <v>3472</v>
      </c>
      <c r="U36" s="40">
        <v>6816</v>
      </c>
      <c r="V36" s="41">
        <v>18304</v>
      </c>
    </row>
    <row r="37" spans="2:22" ht="15" customHeight="1">
      <c r="B37" s="93"/>
      <c r="C37" s="96"/>
      <c r="D37" s="5">
        <v>0.75</v>
      </c>
      <c r="E37" s="39">
        <v>556</v>
      </c>
      <c r="F37" s="40">
        <v>748</v>
      </c>
      <c r="G37" s="40">
        <v>884</v>
      </c>
      <c r="H37" s="40">
        <v>1064</v>
      </c>
      <c r="I37" s="40">
        <v>1592</v>
      </c>
      <c r="J37" s="40">
        <v>2448</v>
      </c>
      <c r="K37" s="40">
        <v>3568</v>
      </c>
      <c r="L37" s="40">
        <v>8160</v>
      </c>
      <c r="M37" s="41">
        <v>19584</v>
      </c>
      <c r="N37" s="39">
        <v>740</v>
      </c>
      <c r="O37" s="40">
        <v>764</v>
      </c>
      <c r="P37" s="40">
        <v>884</v>
      </c>
      <c r="Q37" s="40">
        <v>1080</v>
      </c>
      <c r="R37" s="40">
        <v>1432</v>
      </c>
      <c r="S37" s="40">
        <v>1976</v>
      </c>
      <c r="T37" s="40">
        <v>2928</v>
      </c>
      <c r="U37" s="40">
        <v>6688</v>
      </c>
      <c r="V37" s="41">
        <v>15936</v>
      </c>
    </row>
    <row r="38" spans="2:22" ht="15" customHeight="1" thickBot="1">
      <c r="B38" s="93"/>
      <c r="C38" s="97"/>
      <c r="D38" s="6">
        <v>1</v>
      </c>
      <c r="E38" s="42">
        <v>153</v>
      </c>
      <c r="F38" s="43">
        <v>191</v>
      </c>
      <c r="G38" s="43">
        <v>262</v>
      </c>
      <c r="H38" s="43">
        <v>430</v>
      </c>
      <c r="I38" s="43">
        <v>804</v>
      </c>
      <c r="J38" s="43">
        <v>1624</v>
      </c>
      <c r="K38" s="46">
        <v>3024</v>
      </c>
      <c r="L38" s="43">
        <v>4256</v>
      </c>
      <c r="M38" s="44">
        <v>7456</v>
      </c>
      <c r="N38" s="42">
        <v>139</v>
      </c>
      <c r="O38" s="43">
        <v>161</v>
      </c>
      <c r="P38" s="43">
        <v>203</v>
      </c>
      <c r="Q38" s="43">
        <v>286</v>
      </c>
      <c r="R38" s="43">
        <v>478</v>
      </c>
      <c r="S38" s="43">
        <v>908</v>
      </c>
      <c r="T38" s="43">
        <v>1656</v>
      </c>
      <c r="U38" s="43">
        <v>2576</v>
      </c>
      <c r="V38" s="44">
        <v>4960</v>
      </c>
    </row>
    <row r="39" spans="2:22" ht="15" customHeight="1">
      <c r="B39" s="93"/>
      <c r="C39" s="98" t="s">
        <v>8</v>
      </c>
      <c r="D39" s="4">
        <v>0.25</v>
      </c>
      <c r="E39" s="36">
        <v>23001</v>
      </c>
      <c r="F39" s="37">
        <v>26375</v>
      </c>
      <c r="G39" s="37">
        <v>25604</v>
      </c>
      <c r="H39" s="37">
        <v>26073</v>
      </c>
      <c r="I39" s="37">
        <v>25850</v>
      </c>
      <c r="J39" s="37">
        <v>26023</v>
      </c>
      <c r="K39" s="37">
        <v>26443</v>
      </c>
      <c r="L39" s="37">
        <v>26342</v>
      </c>
      <c r="M39" s="38">
        <v>26352</v>
      </c>
      <c r="N39" s="36">
        <v>24198</v>
      </c>
      <c r="O39" s="37">
        <v>32045</v>
      </c>
      <c r="P39" s="37">
        <v>31949</v>
      </c>
      <c r="Q39" s="37">
        <v>31995</v>
      </c>
      <c r="R39" s="37">
        <v>31974</v>
      </c>
      <c r="S39" s="37">
        <v>31992</v>
      </c>
      <c r="T39" s="37">
        <v>31810</v>
      </c>
      <c r="U39" s="37">
        <v>31818</v>
      </c>
      <c r="V39" s="38">
        <v>31856</v>
      </c>
    </row>
    <row r="40" spans="2:22" ht="15" customHeight="1">
      <c r="B40" s="93"/>
      <c r="C40" s="96"/>
      <c r="D40" s="5">
        <v>0.5</v>
      </c>
      <c r="E40" s="39">
        <v>37099</v>
      </c>
      <c r="F40" s="40">
        <v>54753</v>
      </c>
      <c r="G40" s="40">
        <v>64323</v>
      </c>
      <c r="H40" s="40">
        <v>64322</v>
      </c>
      <c r="I40" s="40">
        <v>64320</v>
      </c>
      <c r="J40" s="40">
        <v>64320</v>
      </c>
      <c r="K40" s="40">
        <v>64315</v>
      </c>
      <c r="L40" s="40">
        <v>64316</v>
      </c>
      <c r="M40" s="41">
        <v>64334</v>
      </c>
      <c r="N40" s="39">
        <v>39328</v>
      </c>
      <c r="O40" s="40">
        <v>61671</v>
      </c>
      <c r="P40" s="40">
        <v>81446</v>
      </c>
      <c r="Q40" s="40">
        <v>81152</v>
      </c>
      <c r="R40" s="40">
        <v>81353</v>
      </c>
      <c r="S40" s="40">
        <v>81474</v>
      </c>
      <c r="T40" s="40">
        <v>81062</v>
      </c>
      <c r="U40" s="40">
        <v>81121</v>
      </c>
      <c r="V40" s="41">
        <v>81096</v>
      </c>
    </row>
    <row r="41" spans="2:22" ht="15" customHeight="1">
      <c r="B41" s="93"/>
      <c r="C41" s="96"/>
      <c r="D41" s="5">
        <v>0.75</v>
      </c>
      <c r="E41" s="39">
        <v>48253</v>
      </c>
      <c r="F41" s="40">
        <v>81430</v>
      </c>
      <c r="G41" s="40">
        <v>115067</v>
      </c>
      <c r="H41" s="40">
        <v>132941</v>
      </c>
      <c r="I41" s="40">
        <v>133190</v>
      </c>
      <c r="J41" s="40">
        <v>133041</v>
      </c>
      <c r="K41" s="40">
        <v>133087</v>
      </c>
      <c r="L41" s="40">
        <v>133157</v>
      </c>
      <c r="M41" s="41">
        <v>133045</v>
      </c>
      <c r="N41" s="39">
        <v>50286</v>
      </c>
      <c r="O41" s="40">
        <v>88787</v>
      </c>
      <c r="P41" s="40">
        <v>138192</v>
      </c>
      <c r="Q41" s="40">
        <v>178448</v>
      </c>
      <c r="R41" s="40">
        <v>179470</v>
      </c>
      <c r="S41" s="40">
        <v>179905</v>
      </c>
      <c r="T41" s="40">
        <v>179971</v>
      </c>
      <c r="U41" s="40">
        <v>179939</v>
      </c>
      <c r="V41" s="41">
        <v>180005</v>
      </c>
    </row>
    <row r="42" spans="2:22" ht="15" customHeight="1" thickBot="1">
      <c r="B42" s="94"/>
      <c r="C42" s="97"/>
      <c r="D42" s="6">
        <v>1</v>
      </c>
      <c r="E42" s="42">
        <v>60950</v>
      </c>
      <c r="F42" s="43">
        <v>116077</v>
      </c>
      <c r="G42" s="43">
        <v>209769</v>
      </c>
      <c r="H42" s="43">
        <v>339587</v>
      </c>
      <c r="I42" s="43">
        <v>461720</v>
      </c>
      <c r="J42" s="43">
        <v>537081</v>
      </c>
      <c r="K42" s="43">
        <v>570722</v>
      </c>
      <c r="L42" s="43">
        <v>570931</v>
      </c>
      <c r="M42" s="44">
        <v>570861</v>
      </c>
      <c r="N42" s="42">
        <v>61822</v>
      </c>
      <c r="O42" s="43">
        <v>120082</v>
      </c>
      <c r="P42" s="43">
        <v>226761</v>
      </c>
      <c r="Q42" s="43">
        <v>401909</v>
      </c>
      <c r="R42" s="43">
        <v>628727</v>
      </c>
      <c r="S42" s="43">
        <v>822085</v>
      </c>
      <c r="T42" s="43">
        <v>851434</v>
      </c>
      <c r="U42" s="43">
        <v>851247</v>
      </c>
      <c r="V42" s="44">
        <v>851249</v>
      </c>
    </row>
    <row r="43" spans="2:22" ht="15" customHeight="1">
      <c r="B43" s="83" t="s">
        <v>9</v>
      </c>
      <c r="C43" s="98" t="s">
        <v>6</v>
      </c>
      <c r="D43" s="4">
        <v>0.25</v>
      </c>
      <c r="E43" s="36">
        <v>13</v>
      </c>
      <c r="F43" s="37">
        <v>14</v>
      </c>
      <c r="G43" s="37">
        <v>15</v>
      </c>
      <c r="H43" s="37">
        <v>16</v>
      </c>
      <c r="I43" s="37">
        <v>16</v>
      </c>
      <c r="J43" s="37">
        <v>16</v>
      </c>
      <c r="K43" s="37">
        <v>20</v>
      </c>
      <c r="L43" s="37">
        <v>4256</v>
      </c>
      <c r="M43" s="38">
        <v>13120</v>
      </c>
      <c r="N43" s="36">
        <v>13</v>
      </c>
      <c r="O43" s="37">
        <v>14</v>
      </c>
      <c r="P43" s="37">
        <v>16</v>
      </c>
      <c r="Q43" s="37">
        <v>18</v>
      </c>
      <c r="R43" s="37">
        <v>17</v>
      </c>
      <c r="S43" s="37">
        <v>18</v>
      </c>
      <c r="T43" s="37">
        <v>18</v>
      </c>
      <c r="U43" s="37">
        <v>3728</v>
      </c>
      <c r="V43" s="38">
        <v>10432</v>
      </c>
    </row>
    <row r="44" spans="2:22" ht="15" customHeight="1">
      <c r="B44" s="93"/>
      <c r="C44" s="96"/>
      <c r="D44" s="5">
        <v>0.5</v>
      </c>
      <c r="E44" s="39">
        <v>13</v>
      </c>
      <c r="F44" s="40">
        <v>14</v>
      </c>
      <c r="G44" s="40">
        <v>229</v>
      </c>
      <c r="H44" s="40">
        <v>564</v>
      </c>
      <c r="I44" s="40">
        <v>1224</v>
      </c>
      <c r="J44" s="40">
        <v>2544</v>
      </c>
      <c r="K44" s="40">
        <v>4576</v>
      </c>
      <c r="L44" s="40">
        <v>9920</v>
      </c>
      <c r="M44" s="41">
        <v>21376</v>
      </c>
      <c r="N44" s="39">
        <v>13</v>
      </c>
      <c r="O44" s="40">
        <v>15</v>
      </c>
      <c r="P44" s="40">
        <v>16</v>
      </c>
      <c r="Q44" s="40">
        <v>450</v>
      </c>
      <c r="R44" s="40">
        <v>1020</v>
      </c>
      <c r="S44" s="40">
        <v>2128</v>
      </c>
      <c r="T44" s="40">
        <v>3408</v>
      </c>
      <c r="U44" s="40">
        <v>7200</v>
      </c>
      <c r="V44" s="41">
        <v>15296</v>
      </c>
    </row>
    <row r="45" spans="2:22" ht="15" customHeight="1">
      <c r="B45" s="93"/>
      <c r="C45" s="96"/>
      <c r="D45" s="5">
        <v>0.75</v>
      </c>
      <c r="E45" s="39">
        <v>13</v>
      </c>
      <c r="F45" s="40">
        <v>163</v>
      </c>
      <c r="G45" s="40">
        <v>330</v>
      </c>
      <c r="H45" s="40">
        <v>660</v>
      </c>
      <c r="I45" s="40">
        <v>1320</v>
      </c>
      <c r="J45" s="40">
        <v>2640</v>
      </c>
      <c r="K45" s="40">
        <v>4832</v>
      </c>
      <c r="L45" s="40">
        <v>9792</v>
      </c>
      <c r="M45" s="41">
        <v>21376</v>
      </c>
      <c r="N45" s="39">
        <v>13</v>
      </c>
      <c r="O45" s="40">
        <v>118</v>
      </c>
      <c r="P45" s="40">
        <v>274</v>
      </c>
      <c r="Q45" s="40">
        <v>548</v>
      </c>
      <c r="R45" s="40">
        <v>1080</v>
      </c>
      <c r="S45" s="40">
        <v>2192</v>
      </c>
      <c r="T45" s="40">
        <v>4192</v>
      </c>
      <c r="U45" s="40">
        <v>8256</v>
      </c>
      <c r="V45" s="41">
        <v>19072</v>
      </c>
    </row>
    <row r="46" spans="2:22" ht="15" customHeight="1" thickBot="1">
      <c r="B46" s="93"/>
      <c r="C46" s="97"/>
      <c r="D46" s="6">
        <v>1</v>
      </c>
      <c r="E46" s="42">
        <v>82</v>
      </c>
      <c r="F46" s="43">
        <v>165</v>
      </c>
      <c r="G46" s="43">
        <v>330</v>
      </c>
      <c r="H46" s="43">
        <v>660</v>
      </c>
      <c r="I46" s="43">
        <v>1320</v>
      </c>
      <c r="J46" s="43">
        <v>2640</v>
      </c>
      <c r="K46" s="43">
        <v>4128</v>
      </c>
      <c r="L46" s="43">
        <v>7520</v>
      </c>
      <c r="M46" s="44">
        <v>16768</v>
      </c>
      <c r="N46" s="42">
        <v>43</v>
      </c>
      <c r="O46" s="43">
        <v>87</v>
      </c>
      <c r="P46" s="43">
        <v>175</v>
      </c>
      <c r="Q46" s="43">
        <v>350</v>
      </c>
      <c r="R46" s="43">
        <v>700</v>
      </c>
      <c r="S46" s="43">
        <v>1400</v>
      </c>
      <c r="T46" s="43">
        <v>2832</v>
      </c>
      <c r="U46" s="43">
        <v>5664</v>
      </c>
      <c r="V46" s="44">
        <v>11456</v>
      </c>
    </row>
    <row r="47" spans="2:22" ht="15" customHeight="1">
      <c r="B47" s="93"/>
      <c r="C47" s="98" t="s">
        <v>7</v>
      </c>
      <c r="D47" s="4">
        <v>0.25</v>
      </c>
      <c r="E47" s="36">
        <v>17</v>
      </c>
      <c r="F47" s="37">
        <v>18</v>
      </c>
      <c r="G47" s="37">
        <v>20</v>
      </c>
      <c r="H47" s="37">
        <v>20</v>
      </c>
      <c r="I47" s="37">
        <v>21</v>
      </c>
      <c r="J47" s="37">
        <v>21</v>
      </c>
      <c r="K47" s="37">
        <v>31</v>
      </c>
      <c r="L47" s="37">
        <v>6112</v>
      </c>
      <c r="M47" s="38">
        <v>17536</v>
      </c>
      <c r="N47" s="36">
        <v>24</v>
      </c>
      <c r="O47" s="37">
        <v>19</v>
      </c>
      <c r="P47" s="37">
        <v>21</v>
      </c>
      <c r="Q47" s="37">
        <v>26</v>
      </c>
      <c r="R47" s="37">
        <v>25</v>
      </c>
      <c r="S47" s="37">
        <v>26</v>
      </c>
      <c r="T47" s="37">
        <v>27</v>
      </c>
      <c r="U47" s="37">
        <v>4960</v>
      </c>
      <c r="V47" s="38">
        <v>14272</v>
      </c>
    </row>
    <row r="48" spans="2:22" ht="15" customHeight="1">
      <c r="B48" s="93"/>
      <c r="C48" s="96"/>
      <c r="D48" s="5">
        <v>0.5</v>
      </c>
      <c r="E48" s="39">
        <v>18</v>
      </c>
      <c r="F48" s="40">
        <v>19</v>
      </c>
      <c r="G48" s="40">
        <v>306</v>
      </c>
      <c r="H48" s="40">
        <v>644</v>
      </c>
      <c r="I48" s="40">
        <v>1304</v>
      </c>
      <c r="J48" s="40">
        <v>2608</v>
      </c>
      <c r="K48" s="40">
        <v>4640</v>
      </c>
      <c r="L48" s="40">
        <v>12480</v>
      </c>
      <c r="M48" s="41">
        <v>27008</v>
      </c>
      <c r="N48" s="39">
        <v>25</v>
      </c>
      <c r="O48" s="40">
        <v>20</v>
      </c>
      <c r="P48" s="40">
        <v>21</v>
      </c>
      <c r="Q48" s="40">
        <v>524</v>
      </c>
      <c r="R48" s="40">
        <v>1080</v>
      </c>
      <c r="S48" s="40">
        <v>2192</v>
      </c>
      <c r="T48" s="40">
        <v>4192</v>
      </c>
      <c r="U48" s="40">
        <v>9536</v>
      </c>
      <c r="V48" s="41">
        <v>21120</v>
      </c>
    </row>
    <row r="49" spans="2:22" ht="15" customHeight="1">
      <c r="B49" s="93"/>
      <c r="C49" s="96"/>
      <c r="D49" s="5">
        <v>0.75</v>
      </c>
      <c r="E49" s="39">
        <v>18</v>
      </c>
      <c r="F49" s="40">
        <v>167</v>
      </c>
      <c r="G49" s="40">
        <v>1912</v>
      </c>
      <c r="H49" s="40">
        <v>668</v>
      </c>
      <c r="I49" s="40">
        <v>1336</v>
      </c>
      <c r="J49" s="40">
        <v>2672</v>
      </c>
      <c r="K49" s="40">
        <v>5280</v>
      </c>
      <c r="L49" s="40">
        <v>13248</v>
      </c>
      <c r="M49" s="41">
        <v>30848</v>
      </c>
      <c r="N49" s="39">
        <v>28</v>
      </c>
      <c r="O49" s="40">
        <v>137</v>
      </c>
      <c r="P49" s="40">
        <v>274</v>
      </c>
      <c r="Q49" s="40">
        <v>548</v>
      </c>
      <c r="R49" s="40">
        <v>1096</v>
      </c>
      <c r="S49" s="40">
        <v>2224</v>
      </c>
      <c r="T49" s="40">
        <v>4384</v>
      </c>
      <c r="U49" s="40">
        <v>11712</v>
      </c>
      <c r="V49" s="41">
        <v>26496</v>
      </c>
    </row>
    <row r="50" spans="2:22" ht="15" customHeight="1" thickBot="1">
      <c r="B50" s="93"/>
      <c r="C50" s="97"/>
      <c r="D50" s="6">
        <v>1</v>
      </c>
      <c r="E50" s="42">
        <v>84</v>
      </c>
      <c r="F50" s="43">
        <v>169</v>
      </c>
      <c r="G50" s="43">
        <v>334</v>
      </c>
      <c r="H50" s="43">
        <v>668</v>
      </c>
      <c r="I50" s="43">
        <v>1320</v>
      </c>
      <c r="J50" s="43">
        <v>2672</v>
      </c>
      <c r="K50" s="43">
        <v>5280</v>
      </c>
      <c r="L50" s="43">
        <v>10560</v>
      </c>
      <c r="M50" s="44">
        <v>23424</v>
      </c>
      <c r="N50" s="42">
        <v>45</v>
      </c>
      <c r="O50" s="43">
        <v>89</v>
      </c>
      <c r="P50" s="43">
        <v>177</v>
      </c>
      <c r="Q50" s="43">
        <v>354</v>
      </c>
      <c r="R50" s="43">
        <v>708</v>
      </c>
      <c r="S50" s="43">
        <v>1416</v>
      </c>
      <c r="T50" s="43">
        <v>2832</v>
      </c>
      <c r="U50" s="43">
        <v>6432</v>
      </c>
      <c r="V50" s="44">
        <v>16320</v>
      </c>
    </row>
    <row r="51" spans="2:22" ht="15" customHeight="1">
      <c r="B51" s="93"/>
      <c r="C51" s="98" t="s">
        <v>8</v>
      </c>
      <c r="D51" s="4">
        <v>0.25</v>
      </c>
      <c r="E51" s="24">
        <v>16088</v>
      </c>
      <c r="F51" s="25">
        <v>27145</v>
      </c>
      <c r="G51" s="25">
        <v>38361</v>
      </c>
      <c r="H51" s="25">
        <v>44321</v>
      </c>
      <c r="I51" s="25">
        <v>44410</v>
      </c>
      <c r="J51" s="25">
        <v>44334</v>
      </c>
      <c r="K51" s="25">
        <v>44373</v>
      </c>
      <c r="L51" s="25">
        <v>44393</v>
      </c>
      <c r="M51" s="26">
        <v>44344</v>
      </c>
      <c r="N51" s="24">
        <v>16754</v>
      </c>
      <c r="O51" s="25">
        <v>29591</v>
      </c>
      <c r="P51" s="25">
        <v>46077</v>
      </c>
      <c r="Q51" s="25">
        <v>59475</v>
      </c>
      <c r="R51" s="25">
        <v>59822</v>
      </c>
      <c r="S51" s="25">
        <v>59959</v>
      </c>
      <c r="T51" s="25">
        <v>60007</v>
      </c>
      <c r="U51" s="25">
        <v>59985</v>
      </c>
      <c r="V51" s="26">
        <v>60014</v>
      </c>
    </row>
    <row r="52" spans="2:22" ht="15" customHeight="1">
      <c r="B52" s="93"/>
      <c r="C52" s="96"/>
      <c r="D52" s="5">
        <v>0.5</v>
      </c>
      <c r="E52" s="27">
        <v>37103</v>
      </c>
      <c r="F52" s="28">
        <v>54744</v>
      </c>
      <c r="G52" s="28">
        <v>64326</v>
      </c>
      <c r="H52" s="28">
        <v>64327</v>
      </c>
      <c r="I52" s="28">
        <v>64325</v>
      </c>
      <c r="J52" s="28">
        <v>64330</v>
      </c>
      <c r="K52" s="28">
        <v>64309</v>
      </c>
      <c r="L52" s="28">
        <v>64302</v>
      </c>
      <c r="M52" s="29">
        <v>64328</v>
      </c>
      <c r="N52" s="27">
        <v>39312</v>
      </c>
      <c r="O52" s="28">
        <v>61672</v>
      </c>
      <c r="P52" s="28">
        <v>81456</v>
      </c>
      <c r="Q52" s="28">
        <v>81149</v>
      </c>
      <c r="R52" s="28">
        <v>81357</v>
      </c>
      <c r="S52" s="28">
        <v>81493</v>
      </c>
      <c r="T52" s="28">
        <v>81068</v>
      </c>
      <c r="U52" s="28">
        <v>81116</v>
      </c>
      <c r="V52" s="29">
        <v>81090</v>
      </c>
    </row>
    <row r="53" spans="2:22" ht="15" customHeight="1">
      <c r="B53" s="93"/>
      <c r="C53" s="96"/>
      <c r="D53" s="5">
        <v>0.75</v>
      </c>
      <c r="E53" s="27">
        <v>69010</v>
      </c>
      <c r="F53" s="28">
        <v>79099</v>
      </c>
      <c r="G53" s="28">
        <v>76820</v>
      </c>
      <c r="H53" s="28">
        <v>78202</v>
      </c>
      <c r="I53" s="28">
        <v>77589</v>
      </c>
      <c r="J53" s="28">
        <v>78070</v>
      </c>
      <c r="K53" s="28">
        <v>79283</v>
      </c>
      <c r="L53" s="28">
        <v>79029</v>
      </c>
      <c r="M53" s="29">
        <v>79047</v>
      </c>
      <c r="N53" s="27">
        <v>72606</v>
      </c>
      <c r="O53" s="28">
        <v>96152</v>
      </c>
      <c r="P53" s="28">
        <v>95826</v>
      </c>
      <c r="Q53" s="28">
        <v>95966</v>
      </c>
      <c r="R53" s="28">
        <v>95907</v>
      </c>
      <c r="S53" s="28">
        <v>95933</v>
      </c>
      <c r="T53" s="28">
        <v>95405</v>
      </c>
      <c r="U53" s="28">
        <v>95462</v>
      </c>
      <c r="V53" s="29">
        <v>95536</v>
      </c>
    </row>
    <row r="54" spans="2:22" ht="15" customHeight="1" thickBot="1">
      <c r="B54" s="94"/>
      <c r="C54" s="97"/>
      <c r="D54" s="6">
        <v>1</v>
      </c>
      <c r="E54" s="30">
        <v>92240</v>
      </c>
      <c r="F54" s="31">
        <v>92232</v>
      </c>
      <c r="G54" s="31">
        <v>92224</v>
      </c>
      <c r="H54" s="31">
        <v>92108</v>
      </c>
      <c r="I54" s="31">
        <v>92265</v>
      </c>
      <c r="J54" s="31">
        <v>92138</v>
      </c>
      <c r="K54" s="31">
        <v>92275</v>
      </c>
      <c r="L54" s="31">
        <v>92167</v>
      </c>
      <c r="M54" s="32">
        <v>92253</v>
      </c>
      <c r="N54" s="30">
        <v>90886</v>
      </c>
      <c r="O54" s="31">
        <v>90886</v>
      </c>
      <c r="P54" s="31">
        <v>90886</v>
      </c>
      <c r="Q54" s="31">
        <v>90886</v>
      </c>
      <c r="R54" s="31">
        <v>90886</v>
      </c>
      <c r="S54" s="31">
        <v>90886</v>
      </c>
      <c r="T54" s="31">
        <v>90886</v>
      </c>
      <c r="U54" s="31">
        <v>90886</v>
      </c>
      <c r="V54" s="32">
        <v>90885</v>
      </c>
    </row>
  </sheetData>
  <mergeCells count="36">
    <mergeCell ref="AJ2:AR2"/>
    <mergeCell ref="B4:B15"/>
    <mergeCell ref="C4:C7"/>
    <mergeCell ref="X4:X15"/>
    <mergeCell ref="Y4:Y7"/>
    <mergeCell ref="C8:C11"/>
    <mergeCell ref="Y8:Y11"/>
    <mergeCell ref="C12:C15"/>
    <mergeCell ref="Y12:Y15"/>
    <mergeCell ref="B2:D3"/>
    <mergeCell ref="E2:M2"/>
    <mergeCell ref="N2:V2"/>
    <mergeCell ref="X2:Z3"/>
    <mergeCell ref="AA2:AI2"/>
    <mergeCell ref="B16:B27"/>
    <mergeCell ref="C16:C19"/>
    <mergeCell ref="X16:X27"/>
    <mergeCell ref="Y16:Y19"/>
    <mergeCell ref="C20:C23"/>
    <mergeCell ref="Y20:Y23"/>
    <mergeCell ref="C24:C27"/>
    <mergeCell ref="Y24:Y27"/>
    <mergeCell ref="E29:M29"/>
    <mergeCell ref="N29:V29"/>
    <mergeCell ref="Z31:AD31"/>
    <mergeCell ref="C35:C38"/>
    <mergeCell ref="C39:C42"/>
    <mergeCell ref="Z29:AD29"/>
    <mergeCell ref="Z30:AD30"/>
    <mergeCell ref="B29:D30"/>
    <mergeCell ref="B43:B54"/>
    <mergeCell ref="C43:C46"/>
    <mergeCell ref="C47:C50"/>
    <mergeCell ref="C51:C54"/>
    <mergeCell ref="B31:B42"/>
    <mergeCell ref="C31:C34"/>
  </mergeCells>
  <phoneticPr fontId="1" type="noConversion"/>
  <conditionalFormatting sqref="Y29">
    <cfRule type="cellIs" dxfId="186" priority="43" operator="lessThan">
      <formula>0.8</formula>
    </cfRule>
  </conditionalFormatting>
  <conditionalFormatting sqref="Y30:Y31">
    <cfRule type="cellIs" dxfId="185" priority="42" operator="lessThan">
      <formula>0.8</formula>
    </cfRule>
  </conditionalFormatting>
  <conditionalFormatting sqref="AQ16:AR23 AQ4:AR11 AJ4:AO11 AJ16:AO23">
    <cfRule type="cellIs" dxfId="184" priority="33" operator="greaterThan">
      <formula>1.1</formula>
    </cfRule>
    <cfRule type="cellIs" dxfId="183" priority="34" operator="lessThan">
      <formula>0.9</formula>
    </cfRule>
  </conditionalFormatting>
  <conditionalFormatting sqref="AQ24:AR27 AQ12:AR15 AJ12:AO15 AJ24:AO27">
    <cfRule type="cellIs" dxfId="182" priority="31" operator="lessThan">
      <formula>0.9</formula>
    </cfRule>
    <cfRule type="cellIs" dxfId="181" priority="32" operator="greaterThan">
      <formula>1.1</formula>
    </cfRule>
  </conditionalFormatting>
  <conditionalFormatting sqref="AQ4:AR27 AJ4:AO27">
    <cfRule type="cellIs" dxfId="180" priority="30" operator="greaterThan">
      <formula>10</formula>
    </cfRule>
  </conditionalFormatting>
  <conditionalFormatting sqref="AP16:AP23 AP4:AP11">
    <cfRule type="cellIs" dxfId="179" priority="28" operator="greaterThan">
      <formula>1.1</formula>
    </cfRule>
    <cfRule type="cellIs" dxfId="178" priority="29" operator="lessThan">
      <formula>0.9</formula>
    </cfRule>
  </conditionalFormatting>
  <conditionalFormatting sqref="AP24:AP27 AP12:AP15">
    <cfRule type="cellIs" dxfId="177" priority="26" operator="lessThan">
      <formula>0.9</formula>
    </cfRule>
    <cfRule type="cellIs" dxfId="176" priority="27" operator="greaterThan">
      <formula>1.1</formula>
    </cfRule>
  </conditionalFormatting>
  <conditionalFormatting sqref="AP4:AP27">
    <cfRule type="cellIs" dxfId="175" priority="25" operator="greaterThan">
      <formula>10</formula>
    </cfRule>
  </conditionalFormatting>
  <conditionalFormatting sqref="AH16:AI23 AH4:AI11 AA4:AF11 AA16:AF19 AA21:AF21 AA20 AC20:AF20 AA23:AF23 AB22:AF22">
    <cfRule type="cellIs" dxfId="174" priority="23" operator="greaterThan">
      <formula>1.1</formula>
    </cfRule>
    <cfRule type="cellIs" dxfId="173" priority="24" operator="lessThan">
      <formula>0.9</formula>
    </cfRule>
  </conditionalFormatting>
  <conditionalFormatting sqref="AH24:AI27 AH12:AI15 AA12:AF15 AA24:AF27">
    <cfRule type="cellIs" dxfId="172" priority="21" operator="lessThan">
      <formula>0.9</formula>
    </cfRule>
    <cfRule type="cellIs" dxfId="171" priority="22" operator="greaterThan">
      <formula>1.1</formula>
    </cfRule>
  </conditionalFormatting>
  <conditionalFormatting sqref="AH4:AI27 AA4:AF19 AA21:AF21 AA20 AC20:AF20 AA23:AF27 AB22:AF22">
    <cfRule type="cellIs" dxfId="170" priority="20" operator="greaterThan">
      <formula>10</formula>
    </cfRule>
  </conditionalFormatting>
  <conditionalFormatting sqref="AG16:AG23 AG4:AG11">
    <cfRule type="cellIs" dxfId="169" priority="18" operator="greaterThan">
      <formula>1.1</formula>
    </cfRule>
    <cfRule type="cellIs" dxfId="168" priority="19" operator="lessThan">
      <formula>0.9</formula>
    </cfRule>
  </conditionalFormatting>
  <conditionalFormatting sqref="AG24:AG27 AG12:AG15">
    <cfRule type="cellIs" dxfId="167" priority="16" operator="lessThan">
      <formula>0.9</formula>
    </cfRule>
    <cfRule type="cellIs" dxfId="166" priority="17" operator="greaterThan">
      <formula>1.1</formula>
    </cfRule>
  </conditionalFormatting>
  <conditionalFormatting sqref="AG4:AG27">
    <cfRule type="cellIs" dxfId="165" priority="15" operator="greaterThan">
      <formula>10</formula>
    </cfRule>
  </conditionalFormatting>
  <conditionalFormatting sqref="T16:T23">
    <cfRule type="expression" dxfId="164" priority="13">
      <formula>AO16&gt;1.1</formula>
    </cfRule>
  </conditionalFormatting>
  <conditionalFormatting sqref="U16:V23 N16:S23 E16:J19 E23:J23 F22:J22 E21:J21 E20 G20:J20">
    <cfRule type="expression" dxfId="163" priority="14">
      <formula>AA16&gt;1.1</formula>
    </cfRule>
  </conditionalFormatting>
  <conditionalFormatting sqref="K16:K23">
    <cfRule type="expression" dxfId="162" priority="11">
      <formula>AF16&gt;1.1</formula>
    </cfRule>
  </conditionalFormatting>
  <conditionalFormatting sqref="L16:M23">
    <cfRule type="expression" dxfId="161" priority="12">
      <formula>AH16&gt;1.1</formula>
    </cfRule>
  </conditionalFormatting>
  <conditionalFormatting sqref="N31:V38 N43:V50 E43:M45 E50:M50 F49:M49 E48:M48 E46:E47 G46:M47">
    <cfRule type="expression" dxfId="160" priority="10">
      <formula>AA4&gt;1.1</formula>
    </cfRule>
  </conditionalFormatting>
  <conditionalFormatting sqref="E31:M38">
    <cfRule type="expression" dxfId="159" priority="9">
      <formula>AA4&gt;1.1</formula>
    </cfRule>
  </conditionalFormatting>
  <conditionalFormatting sqref="N4:V11">
    <cfRule type="expression" dxfId="158" priority="8">
      <formula>AJ4&gt;1.1</formula>
    </cfRule>
  </conditionalFormatting>
  <conditionalFormatting sqref="T4:T11">
    <cfRule type="expression" dxfId="157" priority="7">
      <formula>AO4&gt;1.1</formula>
    </cfRule>
  </conditionalFormatting>
  <conditionalFormatting sqref="E4:M11">
    <cfRule type="expression" dxfId="156" priority="6">
      <formula>AA4&gt;1.1</formula>
    </cfRule>
  </conditionalFormatting>
  <conditionalFormatting sqref="K4:K11">
    <cfRule type="expression" dxfId="155" priority="5">
      <formula>AF4&gt;1.1</formula>
    </cfRule>
  </conditionalFormatting>
  <pageMargins left="0.75" right="0.75" top="1" bottom="1" header="0.5" footer="0.5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N54"/>
  <sheetViews>
    <sheetView showGridLines="0" zoomScale="70" zoomScaleNormal="70" workbookViewId="0">
      <selection activeCell="B3" sqref="B3:E8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9.69921875" style="11" customWidth="1"/>
    <col min="5" max="20" width="6.59765625" style="11" customWidth="1"/>
    <col min="21" max="21" width="3.09765625" style="11" customWidth="1"/>
    <col min="22" max="22" width="13.09765625" style="11" customWidth="1"/>
    <col min="23" max="23" width="11" style="11" bestFit="1" customWidth="1"/>
    <col min="24" max="24" width="8.09765625" style="11" customWidth="1"/>
    <col min="25" max="40" width="7.5" style="11" customWidth="1"/>
    <col min="41" max="16384" width="9" style="11"/>
  </cols>
  <sheetData>
    <row r="1" spans="2:40" ht="15" customHeight="1" thickBot="1"/>
    <row r="2" spans="2:40" ht="15" customHeight="1">
      <c r="B2" s="99" t="s">
        <v>25</v>
      </c>
      <c r="C2" s="100"/>
      <c r="D2" s="101"/>
      <c r="E2" s="83" t="s">
        <v>14</v>
      </c>
      <c r="F2" s="84"/>
      <c r="G2" s="84"/>
      <c r="H2" s="84"/>
      <c r="I2" s="84"/>
      <c r="J2" s="84"/>
      <c r="K2" s="84"/>
      <c r="L2" s="85"/>
      <c r="M2" s="83" t="s">
        <v>24</v>
      </c>
      <c r="N2" s="84"/>
      <c r="O2" s="84"/>
      <c r="P2" s="84"/>
      <c r="Q2" s="84"/>
      <c r="R2" s="84"/>
      <c r="S2" s="84"/>
      <c r="T2" s="85"/>
      <c r="V2" s="105" t="str">
        <f>CONCATENATE(B2, " vs", CHAR(10), B29)</f>
        <v>PM983a_EDW70M5Q_20200429 vs
PM9A3_GEA70F21_20201211</v>
      </c>
      <c r="W2" s="106"/>
      <c r="X2" s="106"/>
      <c r="Y2" s="83" t="s">
        <v>14</v>
      </c>
      <c r="Z2" s="84"/>
      <c r="AA2" s="84"/>
      <c r="AB2" s="84"/>
      <c r="AC2" s="84"/>
      <c r="AD2" s="84"/>
      <c r="AE2" s="84"/>
      <c r="AF2" s="85"/>
      <c r="AG2" s="83" t="s">
        <v>24</v>
      </c>
      <c r="AH2" s="84"/>
      <c r="AI2" s="84"/>
      <c r="AJ2" s="84"/>
      <c r="AK2" s="84"/>
      <c r="AL2" s="84"/>
      <c r="AM2" s="84"/>
      <c r="AN2" s="85"/>
    </row>
    <row r="3" spans="2:40" ht="20.25" customHeight="1" thickBot="1">
      <c r="B3" s="102"/>
      <c r="C3" s="103"/>
      <c r="D3" s="104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3" t="s">
        <v>17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18</v>
      </c>
      <c r="S3" s="2" t="s">
        <v>16</v>
      </c>
      <c r="T3" s="3" t="s">
        <v>17</v>
      </c>
      <c r="V3" s="107"/>
      <c r="W3" s="108"/>
      <c r="X3" s="108"/>
      <c r="Y3" s="1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18</v>
      </c>
      <c r="AE3" s="2" t="s">
        <v>16</v>
      </c>
      <c r="AF3" s="3" t="s">
        <v>17</v>
      </c>
      <c r="AG3" s="1" t="s">
        <v>0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18</v>
      </c>
      <c r="AM3" s="2" t="s">
        <v>16</v>
      </c>
      <c r="AN3" s="3" t="s">
        <v>17</v>
      </c>
    </row>
    <row r="4" spans="2:40" ht="15" customHeight="1">
      <c r="B4" s="86" t="s">
        <v>5</v>
      </c>
      <c r="C4" s="89" t="s">
        <v>6</v>
      </c>
      <c r="D4" s="4">
        <v>0.25</v>
      </c>
      <c r="E4" s="24">
        <v>548</v>
      </c>
      <c r="F4" s="25">
        <v>596</v>
      </c>
      <c r="G4" s="25">
        <v>676</v>
      </c>
      <c r="H4" s="25">
        <v>772</v>
      </c>
      <c r="I4" s="25">
        <v>852</v>
      </c>
      <c r="J4" s="25">
        <v>1032</v>
      </c>
      <c r="K4" s="25">
        <v>1432</v>
      </c>
      <c r="L4" s="26">
        <v>4320</v>
      </c>
      <c r="M4" s="24">
        <v>564</v>
      </c>
      <c r="N4" s="25">
        <v>628</v>
      </c>
      <c r="O4" s="25">
        <v>604</v>
      </c>
      <c r="P4" s="25">
        <v>612</v>
      </c>
      <c r="Q4" s="25">
        <v>684</v>
      </c>
      <c r="R4" s="25">
        <v>820</v>
      </c>
      <c r="S4" s="25">
        <v>1144</v>
      </c>
      <c r="T4" s="26">
        <v>3664</v>
      </c>
      <c r="V4" s="92" t="s">
        <v>5</v>
      </c>
      <c r="W4" s="95" t="s">
        <v>6</v>
      </c>
      <c r="X4" s="7">
        <v>0.25</v>
      </c>
      <c r="Y4" s="15">
        <f t="shared" ref="Y4:AN19" si="0">E31/E4</f>
        <v>0.48540145985401462</v>
      </c>
      <c r="Z4" s="16">
        <f t="shared" si="0"/>
        <v>0.52684563758389258</v>
      </c>
      <c r="AA4" s="16">
        <f t="shared" si="0"/>
        <v>0.57100591715976334</v>
      </c>
      <c r="AB4" s="16">
        <f t="shared" si="0"/>
        <v>0.55181347150259064</v>
      </c>
      <c r="AC4" s="16">
        <f t="shared" si="0"/>
        <v>0.54225352112676062</v>
      </c>
      <c r="AD4" s="16">
        <f t="shared" si="0"/>
        <v>0.5</v>
      </c>
      <c r="AE4" s="16">
        <f t="shared" si="0"/>
        <v>0.37709497206703912</v>
      </c>
      <c r="AF4" s="17">
        <f t="shared" si="0"/>
        <v>0.10231481481481482</v>
      </c>
      <c r="AG4" s="15">
        <f t="shared" si="0"/>
        <v>0.58510638297872342</v>
      </c>
      <c r="AH4" s="16">
        <f t="shared" si="0"/>
        <v>0.64012738853503182</v>
      </c>
      <c r="AI4" s="16">
        <f t="shared" si="0"/>
        <v>0.82450331125827814</v>
      </c>
      <c r="AJ4" s="16">
        <f t="shared" si="0"/>
        <v>0.92156862745098034</v>
      </c>
      <c r="AK4" s="16">
        <f t="shared" si="0"/>
        <v>0.89473684210526316</v>
      </c>
      <c r="AL4" s="16">
        <f t="shared" si="0"/>
        <v>0.80487804878048785</v>
      </c>
      <c r="AM4" s="16">
        <f t="shared" si="0"/>
        <v>0.59090909090909094</v>
      </c>
      <c r="AN4" s="17">
        <f t="shared" si="0"/>
        <v>0.17139737991266377</v>
      </c>
    </row>
    <row r="5" spans="2:40" ht="15" customHeight="1">
      <c r="B5" s="87"/>
      <c r="C5" s="90"/>
      <c r="D5" s="5">
        <v>0.5</v>
      </c>
      <c r="E5" s="27">
        <v>430</v>
      </c>
      <c r="F5" s="28">
        <v>506</v>
      </c>
      <c r="G5" s="28">
        <v>580</v>
      </c>
      <c r="H5" s="28">
        <v>636</v>
      </c>
      <c r="I5" s="28">
        <v>764</v>
      </c>
      <c r="J5" s="28">
        <v>932</v>
      </c>
      <c r="K5" s="28">
        <v>1400</v>
      </c>
      <c r="L5" s="29">
        <v>3760</v>
      </c>
      <c r="M5" s="27">
        <v>314</v>
      </c>
      <c r="N5" s="28">
        <v>494</v>
      </c>
      <c r="O5" s="28">
        <v>572</v>
      </c>
      <c r="P5" s="28">
        <v>580</v>
      </c>
      <c r="Q5" s="28">
        <v>612</v>
      </c>
      <c r="R5" s="28">
        <v>724</v>
      </c>
      <c r="S5" s="28">
        <v>1080</v>
      </c>
      <c r="T5" s="29">
        <v>3088</v>
      </c>
      <c r="V5" s="93"/>
      <c r="W5" s="96"/>
      <c r="X5" s="5">
        <v>0.5</v>
      </c>
      <c r="Y5" s="18">
        <f t="shared" si="0"/>
        <v>0.49534883720930234</v>
      </c>
      <c r="Z5" s="12">
        <f t="shared" si="0"/>
        <v>0.51778656126482214</v>
      </c>
      <c r="AA5" s="12">
        <f t="shared" si="0"/>
        <v>0.53448275862068961</v>
      </c>
      <c r="AB5" s="12">
        <f t="shared" si="0"/>
        <v>0.60062893081761004</v>
      </c>
      <c r="AC5" s="12">
        <f t="shared" si="0"/>
        <v>0.61518324607329844</v>
      </c>
      <c r="AD5" s="12">
        <f t="shared" si="0"/>
        <v>0.67381974248927035</v>
      </c>
      <c r="AE5" s="12">
        <f t="shared" si="0"/>
        <v>0.67714285714285716</v>
      </c>
      <c r="AF5" s="19">
        <f t="shared" si="0"/>
        <v>0.69361702127659575</v>
      </c>
      <c r="AG5" s="18">
        <f t="shared" si="0"/>
        <v>0.67834394904458595</v>
      </c>
      <c r="AH5" s="12">
        <f t="shared" si="0"/>
        <v>0.61133603238866396</v>
      </c>
      <c r="AI5" s="12">
        <f t="shared" si="0"/>
        <v>0.64685314685314688</v>
      </c>
      <c r="AJ5" s="12">
        <f t="shared" si="0"/>
        <v>0.80344827586206902</v>
      </c>
      <c r="AK5" s="12">
        <f t="shared" si="0"/>
        <v>0.934640522875817</v>
      </c>
      <c r="AL5" s="12">
        <f t="shared" si="0"/>
        <v>1.0994475138121547</v>
      </c>
      <c r="AM5" s="12">
        <f t="shared" si="0"/>
        <v>0.97037037037037033</v>
      </c>
      <c r="AN5" s="19">
        <f t="shared" si="0"/>
        <v>0.25777202072538863</v>
      </c>
    </row>
    <row r="6" spans="2:40" ht="15" customHeight="1">
      <c r="B6" s="87"/>
      <c r="C6" s="90"/>
      <c r="D6" s="5">
        <v>0.75</v>
      </c>
      <c r="E6" s="27">
        <v>290</v>
      </c>
      <c r="F6" s="28">
        <v>374</v>
      </c>
      <c r="G6" s="28">
        <v>442</v>
      </c>
      <c r="H6" s="28">
        <v>516</v>
      </c>
      <c r="I6" s="28">
        <v>588</v>
      </c>
      <c r="J6" s="28">
        <v>772</v>
      </c>
      <c r="K6" s="28">
        <v>1032</v>
      </c>
      <c r="L6" s="29">
        <v>2768</v>
      </c>
      <c r="M6" s="27">
        <v>189</v>
      </c>
      <c r="N6" s="28">
        <v>282</v>
      </c>
      <c r="O6" s="28">
        <v>426</v>
      </c>
      <c r="P6" s="28">
        <v>524</v>
      </c>
      <c r="Q6" s="28">
        <v>572</v>
      </c>
      <c r="R6" s="28">
        <v>596</v>
      </c>
      <c r="S6" s="28">
        <v>788</v>
      </c>
      <c r="T6" s="29">
        <v>2224</v>
      </c>
      <c r="V6" s="93"/>
      <c r="W6" s="96"/>
      <c r="X6" s="5">
        <v>0.75</v>
      </c>
      <c r="Y6" s="18">
        <f t="shared" si="0"/>
        <v>0.42758620689655175</v>
      </c>
      <c r="Z6" s="12">
        <f t="shared" si="0"/>
        <v>0.5267379679144385</v>
      </c>
      <c r="AA6" s="12">
        <f t="shared" si="0"/>
        <v>0.58371040723981904</v>
      </c>
      <c r="AB6" s="12">
        <f t="shared" si="0"/>
        <v>0.61627906976744184</v>
      </c>
      <c r="AC6" s="12">
        <f t="shared" si="0"/>
        <v>0.6768707482993197</v>
      </c>
      <c r="AD6" s="12">
        <f t="shared" si="0"/>
        <v>0.69948186528497414</v>
      </c>
      <c r="AE6" s="12">
        <f t="shared" si="0"/>
        <v>0.78682170542635654</v>
      </c>
      <c r="AF6" s="19">
        <f t="shared" si="0"/>
        <v>0.86127167630057799</v>
      </c>
      <c r="AG6" s="18">
        <f t="shared" si="0"/>
        <v>0.58730158730158732</v>
      </c>
      <c r="AH6" s="12">
        <f t="shared" si="0"/>
        <v>0.62765957446808507</v>
      </c>
      <c r="AI6" s="12">
        <f t="shared" si="0"/>
        <v>0.63380281690140849</v>
      </c>
      <c r="AJ6" s="12">
        <f t="shared" si="0"/>
        <v>0.66030534351145043</v>
      </c>
      <c r="AK6" s="12">
        <f t="shared" si="0"/>
        <v>0.77972027972027969</v>
      </c>
      <c r="AL6" s="12">
        <f t="shared" si="0"/>
        <v>0.98657718120805371</v>
      </c>
      <c r="AM6" s="12">
        <f t="shared" si="0"/>
        <v>1.0710659898477157</v>
      </c>
      <c r="AN6" s="19">
        <f t="shared" si="0"/>
        <v>0.95683453237410077</v>
      </c>
    </row>
    <row r="7" spans="2:40" ht="15" customHeight="1" thickBot="1">
      <c r="B7" s="87"/>
      <c r="C7" s="91"/>
      <c r="D7" s="6">
        <v>1</v>
      </c>
      <c r="E7" s="30">
        <v>88</v>
      </c>
      <c r="F7" s="31">
        <v>106</v>
      </c>
      <c r="G7" s="31">
        <v>127</v>
      </c>
      <c r="H7" s="31">
        <v>147</v>
      </c>
      <c r="I7" s="31">
        <v>191</v>
      </c>
      <c r="J7" s="31">
        <v>286</v>
      </c>
      <c r="K7" s="31">
        <v>506</v>
      </c>
      <c r="L7" s="32">
        <v>1400</v>
      </c>
      <c r="M7" s="30">
        <v>87</v>
      </c>
      <c r="N7" s="31">
        <v>90</v>
      </c>
      <c r="O7" s="31">
        <v>115</v>
      </c>
      <c r="P7" s="31">
        <v>131</v>
      </c>
      <c r="Q7" s="31">
        <v>155</v>
      </c>
      <c r="R7" s="31">
        <v>203</v>
      </c>
      <c r="S7" s="31">
        <v>310</v>
      </c>
      <c r="T7" s="32">
        <v>708</v>
      </c>
      <c r="V7" s="93"/>
      <c r="W7" s="97"/>
      <c r="X7" s="6">
        <v>1</v>
      </c>
      <c r="Y7" s="20">
        <f t="shared" si="0"/>
        <v>0.78409090909090906</v>
      </c>
      <c r="Z7" s="21">
        <f t="shared" si="0"/>
        <v>0.839622641509434</v>
      </c>
      <c r="AA7" s="21">
        <f t="shared" si="0"/>
        <v>0.82677165354330706</v>
      </c>
      <c r="AB7" s="21">
        <f t="shared" si="0"/>
        <v>0.81632653061224492</v>
      </c>
      <c r="AC7" s="21">
        <f t="shared" si="0"/>
        <v>0.83246073298429324</v>
      </c>
      <c r="AD7" s="21">
        <f t="shared" si="0"/>
        <v>0.84265734265734271</v>
      </c>
      <c r="AE7" s="21">
        <f t="shared" si="0"/>
        <v>0.88142292490118579</v>
      </c>
      <c r="AF7" s="22">
        <f t="shared" si="0"/>
        <v>0.72857142857142854</v>
      </c>
      <c r="AG7" s="20">
        <f t="shared" si="0"/>
        <v>0.7816091954022989</v>
      </c>
      <c r="AH7" s="21">
        <f t="shared" si="0"/>
        <v>0.8</v>
      </c>
      <c r="AI7" s="21">
        <f t="shared" si="0"/>
        <v>0.84347826086956523</v>
      </c>
      <c r="AJ7" s="21">
        <f t="shared" si="0"/>
        <v>0.82442748091603058</v>
      </c>
      <c r="AK7" s="21">
        <f t="shared" si="0"/>
        <v>0.80645161290322576</v>
      </c>
      <c r="AL7" s="21">
        <f t="shared" si="0"/>
        <v>0.81280788177339902</v>
      </c>
      <c r="AM7" s="21">
        <f t="shared" si="0"/>
        <v>0.7709677419354839</v>
      </c>
      <c r="AN7" s="22">
        <f t="shared" si="0"/>
        <v>0.83050847457627119</v>
      </c>
    </row>
    <row r="8" spans="2:40" ht="15" customHeight="1">
      <c r="B8" s="87"/>
      <c r="C8" s="89" t="s">
        <v>7</v>
      </c>
      <c r="D8" s="4">
        <v>0.25</v>
      </c>
      <c r="E8" s="24">
        <v>892</v>
      </c>
      <c r="F8" s="25">
        <v>980</v>
      </c>
      <c r="G8" s="25">
        <v>1288</v>
      </c>
      <c r="H8" s="25">
        <v>1720</v>
      </c>
      <c r="I8" s="25">
        <v>1816</v>
      </c>
      <c r="J8" s="25">
        <v>1960</v>
      </c>
      <c r="K8" s="25">
        <v>2320</v>
      </c>
      <c r="L8" s="26">
        <v>5280</v>
      </c>
      <c r="M8" s="24">
        <v>980</v>
      </c>
      <c r="N8" s="25">
        <v>1020</v>
      </c>
      <c r="O8" s="25">
        <v>1064</v>
      </c>
      <c r="P8" s="25">
        <v>1112</v>
      </c>
      <c r="Q8" s="25">
        <v>1176</v>
      </c>
      <c r="R8" s="25">
        <v>1336</v>
      </c>
      <c r="S8" s="25">
        <v>1656</v>
      </c>
      <c r="T8" s="26">
        <v>4256</v>
      </c>
      <c r="V8" s="93"/>
      <c r="W8" s="98" t="s">
        <v>7</v>
      </c>
      <c r="X8" s="4">
        <v>0.25</v>
      </c>
      <c r="Y8" s="15">
        <f t="shared" si="0"/>
        <v>0.63228699551569512</v>
      </c>
      <c r="Z8" s="16">
        <f t="shared" si="0"/>
        <v>0.8693877551020408</v>
      </c>
      <c r="AA8" s="16">
        <f t="shared" si="0"/>
        <v>0.68633540372670809</v>
      </c>
      <c r="AB8" s="16">
        <f t="shared" si="0"/>
        <v>0.53720930232558139</v>
      </c>
      <c r="AC8" s="16">
        <f t="shared" si="0"/>
        <v>0.52643171806167399</v>
      </c>
      <c r="AD8" s="16">
        <f t="shared" si="0"/>
        <v>0.50408163265306127</v>
      </c>
      <c r="AE8" s="16">
        <f t="shared" si="0"/>
        <v>0.4517241379310345</v>
      </c>
      <c r="AF8" s="17">
        <f t="shared" si="0"/>
        <v>0.18257575757575759</v>
      </c>
      <c r="AG8" s="15">
        <f t="shared" si="0"/>
        <v>0.76326530612244903</v>
      </c>
      <c r="AH8" s="16">
        <f t="shared" si="0"/>
        <v>0.81960784313725488</v>
      </c>
      <c r="AI8" s="16">
        <f t="shared" si="0"/>
        <v>0.83834586466165417</v>
      </c>
      <c r="AJ8" s="16">
        <f t="shared" si="0"/>
        <v>0.85971223021582732</v>
      </c>
      <c r="AK8" s="16">
        <f t="shared" si="0"/>
        <v>0.8537414965986394</v>
      </c>
      <c r="AL8" s="16">
        <f t="shared" si="0"/>
        <v>0.82035928143712578</v>
      </c>
      <c r="AM8" s="16">
        <f t="shared" si="0"/>
        <v>0.72946859903381644</v>
      </c>
      <c r="AN8" s="17">
        <f t="shared" si="0"/>
        <v>0.2424812030075188</v>
      </c>
    </row>
    <row r="9" spans="2:40" ht="15" customHeight="1">
      <c r="B9" s="87"/>
      <c r="C9" s="90"/>
      <c r="D9" s="5">
        <v>0.5</v>
      </c>
      <c r="E9" s="27">
        <v>828</v>
      </c>
      <c r="F9" s="28">
        <v>876</v>
      </c>
      <c r="G9" s="28">
        <v>948</v>
      </c>
      <c r="H9" s="28">
        <v>1144</v>
      </c>
      <c r="I9" s="28">
        <v>1656</v>
      </c>
      <c r="J9" s="28">
        <v>1880</v>
      </c>
      <c r="K9" s="28">
        <v>2256</v>
      </c>
      <c r="L9" s="29">
        <v>4576</v>
      </c>
      <c r="M9" s="27">
        <v>972</v>
      </c>
      <c r="N9" s="28">
        <v>980</v>
      </c>
      <c r="O9" s="28">
        <v>1020</v>
      </c>
      <c r="P9" s="28">
        <v>1080</v>
      </c>
      <c r="Q9" s="28">
        <v>1128</v>
      </c>
      <c r="R9" s="28">
        <v>1240</v>
      </c>
      <c r="S9" s="28">
        <v>1576</v>
      </c>
      <c r="T9" s="29">
        <v>3632</v>
      </c>
      <c r="V9" s="93"/>
      <c r="W9" s="96"/>
      <c r="X9" s="5">
        <v>0.5</v>
      </c>
      <c r="Y9" s="18">
        <f t="shared" si="0"/>
        <v>0.65217391304347827</v>
      </c>
      <c r="Z9" s="12">
        <f t="shared" si="0"/>
        <v>0.63470319634703198</v>
      </c>
      <c r="AA9" s="12">
        <f t="shared" si="0"/>
        <v>0.88185654008438819</v>
      </c>
      <c r="AB9" s="12">
        <f t="shared" si="0"/>
        <v>0.77272727272727271</v>
      </c>
      <c r="AC9" s="12">
        <f t="shared" si="0"/>
        <v>0.5628019323671497</v>
      </c>
      <c r="AD9" s="12">
        <f t="shared" si="0"/>
        <v>0.58297872340425527</v>
      </c>
      <c r="AE9" s="12">
        <f t="shared" si="0"/>
        <v>0.62056737588652477</v>
      </c>
      <c r="AF9" s="19">
        <f t="shared" si="0"/>
        <v>0.87062937062937062</v>
      </c>
      <c r="AG9" s="18">
        <f t="shared" si="0"/>
        <v>0.75308641975308643</v>
      </c>
      <c r="AH9" s="12">
        <f t="shared" si="0"/>
        <v>0.75510204081632648</v>
      </c>
      <c r="AI9" s="12">
        <f t="shared" si="0"/>
        <v>0.79607843137254897</v>
      </c>
      <c r="AJ9" s="12">
        <f t="shared" si="0"/>
        <v>0.81851851851851853</v>
      </c>
      <c r="AK9" s="12">
        <f t="shared" si="0"/>
        <v>0.86170212765957444</v>
      </c>
      <c r="AL9" s="12">
        <f t="shared" si="0"/>
        <v>0.98709677419354835</v>
      </c>
      <c r="AM9" s="12">
        <f t="shared" si="0"/>
        <v>0.98984771573604058</v>
      </c>
      <c r="AN9" s="19">
        <f t="shared" si="0"/>
        <v>0.94713656387665202</v>
      </c>
    </row>
    <row r="10" spans="2:40" ht="15" customHeight="1">
      <c r="B10" s="87"/>
      <c r="C10" s="90"/>
      <c r="D10" s="5">
        <v>0.75</v>
      </c>
      <c r="E10" s="27">
        <v>780</v>
      </c>
      <c r="F10" s="28">
        <v>804</v>
      </c>
      <c r="G10" s="28">
        <v>836</v>
      </c>
      <c r="H10" s="28">
        <v>900</v>
      </c>
      <c r="I10" s="28">
        <v>1032</v>
      </c>
      <c r="J10" s="28">
        <v>1784</v>
      </c>
      <c r="K10" s="28">
        <v>2064</v>
      </c>
      <c r="L10" s="29">
        <v>3824</v>
      </c>
      <c r="M10" s="27">
        <v>804</v>
      </c>
      <c r="N10" s="28">
        <v>948</v>
      </c>
      <c r="O10" s="28">
        <v>988</v>
      </c>
      <c r="P10" s="28">
        <v>1032</v>
      </c>
      <c r="Q10" s="28">
        <v>1080</v>
      </c>
      <c r="R10" s="28">
        <v>1112</v>
      </c>
      <c r="S10" s="28">
        <v>1304</v>
      </c>
      <c r="T10" s="29">
        <v>2736</v>
      </c>
      <c r="V10" s="93"/>
      <c r="W10" s="96"/>
      <c r="X10" s="5">
        <v>0.75</v>
      </c>
      <c r="Y10" s="18">
        <f t="shared" si="0"/>
        <v>0.63846153846153841</v>
      </c>
      <c r="Z10" s="12">
        <f t="shared" si="0"/>
        <v>0.6616915422885572</v>
      </c>
      <c r="AA10" s="12">
        <f t="shared" si="0"/>
        <v>0.66507177033492826</v>
      </c>
      <c r="AB10" s="12">
        <f t="shared" si="0"/>
        <v>0.82222222222222219</v>
      </c>
      <c r="AC10" s="12">
        <f t="shared" si="0"/>
        <v>0.84883720930232553</v>
      </c>
      <c r="AD10" s="12">
        <f t="shared" si="0"/>
        <v>0.54932735426008972</v>
      </c>
      <c r="AE10" s="12">
        <f t="shared" si="0"/>
        <v>0.6472868217054264</v>
      </c>
      <c r="AF10" s="19">
        <f t="shared" si="0"/>
        <v>0.80753138075313813</v>
      </c>
      <c r="AG10" s="18">
        <f t="shared" si="0"/>
        <v>0.82089552238805974</v>
      </c>
      <c r="AH10" s="12">
        <f t="shared" si="0"/>
        <v>0.73839662447257381</v>
      </c>
      <c r="AI10" s="12">
        <f t="shared" si="0"/>
        <v>0.74898785425101211</v>
      </c>
      <c r="AJ10" s="12">
        <f t="shared" si="0"/>
        <v>0.74806201550387597</v>
      </c>
      <c r="AK10" s="12">
        <f t="shared" si="0"/>
        <v>0.81111111111111112</v>
      </c>
      <c r="AL10" s="12">
        <f t="shared" si="0"/>
        <v>0.95683453237410077</v>
      </c>
      <c r="AM10" s="12">
        <f t="shared" si="0"/>
        <v>1.0490797546012269</v>
      </c>
      <c r="AN10" s="19">
        <f t="shared" si="0"/>
        <v>1</v>
      </c>
    </row>
    <row r="11" spans="2:40" ht="15" customHeight="1" thickBot="1">
      <c r="B11" s="87"/>
      <c r="C11" s="91"/>
      <c r="D11" s="6">
        <v>1</v>
      </c>
      <c r="E11" s="30">
        <v>119</v>
      </c>
      <c r="F11" s="31">
        <v>155</v>
      </c>
      <c r="G11" s="31">
        <v>189</v>
      </c>
      <c r="H11" s="31">
        <v>237</v>
      </c>
      <c r="I11" s="31">
        <v>318</v>
      </c>
      <c r="J11" s="31">
        <v>498</v>
      </c>
      <c r="K11" s="31">
        <v>900</v>
      </c>
      <c r="L11" s="32">
        <v>2160</v>
      </c>
      <c r="M11" s="30">
        <v>108</v>
      </c>
      <c r="N11" s="31">
        <v>149</v>
      </c>
      <c r="O11" s="31">
        <v>173</v>
      </c>
      <c r="P11" s="31">
        <v>201</v>
      </c>
      <c r="Q11" s="31">
        <v>249</v>
      </c>
      <c r="R11" s="31">
        <v>338</v>
      </c>
      <c r="S11" s="31">
        <v>532</v>
      </c>
      <c r="T11" s="32">
        <v>1004</v>
      </c>
      <c r="V11" s="93"/>
      <c r="W11" s="97"/>
      <c r="X11" s="6">
        <v>1</v>
      </c>
      <c r="Y11" s="20">
        <f t="shared" si="0"/>
        <v>0.75630252100840334</v>
      </c>
      <c r="Z11" s="21">
        <f t="shared" si="0"/>
        <v>0.77419354838709675</v>
      </c>
      <c r="AA11" s="21">
        <f t="shared" si="0"/>
        <v>0.80952380952380953</v>
      </c>
      <c r="AB11" s="21">
        <f t="shared" si="0"/>
        <v>0.81434599156118148</v>
      </c>
      <c r="AC11" s="21">
        <f t="shared" si="0"/>
        <v>0.84905660377358494</v>
      </c>
      <c r="AD11" s="21">
        <f t="shared" si="0"/>
        <v>0.8875502008032129</v>
      </c>
      <c r="AE11" s="21">
        <f t="shared" si="0"/>
        <v>0.90222222222222226</v>
      </c>
      <c r="AF11" s="22">
        <f t="shared" si="0"/>
        <v>0.78148148148148144</v>
      </c>
      <c r="AG11" s="20">
        <f t="shared" si="0"/>
        <v>0.67592592592592593</v>
      </c>
      <c r="AH11" s="21">
        <f t="shared" si="0"/>
        <v>0.78523489932885904</v>
      </c>
      <c r="AI11" s="21">
        <f t="shared" si="0"/>
        <v>0.80346820809248554</v>
      </c>
      <c r="AJ11" s="21">
        <f t="shared" si="0"/>
        <v>0.80099502487562191</v>
      </c>
      <c r="AK11" s="21">
        <f t="shared" si="0"/>
        <v>0.81526104417670686</v>
      </c>
      <c r="AL11" s="21">
        <f t="shared" si="0"/>
        <v>0.8224852071005917</v>
      </c>
      <c r="AM11" s="21">
        <f t="shared" si="0"/>
        <v>0.77067669172932329</v>
      </c>
      <c r="AN11" s="22">
        <f t="shared" si="0"/>
        <v>0.76095617529880477</v>
      </c>
    </row>
    <row r="12" spans="2:40" ht="15" customHeight="1">
      <c r="B12" s="87"/>
      <c r="C12" s="89" t="s">
        <v>8</v>
      </c>
      <c r="D12" s="4">
        <v>0.25</v>
      </c>
      <c r="E12" s="24">
        <v>6192</v>
      </c>
      <c r="F12" s="25">
        <v>10484</v>
      </c>
      <c r="G12" s="25">
        <v>16082</v>
      </c>
      <c r="H12" s="25">
        <v>17410</v>
      </c>
      <c r="I12" s="25">
        <v>17436</v>
      </c>
      <c r="J12" s="25">
        <v>17467</v>
      </c>
      <c r="K12" s="25">
        <v>17556</v>
      </c>
      <c r="L12" s="26">
        <v>17566</v>
      </c>
      <c r="M12" s="24">
        <v>6914</v>
      </c>
      <c r="N12" s="25">
        <v>12185</v>
      </c>
      <c r="O12" s="25">
        <v>19737</v>
      </c>
      <c r="P12" s="25">
        <v>20568</v>
      </c>
      <c r="Q12" s="25">
        <v>20601</v>
      </c>
      <c r="R12" s="25">
        <v>20595</v>
      </c>
      <c r="S12" s="25">
        <v>20641</v>
      </c>
      <c r="T12" s="26">
        <v>20626</v>
      </c>
      <c r="V12" s="93"/>
      <c r="W12" s="98" t="s">
        <v>8</v>
      </c>
      <c r="X12" s="4">
        <v>0.25</v>
      </c>
      <c r="Y12" s="15">
        <f t="shared" si="0"/>
        <v>1.4047157622739017</v>
      </c>
      <c r="Z12" s="16">
        <f t="shared" si="0"/>
        <v>1.4302747043113315</v>
      </c>
      <c r="AA12" s="16">
        <f t="shared" si="0"/>
        <v>1.4358288770053476</v>
      </c>
      <c r="AB12" s="16">
        <f t="shared" si="0"/>
        <v>1.4883400344629523</v>
      </c>
      <c r="AC12" s="16">
        <f t="shared" si="0"/>
        <v>1.4871530167469602</v>
      </c>
      <c r="AD12" s="16">
        <f t="shared" si="0"/>
        <v>1.4869181885841873</v>
      </c>
      <c r="AE12" s="16">
        <f t="shared" si="0"/>
        <v>1.4784688995215312</v>
      </c>
      <c r="AF12" s="17">
        <f t="shared" si="0"/>
        <v>1.4739269042468406</v>
      </c>
      <c r="AG12" s="15">
        <f t="shared" si="0"/>
        <v>1.2778420595892392</v>
      </c>
      <c r="AH12" s="16">
        <f t="shared" si="0"/>
        <v>1.2768978251949117</v>
      </c>
      <c r="AI12" s="16">
        <f t="shared" si="0"/>
        <v>1.2356487814764148</v>
      </c>
      <c r="AJ12" s="16">
        <f t="shared" si="0"/>
        <v>1.5457992998833139</v>
      </c>
      <c r="AK12" s="16">
        <f t="shared" si="0"/>
        <v>1.5412844036697249</v>
      </c>
      <c r="AL12" s="16">
        <f t="shared" si="0"/>
        <v>1.5403253216800195</v>
      </c>
      <c r="AM12" s="16">
        <f t="shared" si="0"/>
        <v>1.5403807955040938</v>
      </c>
      <c r="AN12" s="17">
        <f t="shared" si="0"/>
        <v>1.5323863085426161</v>
      </c>
    </row>
    <row r="13" spans="2:40" ht="15" customHeight="1">
      <c r="B13" s="87"/>
      <c r="C13" s="90"/>
      <c r="D13" s="5">
        <v>0.5</v>
      </c>
      <c r="E13" s="27">
        <v>9193</v>
      </c>
      <c r="F13" s="28">
        <v>16125</v>
      </c>
      <c r="G13" s="28">
        <v>25943</v>
      </c>
      <c r="H13" s="28">
        <v>38858</v>
      </c>
      <c r="I13" s="28">
        <v>45207</v>
      </c>
      <c r="J13" s="28">
        <v>45459</v>
      </c>
      <c r="K13" s="28">
        <v>45886</v>
      </c>
      <c r="L13" s="29">
        <v>46011</v>
      </c>
      <c r="M13" s="27">
        <v>9940</v>
      </c>
      <c r="N13" s="28">
        <v>18172</v>
      </c>
      <c r="O13" s="28">
        <v>30404</v>
      </c>
      <c r="P13" s="28">
        <v>48312</v>
      </c>
      <c r="Q13" s="28">
        <v>56339</v>
      </c>
      <c r="R13" s="28">
        <v>56542</v>
      </c>
      <c r="S13" s="28">
        <v>56447</v>
      </c>
      <c r="T13" s="29">
        <v>56438</v>
      </c>
      <c r="V13" s="93"/>
      <c r="W13" s="96"/>
      <c r="X13" s="5">
        <v>0.5</v>
      </c>
      <c r="Y13" s="18">
        <f t="shared" si="0"/>
        <v>1.3066463613619057</v>
      </c>
      <c r="Z13" s="12">
        <f t="shared" si="0"/>
        <v>1.36768992248062</v>
      </c>
      <c r="AA13" s="12">
        <f t="shared" si="0"/>
        <v>1.4382299656940216</v>
      </c>
      <c r="AB13" s="12">
        <f t="shared" si="0"/>
        <v>1.4024139173400587</v>
      </c>
      <c r="AC13" s="12">
        <f t="shared" si="0"/>
        <v>1.3936116088216426</v>
      </c>
      <c r="AD13" s="12">
        <f t="shared" si="0"/>
        <v>1.3873380408719946</v>
      </c>
      <c r="AE13" s="12">
        <f t="shared" si="0"/>
        <v>1.3736433770648999</v>
      </c>
      <c r="AF13" s="19">
        <f t="shared" si="0"/>
        <v>1.3676729477733585</v>
      </c>
      <c r="AG13" s="18">
        <f t="shared" si="0"/>
        <v>1.2330985915492958</v>
      </c>
      <c r="AH13" s="12">
        <f t="shared" si="0"/>
        <v>1.2508254457407</v>
      </c>
      <c r="AI13" s="12">
        <f t="shared" si="0"/>
        <v>1.3070319694777004</v>
      </c>
      <c r="AJ13" s="12">
        <f t="shared" si="0"/>
        <v>1.2762253684384832</v>
      </c>
      <c r="AK13" s="12">
        <f t="shared" si="0"/>
        <v>1.4385239354621133</v>
      </c>
      <c r="AL13" s="12">
        <f t="shared" si="0"/>
        <v>1.4262848855717873</v>
      </c>
      <c r="AM13" s="12">
        <f t="shared" si="0"/>
        <v>1.4294825234290574</v>
      </c>
      <c r="AN13" s="19">
        <f t="shared" si="0"/>
        <v>1.4246784081647117</v>
      </c>
    </row>
    <row r="14" spans="2:40" ht="15" customHeight="1">
      <c r="B14" s="87"/>
      <c r="C14" s="90"/>
      <c r="D14" s="5">
        <v>0.75</v>
      </c>
      <c r="E14" s="27">
        <v>11464</v>
      </c>
      <c r="F14" s="28">
        <v>21371</v>
      </c>
      <c r="G14" s="28">
        <v>36951</v>
      </c>
      <c r="H14" s="28">
        <v>59109</v>
      </c>
      <c r="I14" s="28">
        <v>87975</v>
      </c>
      <c r="J14" s="28">
        <v>103014</v>
      </c>
      <c r="K14" s="28">
        <v>103381</v>
      </c>
      <c r="L14" s="29">
        <v>103310</v>
      </c>
      <c r="M14" s="27">
        <v>11956</v>
      </c>
      <c r="N14" s="28">
        <v>22911</v>
      </c>
      <c r="O14" s="28">
        <v>40839</v>
      </c>
      <c r="P14" s="28">
        <v>68506</v>
      </c>
      <c r="Q14" s="28">
        <v>107096</v>
      </c>
      <c r="R14" s="28">
        <v>135986</v>
      </c>
      <c r="S14" s="28">
        <v>135801</v>
      </c>
      <c r="T14" s="29">
        <v>135958</v>
      </c>
      <c r="V14" s="93"/>
      <c r="W14" s="96"/>
      <c r="X14" s="5">
        <v>0.75</v>
      </c>
      <c r="Y14" s="18">
        <f t="shared" si="0"/>
        <v>1.2252267969295185</v>
      </c>
      <c r="Z14" s="12">
        <f t="shared" si="0"/>
        <v>1.2487483037761453</v>
      </c>
      <c r="AA14" s="12">
        <f t="shared" si="0"/>
        <v>1.3167979215718113</v>
      </c>
      <c r="AB14" s="12">
        <f t="shared" si="0"/>
        <v>1.3762709570454583</v>
      </c>
      <c r="AC14" s="12">
        <f t="shared" si="0"/>
        <v>1.2969138959931799</v>
      </c>
      <c r="AD14" s="12">
        <f t="shared" si="0"/>
        <v>1.266206535034073</v>
      </c>
      <c r="AE14" s="12">
        <f t="shared" si="0"/>
        <v>1.2649036089803736</v>
      </c>
      <c r="AF14" s="19">
        <f t="shared" si="0"/>
        <v>1.2632368599361146</v>
      </c>
      <c r="AG14" s="18">
        <f t="shared" si="0"/>
        <v>1.1960521913683506</v>
      </c>
      <c r="AH14" s="12">
        <f t="shared" si="0"/>
        <v>1.1963249094321504</v>
      </c>
      <c r="AI14" s="12">
        <f t="shared" si="0"/>
        <v>1.2450108964470237</v>
      </c>
      <c r="AJ14" s="12">
        <f t="shared" si="0"/>
        <v>1.2999299331445422</v>
      </c>
      <c r="AK14" s="12">
        <f t="shared" si="0"/>
        <v>1.2834186150743259</v>
      </c>
      <c r="AL14" s="12">
        <f t="shared" si="0"/>
        <v>1.3022737634756518</v>
      </c>
      <c r="AM14" s="12">
        <f t="shared" si="0"/>
        <v>1.3126560187332936</v>
      </c>
      <c r="AN14" s="19">
        <f t="shared" si="0"/>
        <v>1.3154282940319804</v>
      </c>
    </row>
    <row r="15" spans="2:40" ht="15" customHeight="1" thickBot="1">
      <c r="B15" s="88"/>
      <c r="C15" s="91"/>
      <c r="D15" s="6">
        <v>1</v>
      </c>
      <c r="E15" s="30">
        <v>13411</v>
      </c>
      <c r="F15" s="31">
        <v>26923</v>
      </c>
      <c r="G15" s="31">
        <v>52265</v>
      </c>
      <c r="H15" s="31">
        <v>98380</v>
      </c>
      <c r="I15" s="31">
        <v>174987</v>
      </c>
      <c r="J15" s="31">
        <v>280549</v>
      </c>
      <c r="K15" s="31">
        <v>382294</v>
      </c>
      <c r="L15" s="32">
        <v>442939</v>
      </c>
      <c r="M15" s="30">
        <v>13538</v>
      </c>
      <c r="N15" s="31">
        <v>27322</v>
      </c>
      <c r="O15" s="31">
        <v>53540</v>
      </c>
      <c r="P15" s="31">
        <v>102841</v>
      </c>
      <c r="Q15" s="31">
        <v>190185</v>
      </c>
      <c r="R15" s="31">
        <v>328357</v>
      </c>
      <c r="S15" s="31">
        <v>490469</v>
      </c>
      <c r="T15" s="32">
        <v>536381</v>
      </c>
      <c r="V15" s="94"/>
      <c r="W15" s="97"/>
      <c r="X15" s="6">
        <v>1</v>
      </c>
      <c r="Y15" s="20">
        <f t="shared" si="0"/>
        <v>1.1946163597047199</v>
      </c>
      <c r="Z15" s="21">
        <f t="shared" si="0"/>
        <v>1.1753890725402072</v>
      </c>
      <c r="AA15" s="21">
        <f t="shared" si="0"/>
        <v>1.177652348608055</v>
      </c>
      <c r="AB15" s="21">
        <f t="shared" si="0"/>
        <v>1.1858101240089449</v>
      </c>
      <c r="AC15" s="21">
        <f t="shared" si="0"/>
        <v>1.1954545194785899</v>
      </c>
      <c r="AD15" s="21">
        <f t="shared" si="0"/>
        <v>1.2027595892339662</v>
      </c>
      <c r="AE15" s="21">
        <f t="shared" si="0"/>
        <v>1.2019519008930299</v>
      </c>
      <c r="AF15" s="22">
        <f t="shared" si="0"/>
        <v>1.1584665157053229</v>
      </c>
      <c r="AG15" s="20">
        <f t="shared" si="0"/>
        <v>1.185182449401684</v>
      </c>
      <c r="AH15" s="21">
        <f t="shared" si="0"/>
        <v>1.1653246468047727</v>
      </c>
      <c r="AI15" s="21">
        <f t="shared" si="0"/>
        <v>1.1685282032125515</v>
      </c>
      <c r="AJ15" s="21">
        <f t="shared" si="0"/>
        <v>1.1746093484116258</v>
      </c>
      <c r="AK15" s="21">
        <f t="shared" si="0"/>
        <v>1.189073796566501</v>
      </c>
      <c r="AL15" s="21">
        <f t="shared" si="0"/>
        <v>1.2049994365888348</v>
      </c>
      <c r="AM15" s="21">
        <f t="shared" si="0"/>
        <v>1.100797400039554</v>
      </c>
      <c r="AN15" s="22">
        <f t="shared" si="0"/>
        <v>1.0317815135137152</v>
      </c>
    </row>
    <row r="16" spans="2:40" ht="15" customHeight="1">
      <c r="B16" s="83" t="s">
        <v>9</v>
      </c>
      <c r="C16" s="98" t="s">
        <v>6</v>
      </c>
      <c r="D16" s="4">
        <v>0.25</v>
      </c>
      <c r="E16" s="24">
        <v>16</v>
      </c>
      <c r="F16" s="25">
        <v>15</v>
      </c>
      <c r="G16" s="25">
        <v>13</v>
      </c>
      <c r="H16" s="25">
        <v>14</v>
      </c>
      <c r="I16" s="25">
        <v>15</v>
      </c>
      <c r="J16" s="25">
        <v>278</v>
      </c>
      <c r="K16" s="25">
        <v>612</v>
      </c>
      <c r="L16" s="26">
        <v>2416</v>
      </c>
      <c r="M16" s="24">
        <v>14</v>
      </c>
      <c r="N16" s="25">
        <v>15</v>
      </c>
      <c r="O16" s="25">
        <v>13</v>
      </c>
      <c r="P16" s="25">
        <v>14</v>
      </c>
      <c r="Q16" s="25">
        <v>16</v>
      </c>
      <c r="R16" s="25">
        <v>195</v>
      </c>
      <c r="S16" s="25">
        <v>450</v>
      </c>
      <c r="T16" s="26">
        <v>1960</v>
      </c>
      <c r="V16" s="86" t="s">
        <v>9</v>
      </c>
      <c r="W16" s="98" t="s">
        <v>6</v>
      </c>
      <c r="X16" s="4">
        <v>0.25</v>
      </c>
      <c r="Y16" s="15">
        <f t="shared" si="0"/>
        <v>0.6875</v>
      </c>
      <c r="Z16" s="16">
        <f t="shared" si="0"/>
        <v>0.8666666666666667</v>
      </c>
      <c r="AA16" s="16">
        <f t="shared" si="0"/>
        <v>1.1538461538461537</v>
      </c>
      <c r="AB16" s="16">
        <f t="shared" si="0"/>
        <v>1.2142857142857142</v>
      </c>
      <c r="AC16" s="16">
        <f t="shared" si="0"/>
        <v>1.2666666666666666</v>
      </c>
      <c r="AD16" s="16">
        <f t="shared" si="0"/>
        <v>7.1942446043165464E-2</v>
      </c>
      <c r="AE16" s="16">
        <f t="shared" si="0"/>
        <v>3.2679738562091505E-2</v>
      </c>
      <c r="AF16" s="17">
        <f t="shared" si="0"/>
        <v>9.1059602649006619E-3</v>
      </c>
      <c r="AG16" s="15">
        <f t="shared" si="0"/>
        <v>0.7857142857142857</v>
      </c>
      <c r="AH16" s="16">
        <f t="shared" si="0"/>
        <v>0.8666666666666667</v>
      </c>
      <c r="AI16" s="16">
        <f t="shared" si="0"/>
        <v>1.1538461538461537</v>
      </c>
      <c r="AJ16" s="16">
        <f t="shared" si="0"/>
        <v>1.2142857142857142</v>
      </c>
      <c r="AK16" s="16">
        <f t="shared" si="0"/>
        <v>1.3125</v>
      </c>
      <c r="AL16" s="16">
        <f t="shared" si="0"/>
        <v>0.12307692307692308</v>
      </c>
      <c r="AM16" s="16">
        <f t="shared" si="0"/>
        <v>4.8888888888888891E-2</v>
      </c>
      <c r="AN16" s="17">
        <f t="shared" si="0"/>
        <v>1.2244897959183673E-2</v>
      </c>
    </row>
    <row r="17" spans="2:40" ht="15" customHeight="1">
      <c r="B17" s="93"/>
      <c r="C17" s="96"/>
      <c r="D17" s="5">
        <v>0.5</v>
      </c>
      <c r="E17" s="27">
        <v>17</v>
      </c>
      <c r="F17" s="28">
        <v>16</v>
      </c>
      <c r="G17" s="28">
        <v>13</v>
      </c>
      <c r="H17" s="28">
        <v>14</v>
      </c>
      <c r="I17" s="28">
        <v>199</v>
      </c>
      <c r="J17" s="28">
        <v>498</v>
      </c>
      <c r="K17" s="28">
        <v>1096</v>
      </c>
      <c r="L17" s="29">
        <v>3696</v>
      </c>
      <c r="M17" s="27">
        <v>16</v>
      </c>
      <c r="N17" s="28">
        <v>16</v>
      </c>
      <c r="O17" s="28">
        <v>13</v>
      </c>
      <c r="P17" s="28">
        <v>14</v>
      </c>
      <c r="Q17" s="28">
        <v>165</v>
      </c>
      <c r="R17" s="28">
        <v>406</v>
      </c>
      <c r="S17" s="28">
        <v>900</v>
      </c>
      <c r="T17" s="29">
        <v>3088</v>
      </c>
      <c r="V17" s="87"/>
      <c r="W17" s="96"/>
      <c r="X17" s="5">
        <v>0.5</v>
      </c>
      <c r="Y17" s="18">
        <f t="shared" si="0"/>
        <v>0.6470588235294118</v>
      </c>
      <c r="Z17" s="12">
        <f t="shared" si="0"/>
        <v>0.8125</v>
      </c>
      <c r="AA17" s="12">
        <f t="shared" si="0"/>
        <v>1.1538461538461537</v>
      </c>
      <c r="AB17" s="12">
        <f t="shared" si="0"/>
        <v>1.2142857142857142</v>
      </c>
      <c r="AC17" s="12">
        <f t="shared" si="0"/>
        <v>1.2010050251256281</v>
      </c>
      <c r="AD17" s="12">
        <f t="shared" si="0"/>
        <v>1.1646586345381527</v>
      </c>
      <c r="AE17" s="12">
        <f t="shared" si="0"/>
        <v>1.1167883211678833</v>
      </c>
      <c r="AF17" s="19">
        <f t="shared" si="0"/>
        <v>1.2380952380952381</v>
      </c>
      <c r="AG17" s="18">
        <f t="shared" si="0"/>
        <v>0.75</v>
      </c>
      <c r="AH17" s="12">
        <f t="shared" si="0"/>
        <v>0.875</v>
      </c>
      <c r="AI17" s="12">
        <f t="shared" si="0"/>
        <v>1.1538461538461537</v>
      </c>
      <c r="AJ17" s="12">
        <f t="shared" si="0"/>
        <v>1.2857142857142858</v>
      </c>
      <c r="AK17" s="12">
        <f t="shared" si="0"/>
        <v>0.12121212121212122</v>
      </c>
      <c r="AL17" s="12">
        <f t="shared" si="0"/>
        <v>1.1182266009852218</v>
      </c>
      <c r="AM17" s="12">
        <f t="shared" si="0"/>
        <v>1.1333333333333333</v>
      </c>
      <c r="AN17" s="19">
        <f t="shared" si="0"/>
        <v>1.1347150259067358</v>
      </c>
    </row>
    <row r="18" spans="2:40" ht="15" customHeight="1">
      <c r="B18" s="93"/>
      <c r="C18" s="96"/>
      <c r="D18" s="5">
        <v>0.75</v>
      </c>
      <c r="E18" s="27">
        <v>20</v>
      </c>
      <c r="F18" s="28">
        <v>18</v>
      </c>
      <c r="G18" s="28">
        <v>13</v>
      </c>
      <c r="H18" s="28">
        <v>123</v>
      </c>
      <c r="I18" s="28">
        <v>278</v>
      </c>
      <c r="J18" s="28">
        <v>564</v>
      </c>
      <c r="K18" s="28">
        <v>1144</v>
      </c>
      <c r="L18" s="29">
        <v>4256</v>
      </c>
      <c r="M18" s="27">
        <v>17</v>
      </c>
      <c r="N18" s="28">
        <v>17</v>
      </c>
      <c r="O18" s="28">
        <v>14</v>
      </c>
      <c r="P18" s="28">
        <v>113</v>
      </c>
      <c r="Q18" s="28">
        <v>237</v>
      </c>
      <c r="R18" s="28">
        <v>482</v>
      </c>
      <c r="S18" s="28">
        <v>980</v>
      </c>
      <c r="T18" s="29">
        <v>3664</v>
      </c>
      <c r="V18" s="87"/>
      <c r="W18" s="96"/>
      <c r="X18" s="5">
        <v>0.75</v>
      </c>
      <c r="Y18" s="18">
        <f t="shared" si="0"/>
        <v>0.55000000000000004</v>
      </c>
      <c r="Z18" s="12">
        <f t="shared" si="0"/>
        <v>0.72222222222222221</v>
      </c>
      <c r="AA18" s="12">
        <f t="shared" si="0"/>
        <v>1.1538461538461537</v>
      </c>
      <c r="AB18" s="12">
        <f t="shared" si="0"/>
        <v>1.3414634146341464</v>
      </c>
      <c r="AC18" s="12">
        <f t="shared" si="0"/>
        <v>1.1870503597122302</v>
      </c>
      <c r="AD18" s="12">
        <f t="shared" si="0"/>
        <v>1.1843971631205674</v>
      </c>
      <c r="AE18" s="12">
        <f t="shared" si="0"/>
        <v>1.1538461538461537</v>
      </c>
      <c r="AF18" s="19">
        <f t="shared" si="0"/>
        <v>1.1503759398496241</v>
      </c>
      <c r="AG18" s="18">
        <f t="shared" si="0"/>
        <v>0.76470588235294112</v>
      </c>
      <c r="AH18" s="12">
        <f t="shared" si="0"/>
        <v>0.82352941176470584</v>
      </c>
      <c r="AI18" s="12">
        <f t="shared" si="0"/>
        <v>1.0714285714285714</v>
      </c>
      <c r="AJ18" s="12">
        <f t="shared" si="0"/>
        <v>1.0530973451327434</v>
      </c>
      <c r="AK18" s="12">
        <f t="shared" si="0"/>
        <v>1.1561181434599157</v>
      </c>
      <c r="AL18" s="12">
        <f t="shared" si="0"/>
        <v>1.1369294605809128</v>
      </c>
      <c r="AM18" s="12">
        <f t="shared" si="0"/>
        <v>1.1020408163265305</v>
      </c>
      <c r="AN18" s="19">
        <f t="shared" si="0"/>
        <v>1.1441048034934498</v>
      </c>
    </row>
    <row r="19" spans="2:40" ht="15" customHeight="1" thickBot="1">
      <c r="B19" s="93"/>
      <c r="C19" s="97"/>
      <c r="D19" s="6">
        <v>1</v>
      </c>
      <c r="E19" s="30">
        <v>21</v>
      </c>
      <c r="F19" s="31">
        <v>34</v>
      </c>
      <c r="G19" s="31">
        <v>70</v>
      </c>
      <c r="H19" s="31">
        <v>141</v>
      </c>
      <c r="I19" s="31">
        <v>278</v>
      </c>
      <c r="J19" s="31">
        <v>548</v>
      </c>
      <c r="K19" s="31">
        <v>1144</v>
      </c>
      <c r="L19" s="32">
        <v>4448</v>
      </c>
      <c r="M19" s="30">
        <v>20</v>
      </c>
      <c r="N19" s="31">
        <v>31</v>
      </c>
      <c r="O19" s="31">
        <v>64</v>
      </c>
      <c r="P19" s="31">
        <v>129</v>
      </c>
      <c r="Q19" s="31">
        <v>253</v>
      </c>
      <c r="R19" s="31">
        <v>506</v>
      </c>
      <c r="S19" s="31">
        <v>1048</v>
      </c>
      <c r="T19" s="32">
        <v>4080</v>
      </c>
      <c r="V19" s="87"/>
      <c r="W19" s="97"/>
      <c r="X19" s="6">
        <v>1</v>
      </c>
      <c r="Y19" s="20">
        <f t="shared" si="0"/>
        <v>0.52380952380952384</v>
      </c>
      <c r="Z19" s="21">
        <f t="shared" si="0"/>
        <v>1.2058823529411764</v>
      </c>
      <c r="AA19" s="21">
        <f t="shared" si="0"/>
        <v>1.1714285714285715</v>
      </c>
      <c r="AB19" s="21">
        <f t="shared" si="0"/>
        <v>1.1702127659574468</v>
      </c>
      <c r="AC19" s="21">
        <f t="shared" si="0"/>
        <v>1.2014388489208634</v>
      </c>
      <c r="AD19" s="21">
        <f t="shared" si="0"/>
        <v>1.218978102189781</v>
      </c>
      <c r="AE19" s="21">
        <f t="shared" si="0"/>
        <v>1.1678321678321679</v>
      </c>
      <c r="AF19" s="22">
        <f t="shared" si="0"/>
        <v>0.92805755395683454</v>
      </c>
      <c r="AG19" s="20">
        <f t="shared" si="0"/>
        <v>0.55000000000000004</v>
      </c>
      <c r="AH19" s="21">
        <f t="shared" si="0"/>
        <v>0.67741935483870963</v>
      </c>
      <c r="AI19" s="21">
        <f t="shared" si="0"/>
        <v>0.671875</v>
      </c>
      <c r="AJ19" s="21">
        <f t="shared" si="0"/>
        <v>0.67441860465116277</v>
      </c>
      <c r="AK19" s="21">
        <f t="shared" si="0"/>
        <v>0.69169960474308301</v>
      </c>
      <c r="AL19" s="21">
        <f t="shared" si="0"/>
        <v>0.69169960474308301</v>
      </c>
      <c r="AM19" s="21">
        <f t="shared" si="0"/>
        <v>0.66793893129770987</v>
      </c>
      <c r="AN19" s="22">
        <f t="shared" ref="AN19:AN27" si="1">T46/T19</f>
        <v>0.69411764705882351</v>
      </c>
    </row>
    <row r="20" spans="2:40" ht="15" customHeight="1">
      <c r="B20" s="93"/>
      <c r="C20" s="98" t="s">
        <v>7</v>
      </c>
      <c r="D20" s="4">
        <v>0.25</v>
      </c>
      <c r="E20" s="24">
        <v>32</v>
      </c>
      <c r="F20" s="25">
        <v>35</v>
      </c>
      <c r="G20" s="25">
        <v>31</v>
      </c>
      <c r="H20" s="25">
        <v>20</v>
      </c>
      <c r="I20" s="25">
        <v>21</v>
      </c>
      <c r="J20" s="25">
        <v>410</v>
      </c>
      <c r="K20" s="25">
        <v>804</v>
      </c>
      <c r="L20" s="26">
        <v>2800</v>
      </c>
      <c r="M20" s="24">
        <v>28</v>
      </c>
      <c r="N20" s="25">
        <v>34</v>
      </c>
      <c r="O20" s="25">
        <v>29</v>
      </c>
      <c r="P20" s="25">
        <v>20</v>
      </c>
      <c r="Q20" s="25">
        <v>21</v>
      </c>
      <c r="R20" s="25">
        <v>290</v>
      </c>
      <c r="S20" s="25">
        <v>604</v>
      </c>
      <c r="T20" s="26">
        <v>2224</v>
      </c>
      <c r="V20" s="87"/>
      <c r="W20" s="98" t="s">
        <v>7</v>
      </c>
      <c r="X20" s="4">
        <v>0.25</v>
      </c>
      <c r="Y20" s="15">
        <f t="shared" ref="Y20:AM27" si="2">E47/E20</f>
        <v>0.5</v>
      </c>
      <c r="Z20" s="16">
        <f t="shared" si="2"/>
        <v>0.48571428571428571</v>
      </c>
      <c r="AA20" s="16">
        <f t="shared" si="2"/>
        <v>0.61290322580645162</v>
      </c>
      <c r="AB20" s="16">
        <f t="shared" si="2"/>
        <v>1.1499999999999999</v>
      </c>
      <c r="AC20" s="16">
        <f t="shared" si="2"/>
        <v>1.2380952380952381</v>
      </c>
      <c r="AD20" s="16">
        <f t="shared" si="2"/>
        <v>6.5853658536585369E-2</v>
      </c>
      <c r="AE20" s="16">
        <f t="shared" si="2"/>
        <v>3.3582089552238806E-2</v>
      </c>
      <c r="AF20" s="17">
        <f t="shared" si="2"/>
        <v>1.2142857142857143E-2</v>
      </c>
      <c r="AG20" s="15">
        <f t="shared" si="2"/>
        <v>1</v>
      </c>
      <c r="AH20" s="16">
        <f t="shared" si="2"/>
        <v>0.88235294117647056</v>
      </c>
      <c r="AI20" s="16">
        <f t="shared" si="2"/>
        <v>0.93103448275862066</v>
      </c>
      <c r="AJ20" s="16">
        <f t="shared" si="2"/>
        <v>1.1499999999999999</v>
      </c>
      <c r="AK20" s="16">
        <f t="shared" si="2"/>
        <v>1.3333333333333333</v>
      </c>
      <c r="AL20" s="16">
        <f t="shared" si="2"/>
        <v>0.12413793103448276</v>
      </c>
      <c r="AM20" s="16">
        <f t="shared" si="2"/>
        <v>0.13079470198675497</v>
      </c>
      <c r="AN20" s="17">
        <f t="shared" si="1"/>
        <v>0.14298561151079137</v>
      </c>
    </row>
    <row r="21" spans="2:40" ht="15" customHeight="1">
      <c r="B21" s="93"/>
      <c r="C21" s="96"/>
      <c r="D21" s="5">
        <v>0.5</v>
      </c>
      <c r="E21" s="27">
        <v>34</v>
      </c>
      <c r="F21" s="28">
        <v>38</v>
      </c>
      <c r="G21" s="28">
        <v>34</v>
      </c>
      <c r="H21" s="28">
        <v>26</v>
      </c>
      <c r="I21" s="28">
        <v>262</v>
      </c>
      <c r="J21" s="28">
        <v>596</v>
      </c>
      <c r="K21" s="28">
        <v>1240</v>
      </c>
      <c r="L21" s="29">
        <v>4048</v>
      </c>
      <c r="M21" s="27">
        <v>31</v>
      </c>
      <c r="N21" s="28">
        <v>37</v>
      </c>
      <c r="O21" s="28">
        <v>32</v>
      </c>
      <c r="P21" s="28">
        <v>20</v>
      </c>
      <c r="Q21" s="28">
        <v>213</v>
      </c>
      <c r="R21" s="28">
        <v>482</v>
      </c>
      <c r="S21" s="28">
        <v>1020</v>
      </c>
      <c r="T21" s="29">
        <v>3408</v>
      </c>
      <c r="V21" s="87"/>
      <c r="W21" s="96"/>
      <c r="X21" s="5">
        <v>0.5</v>
      </c>
      <c r="Y21" s="18">
        <f t="shared" si="2"/>
        <v>0.47058823529411764</v>
      </c>
      <c r="Z21" s="12">
        <f t="shared" si="2"/>
        <v>0.44736842105263158</v>
      </c>
      <c r="AA21" s="12">
        <f t="shared" si="2"/>
        <v>0.58823529411764708</v>
      </c>
      <c r="AB21" s="12">
        <f t="shared" si="2"/>
        <v>0.88461538461538458</v>
      </c>
      <c r="AC21" s="12">
        <f t="shared" si="2"/>
        <v>1.1832061068702291</v>
      </c>
      <c r="AD21" s="12">
        <f t="shared" si="2"/>
        <v>1.080536912751678</v>
      </c>
      <c r="AE21" s="12">
        <f t="shared" si="2"/>
        <v>1.0516129032258064</v>
      </c>
      <c r="AF21" s="19">
        <f t="shared" si="2"/>
        <v>1.1462450592885376</v>
      </c>
      <c r="AG21" s="18">
        <f t="shared" si="2"/>
        <v>0.967741935483871</v>
      </c>
      <c r="AH21" s="12">
        <f t="shared" si="2"/>
        <v>0.89189189189189189</v>
      </c>
      <c r="AI21" s="12">
        <f t="shared" si="2"/>
        <v>0.875</v>
      </c>
      <c r="AJ21" s="12">
        <f t="shared" si="2"/>
        <v>1.2</v>
      </c>
      <c r="AK21" s="12">
        <f t="shared" si="2"/>
        <v>0.12206572769953052</v>
      </c>
      <c r="AL21" s="12">
        <f t="shared" si="2"/>
        <v>1.0871369294605808</v>
      </c>
      <c r="AM21" s="12">
        <f t="shared" si="2"/>
        <v>1.0588235294117647</v>
      </c>
      <c r="AN21" s="19">
        <f t="shared" si="1"/>
        <v>1.2300469483568075</v>
      </c>
    </row>
    <row r="22" spans="2:40" ht="15" customHeight="1">
      <c r="B22" s="93"/>
      <c r="C22" s="96"/>
      <c r="D22" s="5">
        <v>0.75</v>
      </c>
      <c r="E22" s="27">
        <v>34</v>
      </c>
      <c r="F22" s="28">
        <v>40</v>
      </c>
      <c r="G22" s="28">
        <v>36</v>
      </c>
      <c r="H22" s="28">
        <v>145</v>
      </c>
      <c r="I22" s="28">
        <v>310</v>
      </c>
      <c r="J22" s="28">
        <v>612</v>
      </c>
      <c r="K22" s="28">
        <v>1240</v>
      </c>
      <c r="L22" s="29">
        <v>4640</v>
      </c>
      <c r="M22" s="27">
        <v>31</v>
      </c>
      <c r="N22" s="28">
        <v>39</v>
      </c>
      <c r="O22" s="28">
        <v>30</v>
      </c>
      <c r="P22" s="28">
        <v>129</v>
      </c>
      <c r="Q22" s="28">
        <v>266</v>
      </c>
      <c r="R22" s="28">
        <v>532</v>
      </c>
      <c r="S22" s="28">
        <v>1064</v>
      </c>
      <c r="T22" s="29">
        <v>4016</v>
      </c>
      <c r="V22" s="87"/>
      <c r="W22" s="96"/>
      <c r="X22" s="5">
        <v>0.75</v>
      </c>
      <c r="Y22" s="18">
        <f t="shared" si="2"/>
        <v>0.47058823529411764</v>
      </c>
      <c r="Z22" s="12">
        <f t="shared" si="2"/>
        <v>0.45</v>
      </c>
      <c r="AA22" s="12">
        <f t="shared" si="2"/>
        <v>0.55555555555555558</v>
      </c>
      <c r="AB22" s="12">
        <f t="shared" si="2"/>
        <v>1.1655172413793105</v>
      </c>
      <c r="AC22" s="12">
        <f t="shared" si="2"/>
        <v>1.0903225806451613</v>
      </c>
      <c r="AD22" s="12">
        <f t="shared" si="2"/>
        <v>1.0915032679738561</v>
      </c>
      <c r="AE22" s="12">
        <f t="shared" si="2"/>
        <v>1.0774193548387097</v>
      </c>
      <c r="AF22" s="19">
        <f t="shared" si="2"/>
        <v>1.1379310344827587</v>
      </c>
      <c r="AG22" s="18">
        <f t="shared" si="2"/>
        <v>0.967741935483871</v>
      </c>
      <c r="AH22" s="12">
        <f t="shared" si="2"/>
        <v>0.87179487179487181</v>
      </c>
      <c r="AI22" s="12">
        <f t="shared" si="2"/>
        <v>1</v>
      </c>
      <c r="AJ22" s="12">
        <f t="shared" si="2"/>
        <v>1.0775193798449612</v>
      </c>
      <c r="AK22" s="12">
        <f t="shared" si="2"/>
        <v>1.0451127819548873</v>
      </c>
      <c r="AL22" s="12">
        <f t="shared" si="2"/>
        <v>1.0451127819548873</v>
      </c>
      <c r="AM22" s="12">
        <f t="shared" si="2"/>
        <v>1.0300751879699248</v>
      </c>
      <c r="AN22" s="19">
        <f t="shared" si="1"/>
        <v>1.0916334661354581</v>
      </c>
    </row>
    <row r="23" spans="2:40" ht="15" customHeight="1" thickBot="1">
      <c r="B23" s="93"/>
      <c r="C23" s="97"/>
      <c r="D23" s="6">
        <v>1</v>
      </c>
      <c r="E23" s="30">
        <v>27</v>
      </c>
      <c r="F23" s="31">
        <v>38</v>
      </c>
      <c r="G23" s="31">
        <v>74</v>
      </c>
      <c r="H23" s="31">
        <v>145</v>
      </c>
      <c r="I23" s="31">
        <v>286</v>
      </c>
      <c r="J23" s="31">
        <v>572</v>
      </c>
      <c r="K23" s="31">
        <v>1160</v>
      </c>
      <c r="L23" s="32">
        <v>5792</v>
      </c>
      <c r="M23" s="30">
        <v>26</v>
      </c>
      <c r="N23" s="31">
        <v>35</v>
      </c>
      <c r="O23" s="31">
        <v>68</v>
      </c>
      <c r="P23" s="31">
        <v>133</v>
      </c>
      <c r="Q23" s="31">
        <v>262</v>
      </c>
      <c r="R23" s="31">
        <v>516</v>
      </c>
      <c r="S23" s="31">
        <v>1048</v>
      </c>
      <c r="T23" s="32">
        <v>5472</v>
      </c>
      <c r="V23" s="87"/>
      <c r="W23" s="97"/>
      <c r="X23" s="6">
        <v>1</v>
      </c>
      <c r="Y23" s="20">
        <f t="shared" si="2"/>
        <v>0.59259259259259256</v>
      </c>
      <c r="Z23" s="21">
        <f t="shared" si="2"/>
        <v>1.131578947368421</v>
      </c>
      <c r="AA23" s="21">
        <f t="shared" si="2"/>
        <v>1.1756756756756757</v>
      </c>
      <c r="AB23" s="21">
        <f t="shared" si="2"/>
        <v>1.2068965517241379</v>
      </c>
      <c r="AC23" s="21">
        <f t="shared" si="2"/>
        <v>1.1958041958041958</v>
      </c>
      <c r="AD23" s="21">
        <f t="shared" si="2"/>
        <v>1.1958041958041958</v>
      </c>
      <c r="AE23" s="21">
        <f t="shared" si="2"/>
        <v>1.1655172413793105</v>
      </c>
      <c r="AF23" s="22">
        <f t="shared" si="2"/>
        <v>0.91160220994475138</v>
      </c>
      <c r="AG23" s="20">
        <f t="shared" si="2"/>
        <v>0.61538461538461542</v>
      </c>
      <c r="AH23" s="21">
        <f t="shared" si="2"/>
        <v>0.65714285714285714</v>
      </c>
      <c r="AI23" s="21">
        <f t="shared" si="2"/>
        <v>0.66176470588235292</v>
      </c>
      <c r="AJ23" s="21">
        <f t="shared" si="2"/>
        <v>0.66917293233082709</v>
      </c>
      <c r="AK23" s="21">
        <f t="shared" si="2"/>
        <v>0.67557251908396942</v>
      </c>
      <c r="AL23" s="21">
        <f t="shared" si="2"/>
        <v>0.68604651162790697</v>
      </c>
      <c r="AM23" s="21">
        <f t="shared" si="2"/>
        <v>0.67557251908396942</v>
      </c>
      <c r="AN23" s="22">
        <f t="shared" si="1"/>
        <v>0.51754385964912286</v>
      </c>
    </row>
    <row r="24" spans="2:40" ht="15" customHeight="1">
      <c r="B24" s="93"/>
      <c r="C24" s="95" t="s">
        <v>8</v>
      </c>
      <c r="D24" s="7">
        <v>0.25</v>
      </c>
      <c r="E24" s="33">
        <v>3822</v>
      </c>
      <c r="F24" s="34">
        <v>7127</v>
      </c>
      <c r="G24" s="34">
        <v>12316</v>
      </c>
      <c r="H24" s="34">
        <v>19708</v>
      </c>
      <c r="I24" s="34">
        <v>29312</v>
      </c>
      <c r="J24" s="34">
        <v>34347</v>
      </c>
      <c r="K24" s="34">
        <v>34465</v>
      </c>
      <c r="L24" s="35">
        <v>34438</v>
      </c>
      <c r="M24" s="33">
        <v>3985</v>
      </c>
      <c r="N24" s="34">
        <v>7638</v>
      </c>
      <c r="O24" s="34">
        <v>13614</v>
      </c>
      <c r="P24" s="34">
        <v>22836</v>
      </c>
      <c r="Q24" s="34">
        <v>35711</v>
      </c>
      <c r="R24" s="34">
        <v>45332</v>
      </c>
      <c r="S24" s="34">
        <v>45263</v>
      </c>
      <c r="T24" s="35">
        <v>45323</v>
      </c>
      <c r="V24" s="87"/>
      <c r="W24" s="89" t="s">
        <v>8</v>
      </c>
      <c r="X24" s="4">
        <v>0.25</v>
      </c>
      <c r="Y24" s="15">
        <f t="shared" si="2"/>
        <v>1.2250130821559393</v>
      </c>
      <c r="Z24" s="16">
        <f t="shared" si="2"/>
        <v>1.2486319629577662</v>
      </c>
      <c r="AA24" s="16">
        <f t="shared" si="2"/>
        <v>1.3167424488470283</v>
      </c>
      <c r="AB24" s="16">
        <f t="shared" si="2"/>
        <v>1.3753805561193424</v>
      </c>
      <c r="AC24" s="16">
        <f t="shared" si="2"/>
        <v>1.2972502729257642</v>
      </c>
      <c r="AD24" s="16">
        <f t="shared" si="2"/>
        <v>1.265962092759193</v>
      </c>
      <c r="AE24" s="16">
        <f t="shared" si="2"/>
        <v>1.2640649934716379</v>
      </c>
      <c r="AF24" s="17">
        <f t="shared" si="2"/>
        <v>1.2640106858702596</v>
      </c>
      <c r="AG24" s="15">
        <f t="shared" si="2"/>
        <v>1.1974905897114179</v>
      </c>
      <c r="AH24" s="16">
        <f t="shared" si="2"/>
        <v>1.1963864886095836</v>
      </c>
      <c r="AI24" s="16">
        <f t="shared" si="2"/>
        <v>1.2447480534743647</v>
      </c>
      <c r="AJ24" s="16">
        <f t="shared" si="2"/>
        <v>1.299877386582589</v>
      </c>
      <c r="AK24" s="16">
        <f t="shared" si="2"/>
        <v>1.2831060457562096</v>
      </c>
      <c r="AL24" s="16">
        <f t="shared" si="2"/>
        <v>1.302413306273714</v>
      </c>
      <c r="AM24" s="16">
        <f t="shared" si="2"/>
        <v>1.312661555796125</v>
      </c>
      <c r="AN24" s="17">
        <f t="shared" si="1"/>
        <v>1.315336584074311</v>
      </c>
    </row>
    <row r="25" spans="2:40" ht="15" customHeight="1">
      <c r="B25" s="93"/>
      <c r="C25" s="96"/>
      <c r="D25" s="5">
        <v>0.5</v>
      </c>
      <c r="E25" s="27">
        <v>9192</v>
      </c>
      <c r="F25" s="28">
        <v>16131</v>
      </c>
      <c r="G25" s="28">
        <v>25936</v>
      </c>
      <c r="H25" s="28">
        <v>38867</v>
      </c>
      <c r="I25" s="28">
        <v>45226</v>
      </c>
      <c r="J25" s="28">
        <v>45458</v>
      </c>
      <c r="K25" s="28">
        <v>45883</v>
      </c>
      <c r="L25" s="29">
        <v>46022</v>
      </c>
      <c r="M25" s="27">
        <v>9949</v>
      </c>
      <c r="N25" s="28">
        <v>18180</v>
      </c>
      <c r="O25" s="28">
        <v>30401</v>
      </c>
      <c r="P25" s="28">
        <v>48300</v>
      </c>
      <c r="Q25" s="28">
        <v>56349</v>
      </c>
      <c r="R25" s="28">
        <v>56553</v>
      </c>
      <c r="S25" s="28">
        <v>56477</v>
      </c>
      <c r="T25" s="29">
        <v>56441</v>
      </c>
      <c r="V25" s="87"/>
      <c r="W25" s="90"/>
      <c r="X25" s="5">
        <v>0.5</v>
      </c>
      <c r="Y25" s="18">
        <f t="shared" si="2"/>
        <v>1.3065709312445606</v>
      </c>
      <c r="Z25" s="12">
        <f t="shared" si="2"/>
        <v>1.3674291736408157</v>
      </c>
      <c r="AA25" s="12">
        <f t="shared" si="2"/>
        <v>1.438733806292412</v>
      </c>
      <c r="AB25" s="12">
        <f t="shared" si="2"/>
        <v>1.4017804306995651</v>
      </c>
      <c r="AC25" s="12">
        <f t="shared" si="2"/>
        <v>1.3930703577588113</v>
      </c>
      <c r="AD25" s="12">
        <f t="shared" si="2"/>
        <v>1.3875005499582032</v>
      </c>
      <c r="AE25" s="12">
        <f t="shared" si="2"/>
        <v>1.3736024235555653</v>
      </c>
      <c r="AF25" s="19">
        <f t="shared" si="2"/>
        <v>1.3674112381035157</v>
      </c>
      <c r="AG25" s="18">
        <f t="shared" si="2"/>
        <v>1.230877475123128</v>
      </c>
      <c r="AH25" s="12">
        <f t="shared" si="2"/>
        <v>1.2501100110011001</v>
      </c>
      <c r="AI25" s="12">
        <f t="shared" si="2"/>
        <v>1.3070951613433768</v>
      </c>
      <c r="AJ25" s="12">
        <f t="shared" si="2"/>
        <v>1.2765631469979295</v>
      </c>
      <c r="AK25" s="12">
        <f t="shared" si="2"/>
        <v>1.4383041402686827</v>
      </c>
      <c r="AL25" s="12">
        <f t="shared" si="2"/>
        <v>1.4260428270825598</v>
      </c>
      <c r="AM25" s="12">
        <f t="shared" si="2"/>
        <v>1.4289710855746587</v>
      </c>
      <c r="AN25" s="19">
        <f t="shared" si="1"/>
        <v>1.4246912705302883</v>
      </c>
    </row>
    <row r="26" spans="2:40" ht="15" customHeight="1">
      <c r="B26" s="93"/>
      <c r="C26" s="96"/>
      <c r="D26" s="5">
        <v>0.75</v>
      </c>
      <c r="E26" s="27">
        <v>18582</v>
      </c>
      <c r="F26" s="28">
        <v>31456</v>
      </c>
      <c r="G26" s="28">
        <v>48270</v>
      </c>
      <c r="H26" s="28">
        <v>52244</v>
      </c>
      <c r="I26" s="28">
        <v>52317</v>
      </c>
      <c r="J26" s="28">
        <v>52400</v>
      </c>
      <c r="K26" s="28">
        <v>52664</v>
      </c>
      <c r="L26" s="29">
        <v>52705</v>
      </c>
      <c r="M26" s="27">
        <v>20728</v>
      </c>
      <c r="N26" s="28">
        <v>36562</v>
      </c>
      <c r="O26" s="28">
        <v>59192</v>
      </c>
      <c r="P26" s="28">
        <v>61694</v>
      </c>
      <c r="Q26" s="28">
        <v>61784</v>
      </c>
      <c r="R26" s="28">
        <v>61830</v>
      </c>
      <c r="S26" s="28">
        <v>61931</v>
      </c>
      <c r="T26" s="29">
        <v>61889</v>
      </c>
      <c r="V26" s="87"/>
      <c r="W26" s="90"/>
      <c r="X26" s="5">
        <v>0.75</v>
      </c>
      <c r="Y26" s="18">
        <f t="shared" si="2"/>
        <v>1.4036702184910128</v>
      </c>
      <c r="Z26" s="12">
        <f t="shared" si="2"/>
        <v>1.4302835707019328</v>
      </c>
      <c r="AA26" s="12">
        <f t="shared" si="2"/>
        <v>1.4344520406049306</v>
      </c>
      <c r="AB26" s="12">
        <f t="shared" si="2"/>
        <v>1.4878072123114616</v>
      </c>
      <c r="AC26" s="12">
        <f t="shared" si="2"/>
        <v>1.4868016132423496</v>
      </c>
      <c r="AD26" s="12">
        <f t="shared" si="2"/>
        <v>1.4867175572519085</v>
      </c>
      <c r="AE26" s="12">
        <f t="shared" si="2"/>
        <v>1.4784102992556585</v>
      </c>
      <c r="AF26" s="19">
        <f t="shared" si="2"/>
        <v>1.4741865098188027</v>
      </c>
      <c r="AG26" s="18">
        <f t="shared" si="2"/>
        <v>1.277933230412968</v>
      </c>
      <c r="AH26" s="12">
        <f t="shared" si="2"/>
        <v>1.2770362671626279</v>
      </c>
      <c r="AI26" s="12">
        <f t="shared" si="2"/>
        <v>1.2359271523178808</v>
      </c>
      <c r="AJ26" s="12">
        <f t="shared" si="2"/>
        <v>1.5466982202483224</v>
      </c>
      <c r="AK26" s="12">
        <f t="shared" si="2"/>
        <v>1.5414184902240062</v>
      </c>
      <c r="AL26" s="12">
        <f t="shared" si="2"/>
        <v>1.5394468704512372</v>
      </c>
      <c r="AM26" s="12">
        <f t="shared" si="2"/>
        <v>1.5402464032552357</v>
      </c>
      <c r="AN26" s="19">
        <f t="shared" si="1"/>
        <v>1.5327441063840102</v>
      </c>
    </row>
    <row r="27" spans="2:40" ht="15" customHeight="1" thickBot="1">
      <c r="B27" s="94"/>
      <c r="C27" s="97"/>
      <c r="D27" s="6">
        <v>1</v>
      </c>
      <c r="E27" s="30">
        <v>58127</v>
      </c>
      <c r="F27" s="31">
        <v>58151</v>
      </c>
      <c r="G27" s="31">
        <v>58139</v>
      </c>
      <c r="H27" s="31">
        <v>58137</v>
      </c>
      <c r="I27" s="31">
        <v>58133</v>
      </c>
      <c r="J27" s="31">
        <v>58142</v>
      </c>
      <c r="K27" s="31">
        <v>58132</v>
      </c>
      <c r="L27" s="32">
        <v>58128</v>
      </c>
      <c r="M27" s="30">
        <v>63542</v>
      </c>
      <c r="N27" s="31">
        <v>63550</v>
      </c>
      <c r="O27" s="31">
        <v>63501</v>
      </c>
      <c r="P27" s="31">
        <v>63504</v>
      </c>
      <c r="Q27" s="31">
        <v>63514</v>
      </c>
      <c r="R27" s="31">
        <v>63518</v>
      </c>
      <c r="S27" s="31">
        <v>63513</v>
      </c>
      <c r="T27" s="32">
        <v>63533</v>
      </c>
      <c r="V27" s="88"/>
      <c r="W27" s="91"/>
      <c r="X27" s="6">
        <v>1</v>
      </c>
      <c r="Y27" s="20">
        <f t="shared" si="2"/>
        <v>1.5051353071722264</v>
      </c>
      <c r="Z27" s="21">
        <f t="shared" si="2"/>
        <v>1.5831713986001961</v>
      </c>
      <c r="AA27" s="21">
        <f t="shared" si="2"/>
        <v>1.5842377749875298</v>
      </c>
      <c r="AB27" s="21">
        <f t="shared" si="2"/>
        <v>1.5831742263962709</v>
      </c>
      <c r="AC27" s="21">
        <f t="shared" si="2"/>
        <v>1.5834551803622727</v>
      </c>
      <c r="AD27" s="21">
        <f t="shared" si="2"/>
        <v>1.5827800901241786</v>
      </c>
      <c r="AE27" s="21">
        <f t="shared" si="2"/>
        <v>1.584273721874355</v>
      </c>
      <c r="AF27" s="22">
        <f t="shared" si="2"/>
        <v>1.5835569777043765</v>
      </c>
      <c r="AG27" s="20">
        <f t="shared" si="2"/>
        <v>1.3769003178999717</v>
      </c>
      <c r="AH27" s="21">
        <f t="shared" si="2"/>
        <v>1.4301494885916601</v>
      </c>
      <c r="AI27" s="21">
        <f t="shared" si="2"/>
        <v>1.431253051133053</v>
      </c>
      <c r="AJ27" s="21">
        <f t="shared" si="2"/>
        <v>1.4311854371378181</v>
      </c>
      <c r="AK27" s="21">
        <f t="shared" si="2"/>
        <v>1.4309601032843153</v>
      </c>
      <c r="AL27" s="21">
        <f t="shared" si="2"/>
        <v>1.4308699896092447</v>
      </c>
      <c r="AM27" s="21">
        <f t="shared" si="2"/>
        <v>1.4309826334766111</v>
      </c>
      <c r="AN27" s="22">
        <f t="shared" si="1"/>
        <v>1.4305321643870115</v>
      </c>
    </row>
    <row r="28" spans="2:40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2:40" ht="15" customHeight="1" thickBot="1">
      <c r="B29" s="112" t="s">
        <v>65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5"/>
      <c r="M29" s="83" t="s">
        <v>24</v>
      </c>
      <c r="N29" s="84"/>
      <c r="O29" s="84"/>
      <c r="P29" s="84"/>
      <c r="Q29" s="84"/>
      <c r="R29" s="84"/>
      <c r="S29" s="84"/>
      <c r="T29" s="85"/>
      <c r="V29" s="13" t="s">
        <v>20</v>
      </c>
      <c r="W29" s="14">
        <f>(COUNTIF(Y4:AN11,"&lt;1.1")+COUNTIF(Y16:AN23,"&lt;1.1"))/(COUNT(Y4:AN11)+COUNT(Y16:AN23))</f>
        <v>0.80859375</v>
      </c>
      <c r="X29" s="109" t="s">
        <v>19</v>
      </c>
      <c r="Y29" s="110"/>
      <c r="Z29" s="110"/>
      <c r="AA29" s="110"/>
      <c r="AB29" s="111"/>
    </row>
    <row r="30" spans="2:40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3" t="s">
        <v>17</v>
      </c>
      <c r="M30" s="1" t="s">
        <v>0</v>
      </c>
      <c r="N30" s="2" t="s">
        <v>1</v>
      </c>
      <c r="O30" s="2" t="s">
        <v>2</v>
      </c>
      <c r="P30" s="2" t="s">
        <v>3</v>
      </c>
      <c r="Q30" s="2" t="s">
        <v>4</v>
      </c>
      <c r="R30" s="2" t="s">
        <v>18</v>
      </c>
      <c r="S30" s="2" t="s">
        <v>16</v>
      </c>
      <c r="T30" s="3" t="s">
        <v>17</v>
      </c>
      <c r="V30" s="13" t="s">
        <v>21</v>
      </c>
      <c r="W30" s="23">
        <f>(COUNTIF(Y4:AN11,"&lt;1.1"))/(COUNT(Y4:AN11))</f>
        <v>1</v>
      </c>
      <c r="X30" s="109" t="s">
        <v>19</v>
      </c>
      <c r="Y30" s="110"/>
      <c r="Z30" s="110"/>
      <c r="AA30" s="110"/>
      <c r="AB30" s="111"/>
    </row>
    <row r="31" spans="2:40" ht="15" customHeight="1" thickBot="1">
      <c r="B31" s="92" t="s">
        <v>5</v>
      </c>
      <c r="C31" s="98" t="s">
        <v>6</v>
      </c>
      <c r="D31" s="4">
        <v>0.25</v>
      </c>
      <c r="E31" s="36">
        <v>266</v>
      </c>
      <c r="F31" s="37">
        <v>314</v>
      </c>
      <c r="G31" s="37">
        <v>386</v>
      </c>
      <c r="H31" s="37">
        <v>426</v>
      </c>
      <c r="I31" s="37">
        <v>462</v>
      </c>
      <c r="J31" s="37">
        <v>516</v>
      </c>
      <c r="K31" s="37">
        <v>540</v>
      </c>
      <c r="L31" s="38">
        <v>442</v>
      </c>
      <c r="M31" s="36">
        <v>330</v>
      </c>
      <c r="N31" s="37">
        <v>402</v>
      </c>
      <c r="O31" s="37">
        <v>498</v>
      </c>
      <c r="P31" s="37">
        <v>564</v>
      </c>
      <c r="Q31" s="37">
        <v>612</v>
      </c>
      <c r="R31" s="37">
        <v>660</v>
      </c>
      <c r="S31" s="37">
        <v>676</v>
      </c>
      <c r="T31" s="38">
        <v>628</v>
      </c>
      <c r="V31" s="13" t="s">
        <v>22</v>
      </c>
      <c r="W31" s="23">
        <f>COUNTIF(Y16:AN23,"&lt;1.1")/+COUNT(Y16:AN23)</f>
        <v>0.6171875</v>
      </c>
      <c r="X31" s="109" t="s">
        <v>19</v>
      </c>
      <c r="Y31" s="110"/>
      <c r="Z31" s="110"/>
      <c r="AA31" s="110"/>
      <c r="AB31" s="111"/>
    </row>
    <row r="32" spans="2:40" ht="15" customHeight="1">
      <c r="B32" s="93"/>
      <c r="C32" s="96"/>
      <c r="D32" s="5">
        <v>0.5</v>
      </c>
      <c r="E32" s="39">
        <v>213</v>
      </c>
      <c r="F32" s="40">
        <v>262</v>
      </c>
      <c r="G32" s="40">
        <v>310</v>
      </c>
      <c r="H32" s="40">
        <v>382</v>
      </c>
      <c r="I32" s="40">
        <v>470</v>
      </c>
      <c r="J32" s="40">
        <v>628</v>
      </c>
      <c r="K32" s="40">
        <v>948</v>
      </c>
      <c r="L32" s="41">
        <v>2608</v>
      </c>
      <c r="M32" s="39">
        <v>213</v>
      </c>
      <c r="N32" s="40">
        <v>302</v>
      </c>
      <c r="O32" s="40">
        <v>370</v>
      </c>
      <c r="P32" s="40">
        <v>466</v>
      </c>
      <c r="Q32" s="40">
        <v>572</v>
      </c>
      <c r="R32" s="40">
        <v>796</v>
      </c>
      <c r="S32" s="40">
        <v>1048</v>
      </c>
      <c r="T32" s="41">
        <v>796</v>
      </c>
    </row>
    <row r="33" spans="2:20" ht="15" customHeight="1">
      <c r="B33" s="93"/>
      <c r="C33" s="96"/>
      <c r="D33" s="5">
        <v>0.75</v>
      </c>
      <c r="E33" s="39">
        <v>124</v>
      </c>
      <c r="F33" s="40">
        <v>197</v>
      </c>
      <c r="G33" s="40">
        <v>258</v>
      </c>
      <c r="H33" s="40">
        <v>318</v>
      </c>
      <c r="I33" s="40">
        <v>398</v>
      </c>
      <c r="J33" s="40">
        <v>540</v>
      </c>
      <c r="K33" s="40">
        <v>812</v>
      </c>
      <c r="L33" s="41">
        <v>2384</v>
      </c>
      <c r="M33" s="39">
        <v>111</v>
      </c>
      <c r="N33" s="40">
        <v>177</v>
      </c>
      <c r="O33" s="40">
        <v>270</v>
      </c>
      <c r="P33" s="40">
        <v>346</v>
      </c>
      <c r="Q33" s="40">
        <v>446</v>
      </c>
      <c r="R33" s="40">
        <v>588</v>
      </c>
      <c r="S33" s="40">
        <v>844</v>
      </c>
      <c r="T33" s="41">
        <v>2128</v>
      </c>
    </row>
    <row r="34" spans="2:20" ht="15" customHeight="1" thickBot="1">
      <c r="B34" s="93"/>
      <c r="C34" s="97"/>
      <c r="D34" s="6">
        <v>1</v>
      </c>
      <c r="E34" s="42">
        <v>69</v>
      </c>
      <c r="F34" s="43">
        <v>89</v>
      </c>
      <c r="G34" s="43">
        <v>105</v>
      </c>
      <c r="H34" s="43">
        <v>120</v>
      </c>
      <c r="I34" s="43">
        <v>159</v>
      </c>
      <c r="J34" s="43">
        <v>241</v>
      </c>
      <c r="K34" s="43">
        <v>446</v>
      </c>
      <c r="L34" s="44">
        <v>1020</v>
      </c>
      <c r="M34" s="42">
        <v>68</v>
      </c>
      <c r="N34" s="43">
        <v>72</v>
      </c>
      <c r="O34" s="43">
        <v>97</v>
      </c>
      <c r="P34" s="43">
        <v>108</v>
      </c>
      <c r="Q34" s="43">
        <v>125</v>
      </c>
      <c r="R34" s="43">
        <v>165</v>
      </c>
      <c r="S34" s="43">
        <v>239</v>
      </c>
      <c r="T34" s="44">
        <v>588</v>
      </c>
    </row>
    <row r="35" spans="2:20" ht="15" customHeight="1">
      <c r="B35" s="93"/>
      <c r="C35" s="98" t="s">
        <v>7</v>
      </c>
      <c r="D35" s="4">
        <v>0.25</v>
      </c>
      <c r="E35" s="36">
        <v>564</v>
      </c>
      <c r="F35" s="37">
        <v>852</v>
      </c>
      <c r="G35" s="37">
        <v>884</v>
      </c>
      <c r="H35" s="37">
        <v>924</v>
      </c>
      <c r="I35" s="37">
        <v>956</v>
      </c>
      <c r="J35" s="37">
        <v>988</v>
      </c>
      <c r="K35" s="37">
        <v>1048</v>
      </c>
      <c r="L35" s="38">
        <v>964</v>
      </c>
      <c r="M35" s="36">
        <v>748</v>
      </c>
      <c r="N35" s="37">
        <v>836</v>
      </c>
      <c r="O35" s="37">
        <v>892</v>
      </c>
      <c r="P35" s="37">
        <v>956</v>
      </c>
      <c r="Q35" s="37">
        <v>1004</v>
      </c>
      <c r="R35" s="37">
        <v>1096</v>
      </c>
      <c r="S35" s="37">
        <v>1208</v>
      </c>
      <c r="T35" s="38">
        <v>1032</v>
      </c>
    </row>
    <row r="36" spans="2:20" ht="15" customHeight="1">
      <c r="B36" s="93"/>
      <c r="C36" s="96"/>
      <c r="D36" s="5">
        <v>0.5</v>
      </c>
      <c r="E36" s="39">
        <v>540</v>
      </c>
      <c r="F36" s="40">
        <v>556</v>
      </c>
      <c r="G36" s="40">
        <v>836</v>
      </c>
      <c r="H36" s="40">
        <v>884</v>
      </c>
      <c r="I36" s="40">
        <v>932</v>
      </c>
      <c r="J36" s="40">
        <v>1096</v>
      </c>
      <c r="K36" s="40">
        <v>1400</v>
      </c>
      <c r="L36" s="41">
        <v>3984</v>
      </c>
      <c r="M36" s="39">
        <v>732</v>
      </c>
      <c r="N36" s="40">
        <v>740</v>
      </c>
      <c r="O36" s="40">
        <v>812</v>
      </c>
      <c r="P36" s="40">
        <v>884</v>
      </c>
      <c r="Q36" s="40">
        <v>972</v>
      </c>
      <c r="R36" s="40">
        <v>1224</v>
      </c>
      <c r="S36" s="40">
        <v>1560</v>
      </c>
      <c r="T36" s="41">
        <v>3440</v>
      </c>
    </row>
    <row r="37" spans="2:20" ht="15" customHeight="1">
      <c r="B37" s="93"/>
      <c r="C37" s="96"/>
      <c r="D37" s="5">
        <v>0.75</v>
      </c>
      <c r="E37" s="39">
        <v>498</v>
      </c>
      <c r="F37" s="40">
        <v>532</v>
      </c>
      <c r="G37" s="40">
        <v>556</v>
      </c>
      <c r="H37" s="40">
        <v>740</v>
      </c>
      <c r="I37" s="40">
        <v>876</v>
      </c>
      <c r="J37" s="40">
        <v>980</v>
      </c>
      <c r="K37" s="40">
        <v>1336</v>
      </c>
      <c r="L37" s="41">
        <v>3088</v>
      </c>
      <c r="M37" s="39">
        <v>660</v>
      </c>
      <c r="N37" s="40">
        <v>700</v>
      </c>
      <c r="O37" s="40">
        <v>740</v>
      </c>
      <c r="P37" s="40">
        <v>772</v>
      </c>
      <c r="Q37" s="40">
        <v>876</v>
      </c>
      <c r="R37" s="40">
        <v>1064</v>
      </c>
      <c r="S37" s="40">
        <v>1368</v>
      </c>
      <c r="T37" s="41">
        <v>2736</v>
      </c>
    </row>
    <row r="38" spans="2:20" ht="15" customHeight="1" thickBot="1">
      <c r="B38" s="93"/>
      <c r="C38" s="97"/>
      <c r="D38" s="6">
        <v>1</v>
      </c>
      <c r="E38" s="42">
        <v>90</v>
      </c>
      <c r="F38" s="43">
        <v>120</v>
      </c>
      <c r="G38" s="43">
        <v>153</v>
      </c>
      <c r="H38" s="43">
        <v>193</v>
      </c>
      <c r="I38" s="43">
        <v>270</v>
      </c>
      <c r="J38" s="43">
        <v>442</v>
      </c>
      <c r="K38" s="43">
        <v>812</v>
      </c>
      <c r="L38" s="44">
        <v>1688</v>
      </c>
      <c r="M38" s="42">
        <v>73</v>
      </c>
      <c r="N38" s="43">
        <v>117</v>
      </c>
      <c r="O38" s="43">
        <v>139</v>
      </c>
      <c r="P38" s="43">
        <v>161</v>
      </c>
      <c r="Q38" s="43">
        <v>203</v>
      </c>
      <c r="R38" s="43">
        <v>278</v>
      </c>
      <c r="S38" s="43">
        <v>410</v>
      </c>
      <c r="T38" s="44">
        <v>764</v>
      </c>
    </row>
    <row r="39" spans="2:20" ht="15" customHeight="1">
      <c r="B39" s="93"/>
      <c r="C39" s="98" t="s">
        <v>8</v>
      </c>
      <c r="D39" s="4">
        <v>0.25</v>
      </c>
      <c r="E39" s="36">
        <v>8698</v>
      </c>
      <c r="F39" s="37">
        <v>14995</v>
      </c>
      <c r="G39" s="37">
        <v>23091</v>
      </c>
      <c r="H39" s="37">
        <v>25912</v>
      </c>
      <c r="I39" s="37">
        <v>25930</v>
      </c>
      <c r="J39" s="37">
        <v>25972</v>
      </c>
      <c r="K39" s="37">
        <v>25956</v>
      </c>
      <c r="L39" s="38">
        <v>25891</v>
      </c>
      <c r="M39" s="36">
        <v>8835</v>
      </c>
      <c r="N39" s="37">
        <v>15559</v>
      </c>
      <c r="O39" s="37">
        <v>24388</v>
      </c>
      <c r="P39" s="37">
        <v>31794</v>
      </c>
      <c r="Q39" s="37">
        <v>31752</v>
      </c>
      <c r="R39" s="37">
        <v>31723</v>
      </c>
      <c r="S39" s="37">
        <v>31795</v>
      </c>
      <c r="T39" s="38">
        <v>31607</v>
      </c>
    </row>
    <row r="40" spans="2:20" ht="15" customHeight="1">
      <c r="B40" s="93"/>
      <c r="C40" s="96"/>
      <c r="D40" s="5">
        <v>0.5</v>
      </c>
      <c r="E40" s="39">
        <v>12012</v>
      </c>
      <c r="F40" s="40">
        <v>22054</v>
      </c>
      <c r="G40" s="40">
        <v>37312</v>
      </c>
      <c r="H40" s="40">
        <v>54495</v>
      </c>
      <c r="I40" s="40">
        <v>63001</v>
      </c>
      <c r="J40" s="40">
        <v>63067</v>
      </c>
      <c r="K40" s="40">
        <v>63031</v>
      </c>
      <c r="L40" s="41">
        <v>62928</v>
      </c>
      <c r="M40" s="39">
        <v>12257</v>
      </c>
      <c r="N40" s="40">
        <v>22730</v>
      </c>
      <c r="O40" s="40">
        <v>39739</v>
      </c>
      <c r="P40" s="40">
        <v>61657</v>
      </c>
      <c r="Q40" s="40">
        <v>81045</v>
      </c>
      <c r="R40" s="40">
        <v>80645</v>
      </c>
      <c r="S40" s="40">
        <v>80690</v>
      </c>
      <c r="T40" s="41">
        <v>80406</v>
      </c>
    </row>
    <row r="41" spans="2:20" ht="15" customHeight="1">
      <c r="B41" s="93"/>
      <c r="C41" s="96"/>
      <c r="D41" s="5">
        <v>0.75</v>
      </c>
      <c r="E41" s="39">
        <v>14046</v>
      </c>
      <c r="F41" s="40">
        <v>26687</v>
      </c>
      <c r="G41" s="40">
        <v>48657</v>
      </c>
      <c r="H41" s="40">
        <v>81350</v>
      </c>
      <c r="I41" s="40">
        <v>114096</v>
      </c>
      <c r="J41" s="40">
        <v>130437</v>
      </c>
      <c r="K41" s="40">
        <v>130767</v>
      </c>
      <c r="L41" s="41">
        <v>130505</v>
      </c>
      <c r="M41" s="39">
        <v>14300</v>
      </c>
      <c r="N41" s="40">
        <v>27409</v>
      </c>
      <c r="O41" s="40">
        <v>50845</v>
      </c>
      <c r="P41" s="40">
        <v>89053</v>
      </c>
      <c r="Q41" s="40">
        <v>137449</v>
      </c>
      <c r="R41" s="40">
        <v>177091</v>
      </c>
      <c r="S41" s="40">
        <v>178260</v>
      </c>
      <c r="T41" s="41">
        <v>178843</v>
      </c>
    </row>
    <row r="42" spans="2:20" ht="15" customHeight="1" thickBot="1">
      <c r="B42" s="94"/>
      <c r="C42" s="97"/>
      <c r="D42" s="6">
        <v>1</v>
      </c>
      <c r="E42" s="42">
        <v>16021</v>
      </c>
      <c r="F42" s="43">
        <v>31645</v>
      </c>
      <c r="G42" s="43">
        <v>61550</v>
      </c>
      <c r="H42" s="43">
        <v>116660</v>
      </c>
      <c r="I42" s="43">
        <v>209189</v>
      </c>
      <c r="J42" s="43">
        <v>337433</v>
      </c>
      <c r="K42" s="43">
        <v>459499</v>
      </c>
      <c r="L42" s="44">
        <v>513130</v>
      </c>
      <c r="M42" s="42">
        <v>16045</v>
      </c>
      <c r="N42" s="43">
        <v>31839</v>
      </c>
      <c r="O42" s="43">
        <v>62563</v>
      </c>
      <c r="P42" s="43">
        <v>120798</v>
      </c>
      <c r="Q42" s="43">
        <v>226144</v>
      </c>
      <c r="R42" s="43">
        <v>395670</v>
      </c>
      <c r="S42" s="43">
        <v>539907</v>
      </c>
      <c r="T42" s="44">
        <v>553428</v>
      </c>
    </row>
    <row r="43" spans="2:20" ht="15" customHeight="1">
      <c r="B43" s="83" t="s">
        <v>9</v>
      </c>
      <c r="C43" s="98" t="s">
        <v>6</v>
      </c>
      <c r="D43" s="4">
        <v>0.25</v>
      </c>
      <c r="E43" s="36">
        <v>11</v>
      </c>
      <c r="F43" s="37">
        <v>13</v>
      </c>
      <c r="G43" s="37">
        <v>15</v>
      </c>
      <c r="H43" s="37">
        <v>17</v>
      </c>
      <c r="I43" s="37">
        <v>19</v>
      </c>
      <c r="J43" s="37">
        <v>20</v>
      </c>
      <c r="K43" s="37">
        <v>20</v>
      </c>
      <c r="L43" s="38">
        <v>22</v>
      </c>
      <c r="M43" s="36">
        <v>11</v>
      </c>
      <c r="N43" s="37">
        <v>13</v>
      </c>
      <c r="O43" s="37">
        <v>15</v>
      </c>
      <c r="P43" s="37">
        <v>17</v>
      </c>
      <c r="Q43" s="37">
        <v>21</v>
      </c>
      <c r="R43" s="37">
        <v>24</v>
      </c>
      <c r="S43" s="37">
        <v>22</v>
      </c>
      <c r="T43" s="38">
        <v>24</v>
      </c>
    </row>
    <row r="44" spans="2:20" ht="15" customHeight="1">
      <c r="B44" s="93"/>
      <c r="C44" s="96"/>
      <c r="D44" s="5">
        <v>0.5</v>
      </c>
      <c r="E44" s="39">
        <v>11</v>
      </c>
      <c r="F44" s="40">
        <v>13</v>
      </c>
      <c r="G44" s="40">
        <v>15</v>
      </c>
      <c r="H44" s="40">
        <v>17</v>
      </c>
      <c r="I44" s="40">
        <v>239</v>
      </c>
      <c r="J44" s="40">
        <v>580</v>
      </c>
      <c r="K44" s="40">
        <v>1224</v>
      </c>
      <c r="L44" s="41">
        <v>4576</v>
      </c>
      <c r="M44" s="39">
        <v>12</v>
      </c>
      <c r="N44" s="40">
        <v>14</v>
      </c>
      <c r="O44" s="40">
        <v>15</v>
      </c>
      <c r="P44" s="40">
        <v>18</v>
      </c>
      <c r="Q44" s="40">
        <v>20</v>
      </c>
      <c r="R44" s="40">
        <v>454</v>
      </c>
      <c r="S44" s="40">
        <v>1020</v>
      </c>
      <c r="T44" s="41">
        <v>3504</v>
      </c>
    </row>
    <row r="45" spans="2:20" ht="15" customHeight="1">
      <c r="B45" s="93"/>
      <c r="C45" s="96"/>
      <c r="D45" s="5">
        <v>0.75</v>
      </c>
      <c r="E45" s="39">
        <v>11</v>
      </c>
      <c r="F45" s="40">
        <v>13</v>
      </c>
      <c r="G45" s="40">
        <v>15</v>
      </c>
      <c r="H45" s="40">
        <v>165</v>
      </c>
      <c r="I45" s="40">
        <v>330</v>
      </c>
      <c r="J45" s="40">
        <v>668</v>
      </c>
      <c r="K45" s="40">
        <v>1320</v>
      </c>
      <c r="L45" s="41">
        <v>4896</v>
      </c>
      <c r="M45" s="39">
        <v>13</v>
      </c>
      <c r="N45" s="40">
        <v>14</v>
      </c>
      <c r="O45" s="40">
        <v>15</v>
      </c>
      <c r="P45" s="40">
        <v>119</v>
      </c>
      <c r="Q45" s="40">
        <v>274</v>
      </c>
      <c r="R45" s="40">
        <v>548</v>
      </c>
      <c r="S45" s="40">
        <v>1080</v>
      </c>
      <c r="T45" s="41">
        <v>4192</v>
      </c>
    </row>
    <row r="46" spans="2:20" ht="15" customHeight="1" thickBot="1">
      <c r="B46" s="93"/>
      <c r="C46" s="97"/>
      <c r="D46" s="6">
        <v>1</v>
      </c>
      <c r="E46" s="42">
        <v>11</v>
      </c>
      <c r="F46" s="43">
        <v>41</v>
      </c>
      <c r="G46" s="43">
        <v>82</v>
      </c>
      <c r="H46" s="43">
        <v>165</v>
      </c>
      <c r="I46" s="43">
        <v>334</v>
      </c>
      <c r="J46" s="43">
        <v>668</v>
      </c>
      <c r="K46" s="43">
        <v>1336</v>
      </c>
      <c r="L46" s="44">
        <v>4128</v>
      </c>
      <c r="M46" s="42">
        <v>11</v>
      </c>
      <c r="N46" s="43">
        <v>21</v>
      </c>
      <c r="O46" s="43">
        <v>43</v>
      </c>
      <c r="P46" s="43">
        <v>87</v>
      </c>
      <c r="Q46" s="43">
        <v>175</v>
      </c>
      <c r="R46" s="43">
        <v>350</v>
      </c>
      <c r="S46" s="43">
        <v>700</v>
      </c>
      <c r="T46" s="44">
        <v>2832</v>
      </c>
    </row>
    <row r="47" spans="2:20" ht="15" customHeight="1">
      <c r="B47" s="93"/>
      <c r="C47" s="98" t="s">
        <v>7</v>
      </c>
      <c r="D47" s="4">
        <v>0.25</v>
      </c>
      <c r="E47" s="36">
        <v>16</v>
      </c>
      <c r="F47" s="37">
        <v>17</v>
      </c>
      <c r="G47" s="37">
        <v>19</v>
      </c>
      <c r="H47" s="37">
        <v>23</v>
      </c>
      <c r="I47" s="37">
        <v>26</v>
      </c>
      <c r="J47" s="37">
        <v>27</v>
      </c>
      <c r="K47" s="37">
        <v>27</v>
      </c>
      <c r="L47" s="38">
        <v>34</v>
      </c>
      <c r="M47" s="36">
        <v>28</v>
      </c>
      <c r="N47" s="37">
        <v>30</v>
      </c>
      <c r="O47" s="37">
        <v>27</v>
      </c>
      <c r="P47" s="37">
        <v>23</v>
      </c>
      <c r="Q47" s="37">
        <v>28</v>
      </c>
      <c r="R47" s="37">
        <v>36</v>
      </c>
      <c r="S47" s="37">
        <v>79</v>
      </c>
      <c r="T47" s="38">
        <v>318</v>
      </c>
    </row>
    <row r="48" spans="2:20" ht="15" customHeight="1">
      <c r="B48" s="93"/>
      <c r="C48" s="96"/>
      <c r="D48" s="5">
        <v>0.5</v>
      </c>
      <c r="E48" s="39">
        <v>16</v>
      </c>
      <c r="F48" s="40">
        <v>17</v>
      </c>
      <c r="G48" s="40">
        <v>20</v>
      </c>
      <c r="H48" s="40">
        <v>23</v>
      </c>
      <c r="I48" s="40">
        <v>310</v>
      </c>
      <c r="J48" s="40">
        <v>644</v>
      </c>
      <c r="K48" s="40">
        <v>1304</v>
      </c>
      <c r="L48" s="41">
        <v>4640</v>
      </c>
      <c r="M48" s="39">
        <v>30</v>
      </c>
      <c r="N48" s="40">
        <v>33</v>
      </c>
      <c r="O48" s="40">
        <v>28</v>
      </c>
      <c r="P48" s="40">
        <v>24</v>
      </c>
      <c r="Q48" s="40">
        <v>26</v>
      </c>
      <c r="R48" s="40">
        <v>524</v>
      </c>
      <c r="S48" s="40">
        <v>1080</v>
      </c>
      <c r="T48" s="41">
        <v>4192</v>
      </c>
    </row>
    <row r="49" spans="2:20" ht="15" customHeight="1">
      <c r="B49" s="93"/>
      <c r="C49" s="96"/>
      <c r="D49" s="5">
        <v>0.75</v>
      </c>
      <c r="E49" s="39">
        <v>16</v>
      </c>
      <c r="F49" s="40">
        <v>18</v>
      </c>
      <c r="G49" s="40">
        <v>20</v>
      </c>
      <c r="H49" s="40">
        <v>169</v>
      </c>
      <c r="I49" s="40">
        <v>338</v>
      </c>
      <c r="J49" s="40">
        <v>668</v>
      </c>
      <c r="K49" s="40">
        <v>1336</v>
      </c>
      <c r="L49" s="41">
        <v>5280</v>
      </c>
      <c r="M49" s="39">
        <v>30</v>
      </c>
      <c r="N49" s="40">
        <v>34</v>
      </c>
      <c r="O49" s="40">
        <v>30</v>
      </c>
      <c r="P49" s="40">
        <v>139</v>
      </c>
      <c r="Q49" s="40">
        <v>278</v>
      </c>
      <c r="R49" s="40">
        <v>556</v>
      </c>
      <c r="S49" s="40">
        <v>1096</v>
      </c>
      <c r="T49" s="41">
        <v>4384</v>
      </c>
    </row>
    <row r="50" spans="2:20" ht="15" customHeight="1" thickBot="1">
      <c r="B50" s="93"/>
      <c r="C50" s="97"/>
      <c r="D50" s="6">
        <v>1</v>
      </c>
      <c r="E50" s="42">
        <v>16</v>
      </c>
      <c r="F50" s="43">
        <v>43</v>
      </c>
      <c r="G50" s="43">
        <v>87</v>
      </c>
      <c r="H50" s="43">
        <v>175</v>
      </c>
      <c r="I50" s="43">
        <v>342</v>
      </c>
      <c r="J50" s="43">
        <v>684</v>
      </c>
      <c r="K50" s="43">
        <v>1352</v>
      </c>
      <c r="L50" s="44">
        <v>5280</v>
      </c>
      <c r="M50" s="42">
        <v>16</v>
      </c>
      <c r="N50" s="43">
        <v>23</v>
      </c>
      <c r="O50" s="43">
        <v>45</v>
      </c>
      <c r="P50" s="43">
        <v>89</v>
      </c>
      <c r="Q50" s="43">
        <v>177</v>
      </c>
      <c r="R50" s="43">
        <v>354</v>
      </c>
      <c r="S50" s="43">
        <v>708</v>
      </c>
      <c r="T50" s="44">
        <v>2832</v>
      </c>
    </row>
    <row r="51" spans="2:20" ht="15" customHeight="1">
      <c r="B51" s="93"/>
      <c r="C51" s="98" t="s">
        <v>8</v>
      </c>
      <c r="D51" s="4">
        <v>0.25</v>
      </c>
      <c r="E51" s="24">
        <v>4682</v>
      </c>
      <c r="F51" s="25">
        <v>8899</v>
      </c>
      <c r="G51" s="25">
        <v>16217</v>
      </c>
      <c r="H51" s="25">
        <v>27106</v>
      </c>
      <c r="I51" s="25">
        <v>38025</v>
      </c>
      <c r="J51" s="25">
        <v>43482</v>
      </c>
      <c r="K51" s="25">
        <v>43566</v>
      </c>
      <c r="L51" s="26">
        <v>43530</v>
      </c>
      <c r="M51" s="24">
        <v>4772</v>
      </c>
      <c r="N51" s="25">
        <v>9138</v>
      </c>
      <c r="O51" s="25">
        <v>16946</v>
      </c>
      <c r="P51" s="25">
        <v>29684</v>
      </c>
      <c r="Q51" s="25">
        <v>45821</v>
      </c>
      <c r="R51" s="25">
        <v>59041</v>
      </c>
      <c r="S51" s="25">
        <v>59415</v>
      </c>
      <c r="T51" s="26">
        <v>59615</v>
      </c>
    </row>
    <row r="52" spans="2:20" ht="15" customHeight="1">
      <c r="B52" s="93"/>
      <c r="C52" s="96"/>
      <c r="D52" s="5">
        <v>0.5</v>
      </c>
      <c r="E52" s="27">
        <v>12010</v>
      </c>
      <c r="F52" s="28">
        <v>22058</v>
      </c>
      <c r="G52" s="28">
        <v>37315</v>
      </c>
      <c r="H52" s="28">
        <v>54483</v>
      </c>
      <c r="I52" s="28">
        <v>63003</v>
      </c>
      <c r="J52" s="28">
        <v>63073</v>
      </c>
      <c r="K52" s="28">
        <v>63025</v>
      </c>
      <c r="L52" s="29">
        <v>62931</v>
      </c>
      <c r="M52" s="27">
        <v>12246</v>
      </c>
      <c r="N52" s="28">
        <v>22727</v>
      </c>
      <c r="O52" s="28">
        <v>39737</v>
      </c>
      <c r="P52" s="28">
        <v>61658</v>
      </c>
      <c r="Q52" s="28">
        <v>81047</v>
      </c>
      <c r="R52" s="28">
        <v>80647</v>
      </c>
      <c r="S52" s="28">
        <v>80704</v>
      </c>
      <c r="T52" s="29">
        <v>80411</v>
      </c>
    </row>
    <row r="53" spans="2:20" ht="15" customHeight="1">
      <c r="B53" s="93"/>
      <c r="C53" s="96"/>
      <c r="D53" s="5">
        <v>0.75</v>
      </c>
      <c r="E53" s="27">
        <v>26083</v>
      </c>
      <c r="F53" s="28">
        <v>44991</v>
      </c>
      <c r="G53" s="28">
        <v>69241</v>
      </c>
      <c r="H53" s="28">
        <v>77729</v>
      </c>
      <c r="I53" s="28">
        <v>77785</v>
      </c>
      <c r="J53" s="28">
        <v>77904</v>
      </c>
      <c r="K53" s="28">
        <v>77859</v>
      </c>
      <c r="L53" s="29">
        <v>77697</v>
      </c>
      <c r="M53" s="27">
        <v>26489</v>
      </c>
      <c r="N53" s="28">
        <v>46691</v>
      </c>
      <c r="O53" s="28">
        <v>73157</v>
      </c>
      <c r="P53" s="28">
        <v>95422</v>
      </c>
      <c r="Q53" s="28">
        <v>95235</v>
      </c>
      <c r="R53" s="28">
        <v>95184</v>
      </c>
      <c r="S53" s="28">
        <v>95389</v>
      </c>
      <c r="T53" s="29">
        <v>94860</v>
      </c>
    </row>
    <row r="54" spans="2:20" ht="15" customHeight="1" thickBot="1">
      <c r="B54" s="94"/>
      <c r="C54" s="97"/>
      <c r="D54" s="6">
        <v>1</v>
      </c>
      <c r="E54" s="30">
        <v>87489</v>
      </c>
      <c r="F54" s="31">
        <v>92063</v>
      </c>
      <c r="G54" s="31">
        <v>92106</v>
      </c>
      <c r="H54" s="31">
        <v>92041</v>
      </c>
      <c r="I54" s="31">
        <v>92051</v>
      </c>
      <c r="J54" s="31">
        <v>92026</v>
      </c>
      <c r="K54" s="31">
        <v>92097</v>
      </c>
      <c r="L54" s="32">
        <v>92049</v>
      </c>
      <c r="M54" s="30">
        <v>87491</v>
      </c>
      <c r="N54" s="31">
        <v>90886</v>
      </c>
      <c r="O54" s="31">
        <v>90886</v>
      </c>
      <c r="P54" s="31">
        <v>90886</v>
      </c>
      <c r="Q54" s="31">
        <v>90886</v>
      </c>
      <c r="R54" s="31">
        <v>90886</v>
      </c>
      <c r="S54" s="31">
        <v>90886</v>
      </c>
      <c r="T54" s="32">
        <v>90886</v>
      </c>
    </row>
  </sheetData>
  <mergeCells count="36">
    <mergeCell ref="B43:B54"/>
    <mergeCell ref="C43:C46"/>
    <mergeCell ref="C47:C50"/>
    <mergeCell ref="C51:C54"/>
    <mergeCell ref="B29:D30"/>
    <mergeCell ref="E29:L29"/>
    <mergeCell ref="M29:T29"/>
    <mergeCell ref="X29:AB29"/>
    <mergeCell ref="X30:AB30"/>
    <mergeCell ref="B31:B42"/>
    <mergeCell ref="C31:C34"/>
    <mergeCell ref="X31:AB31"/>
    <mergeCell ref="C35:C38"/>
    <mergeCell ref="C39:C42"/>
    <mergeCell ref="B16:B27"/>
    <mergeCell ref="C16:C19"/>
    <mergeCell ref="V16:V27"/>
    <mergeCell ref="W16:W19"/>
    <mergeCell ref="C20:C23"/>
    <mergeCell ref="W20:W23"/>
    <mergeCell ref="C24:C27"/>
    <mergeCell ref="W24:W27"/>
    <mergeCell ref="B4:B15"/>
    <mergeCell ref="C4:C7"/>
    <mergeCell ref="V4:V15"/>
    <mergeCell ref="W4:W7"/>
    <mergeCell ref="C8:C11"/>
    <mergeCell ref="W8:W11"/>
    <mergeCell ref="C12:C15"/>
    <mergeCell ref="W12:W15"/>
    <mergeCell ref="AG2:AN2"/>
    <mergeCell ref="B2:D3"/>
    <mergeCell ref="E2:L2"/>
    <mergeCell ref="M2:T2"/>
    <mergeCell ref="V2:X3"/>
    <mergeCell ref="Y2:AF2"/>
  </mergeCells>
  <phoneticPr fontId="1" type="noConversion"/>
  <conditionalFormatting sqref="W29">
    <cfRule type="cellIs" dxfId="154" priority="14" operator="lessThan">
      <formula>0.8</formula>
    </cfRule>
  </conditionalFormatting>
  <conditionalFormatting sqref="W30:W31">
    <cfRule type="cellIs" dxfId="153" priority="13" operator="lessThan">
      <formula>0.8</formula>
    </cfRule>
  </conditionalFormatting>
  <conditionalFormatting sqref="E4:T11 E16:G16 E23 G23:T23 E22:T22 E19 G19:T19 E20:H20 J20:O20 E21:O21 Q21:T21 R20:T20 E17:F18 Q17:T17 R16:T16 H18:T18 I17:N17 J16:N16">
    <cfRule type="expression" dxfId="152" priority="11">
      <formula>Y4&gt;1.1</formula>
    </cfRule>
  </conditionalFormatting>
  <conditionalFormatting sqref="K4:K11">
    <cfRule type="expression" dxfId="151" priority="10">
      <formula>AD4&gt;1.1</formula>
    </cfRule>
  </conditionalFormatting>
  <conditionalFormatting sqref="L16:L23">
    <cfRule type="expression" dxfId="150" priority="12">
      <formula>AF16&gt;1.1</formula>
    </cfRule>
  </conditionalFormatting>
  <conditionalFormatting sqref="T4:T11">
    <cfRule type="expression" dxfId="149" priority="8">
      <formula>AN4&gt;1.1</formula>
    </cfRule>
  </conditionalFormatting>
  <conditionalFormatting sqref="S16:S23">
    <cfRule type="expression" dxfId="148" priority="7">
      <formula>AL16&gt;1.1</formula>
    </cfRule>
  </conditionalFormatting>
  <conditionalFormatting sqref="S4:S11">
    <cfRule type="expression" dxfId="147" priority="6">
      <formula>AL4&gt;1.1</formula>
    </cfRule>
  </conditionalFormatting>
  <conditionalFormatting sqref="T16:T23">
    <cfRule type="expression" dxfId="146" priority="9">
      <formula>AN16&gt;1.1</formula>
    </cfRule>
  </conditionalFormatting>
  <conditionalFormatting sqref="E31:T38 M49:T50 Q48:T48 M47:O48 R47:T47 M45:T46 M43:N44 Q44:T44 R43:T43">
    <cfRule type="expression" dxfId="145" priority="5">
      <formula>Y4&gt;1.1</formula>
    </cfRule>
  </conditionalFormatting>
  <conditionalFormatting sqref="E43:G43 E50 G50:T50 E49:T49 E46 G46:T46 E47:H47 J47:O47 E48:O48 Q48:T48 R47:T47 H45:T45 E44:F45 I44:N44 J43:N43 Q44:T44 R43:T43">
    <cfRule type="expression" dxfId="144" priority="4">
      <formula>Y16&gt;1.1</formula>
    </cfRule>
  </conditionalFormatting>
  <conditionalFormatting sqref="Y4:AN11 Y16:AN23">
    <cfRule type="cellIs" dxfId="143" priority="2" operator="lessThan">
      <formula>0.9</formula>
    </cfRule>
    <cfRule type="cellIs" dxfId="142" priority="3" operator="greaterThan">
      <formula>1.1</formula>
    </cfRule>
  </conditionalFormatting>
  <conditionalFormatting sqref="Y12:AN15 Y24:AN27">
    <cfRule type="cellIs" dxfId="141" priority="1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R54"/>
  <sheetViews>
    <sheetView showGridLines="0" topLeftCell="A7" zoomScale="70" zoomScaleNormal="70" workbookViewId="0">
      <selection activeCell="B3" sqref="B3:E8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1.69921875" style="11" customWidth="1"/>
    <col min="5" max="22" width="6.59765625" style="11" customWidth="1"/>
    <col min="23" max="23" width="3.09765625" style="11" customWidth="1"/>
    <col min="24" max="24" width="13.09765625" style="11" customWidth="1"/>
    <col min="25" max="25" width="11" style="11" bestFit="1" customWidth="1"/>
    <col min="26" max="26" width="11.5" style="11" customWidth="1"/>
    <col min="27" max="44" width="6.59765625" style="11" customWidth="1"/>
    <col min="45" max="16384" width="9" style="11"/>
  </cols>
  <sheetData>
    <row r="1" spans="2:44" ht="15" customHeight="1" thickBot="1"/>
    <row r="2" spans="2:44" ht="15" customHeight="1">
      <c r="B2" s="99" t="s">
        <v>26</v>
      </c>
      <c r="C2" s="118"/>
      <c r="D2" s="119"/>
      <c r="E2" s="83" t="s">
        <v>14</v>
      </c>
      <c r="F2" s="84"/>
      <c r="G2" s="84"/>
      <c r="H2" s="84"/>
      <c r="I2" s="84"/>
      <c r="J2" s="84"/>
      <c r="K2" s="84"/>
      <c r="L2" s="84"/>
      <c r="M2" s="85"/>
      <c r="N2" s="83" t="s">
        <v>24</v>
      </c>
      <c r="O2" s="84"/>
      <c r="P2" s="84"/>
      <c r="Q2" s="84"/>
      <c r="R2" s="84"/>
      <c r="S2" s="84"/>
      <c r="T2" s="84"/>
      <c r="U2" s="84"/>
      <c r="V2" s="85"/>
      <c r="X2" s="105" t="s">
        <v>67</v>
      </c>
      <c r="Y2" s="106"/>
      <c r="Z2" s="106"/>
      <c r="AA2" s="83" t="s">
        <v>14</v>
      </c>
      <c r="AB2" s="84"/>
      <c r="AC2" s="84"/>
      <c r="AD2" s="84"/>
      <c r="AE2" s="84"/>
      <c r="AF2" s="84"/>
      <c r="AG2" s="84"/>
      <c r="AH2" s="84"/>
      <c r="AI2" s="85"/>
      <c r="AJ2" s="83" t="s">
        <v>24</v>
      </c>
      <c r="AK2" s="84"/>
      <c r="AL2" s="84"/>
      <c r="AM2" s="84"/>
      <c r="AN2" s="84"/>
      <c r="AO2" s="84"/>
      <c r="AP2" s="84"/>
      <c r="AQ2" s="84"/>
      <c r="AR2" s="85"/>
    </row>
    <row r="3" spans="2:44" ht="20.25" customHeight="1" thickBot="1">
      <c r="B3" s="120"/>
      <c r="C3" s="121"/>
      <c r="D3" s="122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2" t="s">
        <v>23</v>
      </c>
      <c r="M3" s="3" t="s">
        <v>17</v>
      </c>
      <c r="N3" s="1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18</v>
      </c>
      <c r="T3" s="2" t="s">
        <v>16</v>
      </c>
      <c r="U3" s="2" t="s">
        <v>23</v>
      </c>
      <c r="V3" s="3" t="s">
        <v>17</v>
      </c>
      <c r="X3" s="107"/>
      <c r="Y3" s="108"/>
      <c r="Z3" s="108"/>
      <c r="AA3" s="1" t="s">
        <v>0</v>
      </c>
      <c r="AB3" s="2" t="s">
        <v>1</v>
      </c>
      <c r="AC3" s="2" t="s">
        <v>2</v>
      </c>
      <c r="AD3" s="2" t="s">
        <v>3</v>
      </c>
      <c r="AE3" s="2" t="s">
        <v>4</v>
      </c>
      <c r="AF3" s="2" t="s">
        <v>18</v>
      </c>
      <c r="AG3" s="2" t="s">
        <v>16</v>
      </c>
      <c r="AH3" s="2" t="s">
        <v>23</v>
      </c>
      <c r="AI3" s="3" t="s">
        <v>17</v>
      </c>
      <c r="AJ3" s="1" t="s">
        <v>0</v>
      </c>
      <c r="AK3" s="2" t="s">
        <v>1</v>
      </c>
      <c r="AL3" s="2" t="s">
        <v>2</v>
      </c>
      <c r="AM3" s="2" t="s">
        <v>3</v>
      </c>
      <c r="AN3" s="2" t="s">
        <v>4</v>
      </c>
      <c r="AO3" s="2" t="s">
        <v>18</v>
      </c>
      <c r="AP3" s="2" t="s">
        <v>16</v>
      </c>
      <c r="AQ3" s="2" t="s">
        <v>23</v>
      </c>
      <c r="AR3" s="3" t="s">
        <v>17</v>
      </c>
    </row>
    <row r="4" spans="2:44" ht="15" customHeight="1">
      <c r="B4" s="92" t="s">
        <v>5</v>
      </c>
      <c r="C4" s="98" t="s">
        <v>6</v>
      </c>
      <c r="D4" s="4">
        <v>0.25</v>
      </c>
      <c r="E4" s="24">
        <v>684</v>
      </c>
      <c r="F4" s="25">
        <v>764</v>
      </c>
      <c r="G4" s="25">
        <v>844</v>
      </c>
      <c r="H4" s="25">
        <v>1012</v>
      </c>
      <c r="I4" s="25">
        <v>1448</v>
      </c>
      <c r="J4" s="25">
        <v>3024</v>
      </c>
      <c r="K4" s="25">
        <v>6880</v>
      </c>
      <c r="L4" s="25">
        <v>15680</v>
      </c>
      <c r="M4" s="26">
        <v>34560</v>
      </c>
      <c r="N4" s="24">
        <v>596</v>
      </c>
      <c r="O4" s="25">
        <v>596</v>
      </c>
      <c r="P4" s="25">
        <v>676</v>
      </c>
      <c r="Q4" s="25">
        <v>836</v>
      </c>
      <c r="R4" s="25">
        <v>1160</v>
      </c>
      <c r="S4" s="25">
        <v>2416</v>
      </c>
      <c r="T4" s="25">
        <v>5600</v>
      </c>
      <c r="U4" s="25">
        <v>12480</v>
      </c>
      <c r="V4" s="26">
        <v>27520</v>
      </c>
      <c r="X4" s="92" t="s">
        <v>5</v>
      </c>
      <c r="Y4" s="95" t="s">
        <v>6</v>
      </c>
      <c r="Z4" s="7">
        <v>0.25</v>
      </c>
      <c r="AA4" s="15">
        <f t="shared" ref="AA4:AR18" si="0">E31/E4</f>
        <v>0.56432748538011701</v>
      </c>
      <c r="AB4" s="16">
        <f t="shared" si="0"/>
        <v>0.55759162303664922</v>
      </c>
      <c r="AC4" s="16">
        <f t="shared" si="0"/>
        <v>0.54739336492891</v>
      </c>
      <c r="AD4" s="16">
        <f t="shared" si="0"/>
        <v>0.51778656126482214</v>
      </c>
      <c r="AE4" s="16">
        <f t="shared" si="0"/>
        <v>0.37845303867403313</v>
      </c>
      <c r="AF4" s="16">
        <f t="shared" si="0"/>
        <v>0.18386243386243387</v>
      </c>
      <c r="AG4" s="16">
        <f t="shared" si="0"/>
        <v>6.3662790697674415E-2</v>
      </c>
      <c r="AH4" s="16">
        <f t="shared" si="0"/>
        <v>0.4346938775510204</v>
      </c>
      <c r="AI4" s="17">
        <f t="shared" si="0"/>
        <v>0.55925925925925923</v>
      </c>
      <c r="AJ4" s="15">
        <f t="shared" si="0"/>
        <v>0.82885906040268453</v>
      </c>
      <c r="AK4" s="16">
        <f t="shared" si="0"/>
        <v>0.94630872483221473</v>
      </c>
      <c r="AL4" s="16">
        <f t="shared" si="0"/>
        <v>0.90532544378698221</v>
      </c>
      <c r="AM4" s="16">
        <f t="shared" si="0"/>
        <v>0.78947368421052633</v>
      </c>
      <c r="AN4" s="16">
        <f t="shared" si="0"/>
        <v>0.58275862068965523</v>
      </c>
      <c r="AO4" s="16">
        <f t="shared" si="0"/>
        <v>0.28642384105960267</v>
      </c>
      <c r="AP4" s="16">
        <f t="shared" si="0"/>
        <v>0.11214285714285714</v>
      </c>
      <c r="AQ4" s="16">
        <f t="shared" si="0"/>
        <v>0.4794871794871795</v>
      </c>
      <c r="AR4" s="17">
        <f t="shared" si="0"/>
        <v>0.59302325581395354</v>
      </c>
    </row>
    <row r="5" spans="2:44" ht="15" customHeight="1">
      <c r="B5" s="93"/>
      <c r="C5" s="96"/>
      <c r="D5" s="5">
        <v>0.5</v>
      </c>
      <c r="E5" s="27">
        <v>564</v>
      </c>
      <c r="F5" s="28">
        <v>628</v>
      </c>
      <c r="G5" s="28">
        <v>756</v>
      </c>
      <c r="H5" s="28">
        <v>932</v>
      </c>
      <c r="I5" s="28">
        <v>1432</v>
      </c>
      <c r="J5" s="28">
        <v>2288</v>
      </c>
      <c r="K5" s="28">
        <v>5344</v>
      </c>
      <c r="L5" s="28">
        <v>12096</v>
      </c>
      <c r="M5" s="29">
        <v>26496</v>
      </c>
      <c r="N5" s="27">
        <v>556</v>
      </c>
      <c r="O5" s="28">
        <v>596</v>
      </c>
      <c r="P5" s="28">
        <v>588</v>
      </c>
      <c r="Q5" s="28">
        <v>708</v>
      </c>
      <c r="R5" s="28">
        <v>1048</v>
      </c>
      <c r="S5" s="28">
        <v>1768</v>
      </c>
      <c r="T5" s="28">
        <v>4256</v>
      </c>
      <c r="U5" s="28">
        <v>9536</v>
      </c>
      <c r="V5" s="29">
        <v>20864</v>
      </c>
      <c r="X5" s="93"/>
      <c r="Y5" s="96"/>
      <c r="Z5" s="5">
        <v>0.5</v>
      </c>
      <c r="AA5" s="18">
        <f t="shared" si="0"/>
        <v>0.54964539007092195</v>
      </c>
      <c r="AB5" s="12">
        <f t="shared" si="0"/>
        <v>0.60828025477707004</v>
      </c>
      <c r="AC5" s="12">
        <f t="shared" si="0"/>
        <v>0.62169312169312174</v>
      </c>
      <c r="AD5" s="12">
        <f t="shared" si="0"/>
        <v>0.67381974248927035</v>
      </c>
      <c r="AE5" s="12">
        <f t="shared" si="0"/>
        <v>0.66201117318435754</v>
      </c>
      <c r="AF5" s="12">
        <f t="shared" si="0"/>
        <v>0.68181818181818177</v>
      </c>
      <c r="AG5" s="12">
        <f t="shared" si="0"/>
        <v>0.4880239520958084</v>
      </c>
      <c r="AH5" s="12">
        <f t="shared" si="0"/>
        <v>0.52116402116402116</v>
      </c>
      <c r="AI5" s="19">
        <f t="shared" si="0"/>
        <v>0.6811594202898551</v>
      </c>
      <c r="AJ5" s="18">
        <f t="shared" si="0"/>
        <v>0.66546762589928055</v>
      </c>
      <c r="AK5" s="12">
        <f t="shared" si="0"/>
        <v>0.78187919463087252</v>
      </c>
      <c r="AL5" s="12">
        <f t="shared" si="0"/>
        <v>0.97278911564625847</v>
      </c>
      <c r="AM5" s="12">
        <f t="shared" si="0"/>
        <v>1.1242937853107344</v>
      </c>
      <c r="AN5" s="12">
        <f t="shared" si="0"/>
        <v>1</v>
      </c>
      <c r="AO5" s="12">
        <f t="shared" si="0"/>
        <v>0.80090497737556565</v>
      </c>
      <c r="AP5" s="12">
        <f t="shared" si="0"/>
        <v>0.19078947368421054</v>
      </c>
      <c r="AQ5" s="12">
        <f t="shared" si="0"/>
        <v>0.55369127516778527</v>
      </c>
      <c r="AR5" s="19">
        <f t="shared" si="0"/>
        <v>0.64110429447852757</v>
      </c>
    </row>
    <row r="6" spans="2:44" ht="15" customHeight="1">
      <c r="B6" s="93"/>
      <c r="C6" s="96"/>
      <c r="D6" s="5">
        <v>0.75</v>
      </c>
      <c r="E6" s="27">
        <v>442</v>
      </c>
      <c r="F6" s="28">
        <v>516</v>
      </c>
      <c r="G6" s="28">
        <v>596</v>
      </c>
      <c r="H6" s="28">
        <v>756</v>
      </c>
      <c r="I6" s="28">
        <v>1032</v>
      </c>
      <c r="J6" s="28">
        <v>1672</v>
      </c>
      <c r="K6" s="28">
        <v>4048</v>
      </c>
      <c r="L6" s="28">
        <v>8896</v>
      </c>
      <c r="M6" s="29">
        <v>18560</v>
      </c>
      <c r="N6" s="27">
        <v>406</v>
      </c>
      <c r="O6" s="28">
        <v>510</v>
      </c>
      <c r="P6" s="28">
        <v>564</v>
      </c>
      <c r="Q6" s="28">
        <v>580</v>
      </c>
      <c r="R6" s="28">
        <v>772</v>
      </c>
      <c r="S6" s="28">
        <v>1224</v>
      </c>
      <c r="T6" s="28">
        <v>2832</v>
      </c>
      <c r="U6" s="28">
        <v>6944</v>
      </c>
      <c r="V6" s="29">
        <v>14144</v>
      </c>
      <c r="X6" s="93"/>
      <c r="Y6" s="96"/>
      <c r="Z6" s="5">
        <v>0.75</v>
      </c>
      <c r="AA6" s="18">
        <f t="shared" si="0"/>
        <v>0.58371040723981904</v>
      </c>
      <c r="AB6" s="12">
        <f t="shared" si="0"/>
        <v>0.61627906976744184</v>
      </c>
      <c r="AC6" s="12">
        <f t="shared" si="0"/>
        <v>0.66778523489932884</v>
      </c>
      <c r="AD6" s="12">
        <f t="shared" si="0"/>
        <v>0.7142857142857143</v>
      </c>
      <c r="AE6" s="12">
        <f t="shared" si="0"/>
        <v>0.78682170542635654</v>
      </c>
      <c r="AF6" s="12">
        <f t="shared" si="0"/>
        <v>0.79904306220095689</v>
      </c>
      <c r="AG6" s="12">
        <f t="shared" si="0"/>
        <v>0.58893280632411071</v>
      </c>
      <c r="AH6" s="12">
        <f t="shared" si="0"/>
        <v>0.75899280575539574</v>
      </c>
      <c r="AI6" s="19">
        <f t="shared" si="0"/>
        <v>0.90344827586206899</v>
      </c>
      <c r="AJ6" s="18">
        <f t="shared" si="0"/>
        <v>0.66502463054187189</v>
      </c>
      <c r="AK6" s="12">
        <f t="shared" si="0"/>
        <v>0.67843137254901964</v>
      </c>
      <c r="AL6" s="12">
        <f t="shared" si="0"/>
        <v>0.79078014184397161</v>
      </c>
      <c r="AM6" s="12">
        <f t="shared" si="0"/>
        <v>1.0137931034482759</v>
      </c>
      <c r="AN6" s="12">
        <f t="shared" si="0"/>
        <v>1.0932642487046633</v>
      </c>
      <c r="AO6" s="12">
        <f t="shared" si="0"/>
        <v>1.065359477124183</v>
      </c>
      <c r="AP6" s="12">
        <f t="shared" si="0"/>
        <v>0.76271186440677963</v>
      </c>
      <c r="AQ6" s="12">
        <f t="shared" si="0"/>
        <v>0.76036866359447008</v>
      </c>
      <c r="AR6" s="19">
        <f t="shared" si="0"/>
        <v>0.82805429864253388</v>
      </c>
    </row>
    <row r="7" spans="2:44" ht="15" customHeight="1" thickBot="1">
      <c r="B7" s="93"/>
      <c r="C7" s="97"/>
      <c r="D7" s="6">
        <v>1</v>
      </c>
      <c r="E7" s="30">
        <v>127</v>
      </c>
      <c r="F7" s="31">
        <v>149</v>
      </c>
      <c r="G7" s="31">
        <v>191</v>
      </c>
      <c r="H7" s="31">
        <v>286</v>
      </c>
      <c r="I7" s="31">
        <v>506</v>
      </c>
      <c r="J7" s="31">
        <v>956</v>
      </c>
      <c r="K7" s="31">
        <v>1592</v>
      </c>
      <c r="L7" s="31">
        <v>3632</v>
      </c>
      <c r="M7" s="32">
        <v>7200</v>
      </c>
      <c r="N7" s="30">
        <v>115</v>
      </c>
      <c r="O7" s="31">
        <v>131</v>
      </c>
      <c r="P7" s="31">
        <v>153</v>
      </c>
      <c r="Q7" s="31">
        <v>203</v>
      </c>
      <c r="R7" s="31">
        <v>310</v>
      </c>
      <c r="S7" s="31">
        <v>556</v>
      </c>
      <c r="T7" s="31">
        <v>1144</v>
      </c>
      <c r="U7" s="31">
        <v>2832</v>
      </c>
      <c r="V7" s="32">
        <v>6240</v>
      </c>
      <c r="X7" s="93"/>
      <c r="Y7" s="97"/>
      <c r="Z7" s="6">
        <v>1</v>
      </c>
      <c r="AA7" s="20">
        <f t="shared" si="0"/>
        <v>0.83464566929133854</v>
      </c>
      <c r="AB7" s="21">
        <f t="shared" si="0"/>
        <v>0.80536912751677847</v>
      </c>
      <c r="AC7" s="21">
        <f t="shared" si="0"/>
        <v>0.82198952879581155</v>
      </c>
      <c r="AD7" s="21">
        <f t="shared" si="0"/>
        <v>0.84265734265734271</v>
      </c>
      <c r="AE7" s="21">
        <f t="shared" si="0"/>
        <v>0.88142292490118579</v>
      </c>
      <c r="AF7" s="21">
        <f t="shared" si="0"/>
        <v>0.94142259414225937</v>
      </c>
      <c r="AG7" s="21">
        <f t="shared" si="0"/>
        <v>1.0703517587939699</v>
      </c>
      <c r="AH7" s="21">
        <f t="shared" si="0"/>
        <v>0.79735682819383258</v>
      </c>
      <c r="AI7" s="22">
        <f t="shared" si="0"/>
        <v>0.89333333333333331</v>
      </c>
      <c r="AJ7" s="20">
        <f t="shared" si="0"/>
        <v>0.85217391304347823</v>
      </c>
      <c r="AK7" s="21">
        <f t="shared" si="0"/>
        <v>0.82442748091603058</v>
      </c>
      <c r="AL7" s="21">
        <f t="shared" si="0"/>
        <v>0.81699346405228757</v>
      </c>
      <c r="AM7" s="21">
        <f t="shared" si="0"/>
        <v>0.81280788177339902</v>
      </c>
      <c r="AN7" s="21">
        <f t="shared" si="0"/>
        <v>0.82258064516129037</v>
      </c>
      <c r="AO7" s="21">
        <f t="shared" si="0"/>
        <v>0.86690647482014394</v>
      </c>
      <c r="AP7" s="21">
        <f t="shared" si="0"/>
        <v>0.78671328671328666</v>
      </c>
      <c r="AQ7" s="21">
        <f t="shared" si="0"/>
        <v>0.61299435028248583</v>
      </c>
      <c r="AR7" s="22">
        <f t="shared" si="0"/>
        <v>0.63846153846153841</v>
      </c>
    </row>
    <row r="8" spans="2:44" ht="15" customHeight="1">
      <c r="B8" s="93"/>
      <c r="C8" s="98" t="s">
        <v>7</v>
      </c>
      <c r="D8" s="4">
        <v>0.25</v>
      </c>
      <c r="E8" s="24">
        <v>1320</v>
      </c>
      <c r="F8" s="25">
        <v>1704</v>
      </c>
      <c r="G8" s="25">
        <v>1752</v>
      </c>
      <c r="H8" s="25">
        <v>1960</v>
      </c>
      <c r="I8" s="25">
        <v>2320</v>
      </c>
      <c r="J8" s="25">
        <v>3760</v>
      </c>
      <c r="K8" s="25">
        <v>9536</v>
      </c>
      <c r="L8" s="25">
        <v>21888</v>
      </c>
      <c r="M8" s="26">
        <v>48896</v>
      </c>
      <c r="N8" s="24">
        <v>1064</v>
      </c>
      <c r="O8" s="25">
        <v>1096</v>
      </c>
      <c r="P8" s="25">
        <v>1176</v>
      </c>
      <c r="Q8" s="25">
        <v>1352</v>
      </c>
      <c r="R8" s="25">
        <v>1688</v>
      </c>
      <c r="S8" s="25">
        <v>2992</v>
      </c>
      <c r="T8" s="25">
        <v>8256</v>
      </c>
      <c r="U8" s="25">
        <v>17280</v>
      </c>
      <c r="V8" s="26">
        <v>38656</v>
      </c>
      <c r="X8" s="93"/>
      <c r="Y8" s="98" t="s">
        <v>7</v>
      </c>
      <c r="Z8" s="4">
        <v>0.25</v>
      </c>
      <c r="AA8" s="15">
        <f t="shared" si="0"/>
        <v>0.66969696969696968</v>
      </c>
      <c r="AB8" s="16">
        <f t="shared" si="0"/>
        <v>0.54225352112676062</v>
      </c>
      <c r="AC8" s="16">
        <f t="shared" si="0"/>
        <v>0.54109589041095896</v>
      </c>
      <c r="AD8" s="16">
        <f t="shared" si="0"/>
        <v>0.50816326530612244</v>
      </c>
      <c r="AE8" s="16">
        <f t="shared" si="0"/>
        <v>0.4517241379310345</v>
      </c>
      <c r="AF8" s="16">
        <f t="shared" si="0"/>
        <v>0.45319148936170212</v>
      </c>
      <c r="AG8" s="16">
        <f t="shared" si="0"/>
        <v>0.10109060402684564</v>
      </c>
      <c r="AH8" s="16">
        <f t="shared" si="0"/>
        <v>0.47076023391812866</v>
      </c>
      <c r="AI8" s="17">
        <f t="shared" si="0"/>
        <v>0.56806282722513091</v>
      </c>
      <c r="AJ8" s="15">
        <f t="shared" si="0"/>
        <v>0.83082706766917291</v>
      </c>
      <c r="AK8" s="16">
        <f t="shared" si="0"/>
        <v>0.87226277372262773</v>
      </c>
      <c r="AL8" s="16">
        <f t="shared" si="0"/>
        <v>0.8537414965986394</v>
      </c>
      <c r="AM8" s="16">
        <f t="shared" si="0"/>
        <v>0.81065088757396453</v>
      </c>
      <c r="AN8" s="16">
        <f t="shared" si="0"/>
        <v>0.71563981042654023</v>
      </c>
      <c r="AO8" s="16">
        <f t="shared" si="0"/>
        <v>0.56417112299465244</v>
      </c>
      <c r="AP8" s="16">
        <f t="shared" si="0"/>
        <v>0.12354651162790697</v>
      </c>
      <c r="AQ8" s="16">
        <f t="shared" si="0"/>
        <v>0.51481481481481484</v>
      </c>
      <c r="AR8" s="17">
        <f t="shared" si="0"/>
        <v>0.63907284768211925</v>
      </c>
    </row>
    <row r="9" spans="2:44" ht="15" customHeight="1">
      <c r="B9" s="93"/>
      <c r="C9" s="96"/>
      <c r="D9" s="5">
        <v>0.5</v>
      </c>
      <c r="E9" s="27">
        <v>940</v>
      </c>
      <c r="F9" s="28">
        <v>1144</v>
      </c>
      <c r="G9" s="28">
        <v>1624</v>
      </c>
      <c r="H9" s="28">
        <v>1864</v>
      </c>
      <c r="I9" s="28">
        <v>2192</v>
      </c>
      <c r="J9" s="28">
        <v>3088</v>
      </c>
      <c r="K9" s="28">
        <v>7648</v>
      </c>
      <c r="L9" s="28">
        <v>18048</v>
      </c>
      <c r="M9" s="29">
        <v>38144</v>
      </c>
      <c r="N9" s="27">
        <v>1020</v>
      </c>
      <c r="O9" s="28">
        <v>1080</v>
      </c>
      <c r="P9" s="28">
        <v>1096</v>
      </c>
      <c r="Q9" s="28">
        <v>1208</v>
      </c>
      <c r="R9" s="28">
        <v>1544</v>
      </c>
      <c r="S9" s="28">
        <v>2288</v>
      </c>
      <c r="T9" s="28">
        <v>6112</v>
      </c>
      <c r="U9" s="28">
        <v>13632</v>
      </c>
      <c r="V9" s="29">
        <v>29312</v>
      </c>
      <c r="X9" s="93"/>
      <c r="Y9" s="96"/>
      <c r="Z9" s="5">
        <v>0.5</v>
      </c>
      <c r="AA9" s="18">
        <f t="shared" si="0"/>
        <v>0.89787234042553188</v>
      </c>
      <c r="AB9" s="12">
        <f t="shared" si="0"/>
        <v>0.77272727272727271</v>
      </c>
      <c r="AC9" s="12">
        <f t="shared" si="0"/>
        <v>0.57389162561576357</v>
      </c>
      <c r="AD9" s="12">
        <f t="shared" si="0"/>
        <v>0.57939914163090134</v>
      </c>
      <c r="AE9" s="12">
        <f t="shared" si="0"/>
        <v>0.64598540145985406</v>
      </c>
      <c r="AF9" s="12">
        <f t="shared" si="0"/>
        <v>0.72020725388601037</v>
      </c>
      <c r="AG9" s="12">
        <f t="shared" si="0"/>
        <v>0.52092050209205021</v>
      </c>
      <c r="AH9" s="12">
        <f t="shared" si="0"/>
        <v>0.5</v>
      </c>
      <c r="AI9" s="19">
        <f t="shared" si="0"/>
        <v>0.62751677852348997</v>
      </c>
      <c r="AJ9" s="18">
        <f t="shared" si="0"/>
        <v>0.78823529411764703</v>
      </c>
      <c r="AK9" s="12">
        <f t="shared" si="0"/>
        <v>0.81851851851851853</v>
      </c>
      <c r="AL9" s="12">
        <f t="shared" si="0"/>
        <v>0.88686131386861311</v>
      </c>
      <c r="AM9" s="12">
        <f t="shared" si="0"/>
        <v>1.0132450331125828</v>
      </c>
      <c r="AN9" s="12">
        <f t="shared" si="0"/>
        <v>1</v>
      </c>
      <c r="AO9" s="12">
        <f t="shared" si="0"/>
        <v>0.94405594405594406</v>
      </c>
      <c r="AP9" s="12">
        <f t="shared" si="0"/>
        <v>0.55759162303664922</v>
      </c>
      <c r="AQ9" s="12">
        <f t="shared" si="0"/>
        <v>0.52347417840375587</v>
      </c>
      <c r="AR9" s="19">
        <f t="shared" si="0"/>
        <v>0.65938864628820959</v>
      </c>
    </row>
    <row r="10" spans="2:44" ht="15" customHeight="1">
      <c r="B10" s="93"/>
      <c r="C10" s="96"/>
      <c r="D10" s="5">
        <v>0.75</v>
      </c>
      <c r="E10" s="27">
        <v>836</v>
      </c>
      <c r="F10" s="28">
        <v>900</v>
      </c>
      <c r="G10" s="28">
        <v>1048</v>
      </c>
      <c r="H10" s="28">
        <v>1672</v>
      </c>
      <c r="I10" s="28">
        <v>2040</v>
      </c>
      <c r="J10" s="28">
        <v>2640</v>
      </c>
      <c r="K10" s="28">
        <v>5600</v>
      </c>
      <c r="L10" s="28">
        <v>13248</v>
      </c>
      <c r="M10" s="29">
        <v>26496</v>
      </c>
      <c r="N10" s="27">
        <v>988</v>
      </c>
      <c r="O10" s="28">
        <v>1032</v>
      </c>
      <c r="P10" s="28">
        <v>1096</v>
      </c>
      <c r="Q10" s="28">
        <v>1080</v>
      </c>
      <c r="R10" s="28">
        <v>1272</v>
      </c>
      <c r="S10" s="28">
        <v>1736</v>
      </c>
      <c r="T10" s="28">
        <v>4128</v>
      </c>
      <c r="U10" s="28">
        <v>10432</v>
      </c>
      <c r="V10" s="29">
        <v>20608</v>
      </c>
      <c r="X10" s="93"/>
      <c r="Y10" s="96"/>
      <c r="Z10" s="5">
        <v>0.75</v>
      </c>
      <c r="AA10" s="18">
        <f t="shared" si="0"/>
        <v>0.66507177033492826</v>
      </c>
      <c r="AB10" s="12">
        <f t="shared" si="0"/>
        <v>0.82222222222222219</v>
      </c>
      <c r="AC10" s="12">
        <f t="shared" si="0"/>
        <v>0.84351145038167941</v>
      </c>
      <c r="AD10" s="12">
        <f t="shared" si="0"/>
        <v>0.59090909090909094</v>
      </c>
      <c r="AE10" s="12">
        <f t="shared" si="0"/>
        <v>0.6470588235294118</v>
      </c>
      <c r="AF10" s="12">
        <f t="shared" si="0"/>
        <v>0.76060606060606062</v>
      </c>
      <c r="AG10" s="12">
        <f t="shared" si="0"/>
        <v>0.55714285714285716</v>
      </c>
      <c r="AH10" s="12">
        <f t="shared" si="0"/>
        <v>0.64251207729468596</v>
      </c>
      <c r="AI10" s="19">
        <f t="shared" si="0"/>
        <v>0.77777777777777779</v>
      </c>
      <c r="AJ10" s="18">
        <f t="shared" si="0"/>
        <v>0.74898785425101211</v>
      </c>
      <c r="AK10" s="12">
        <f t="shared" si="0"/>
        <v>0.74031007751937983</v>
      </c>
      <c r="AL10" s="12">
        <f t="shared" si="0"/>
        <v>0.7992700729927007</v>
      </c>
      <c r="AM10" s="12">
        <f t="shared" si="0"/>
        <v>0.98518518518518516</v>
      </c>
      <c r="AN10" s="12">
        <f t="shared" si="0"/>
        <v>1.0754716981132075</v>
      </c>
      <c r="AO10" s="12">
        <f t="shared" si="0"/>
        <v>1.064516129032258</v>
      </c>
      <c r="AP10" s="12">
        <f t="shared" si="0"/>
        <v>0.66279069767441856</v>
      </c>
      <c r="AQ10" s="12">
        <f t="shared" si="0"/>
        <v>0.64723926380368102</v>
      </c>
      <c r="AR10" s="19">
        <f t="shared" si="0"/>
        <v>0.76708074534161486</v>
      </c>
    </row>
    <row r="11" spans="2:44" ht="15" customHeight="1" thickBot="1">
      <c r="B11" s="93"/>
      <c r="C11" s="97"/>
      <c r="D11" s="6">
        <v>1</v>
      </c>
      <c r="E11" s="30">
        <v>189</v>
      </c>
      <c r="F11" s="31">
        <v>237</v>
      </c>
      <c r="G11" s="31">
        <v>318</v>
      </c>
      <c r="H11" s="31">
        <v>498</v>
      </c>
      <c r="I11" s="31">
        <v>900</v>
      </c>
      <c r="J11" s="31">
        <v>1688</v>
      </c>
      <c r="K11" s="45">
        <v>2384</v>
      </c>
      <c r="L11" s="31">
        <v>4512</v>
      </c>
      <c r="M11" s="32">
        <v>9664</v>
      </c>
      <c r="N11" s="30">
        <v>173</v>
      </c>
      <c r="O11" s="31">
        <v>201</v>
      </c>
      <c r="P11" s="31">
        <v>249</v>
      </c>
      <c r="Q11" s="31">
        <v>342</v>
      </c>
      <c r="R11" s="31">
        <v>540</v>
      </c>
      <c r="S11" s="31">
        <v>860</v>
      </c>
      <c r="T11" s="31">
        <v>1496</v>
      </c>
      <c r="U11" s="31">
        <v>3248</v>
      </c>
      <c r="V11" s="32">
        <v>7264</v>
      </c>
      <c r="X11" s="93"/>
      <c r="Y11" s="97"/>
      <c r="Z11" s="6">
        <v>1</v>
      </c>
      <c r="AA11" s="20">
        <f t="shared" si="0"/>
        <v>0.80952380952380953</v>
      </c>
      <c r="AB11" s="21">
        <f t="shared" si="0"/>
        <v>0.81434599156118148</v>
      </c>
      <c r="AC11" s="21">
        <f t="shared" si="0"/>
        <v>0.83647798742138368</v>
      </c>
      <c r="AD11" s="21">
        <f t="shared" si="0"/>
        <v>0.8875502008032129</v>
      </c>
      <c r="AE11" s="21">
        <f t="shared" si="0"/>
        <v>0.89333333333333331</v>
      </c>
      <c r="AF11" s="21">
        <f t="shared" si="0"/>
        <v>0.96208530805687209</v>
      </c>
      <c r="AG11" s="21">
        <f t="shared" si="0"/>
        <v>1.2818791946308725</v>
      </c>
      <c r="AH11" s="21">
        <f t="shared" si="0"/>
        <v>0.95744680851063835</v>
      </c>
      <c r="AI11" s="22">
        <f t="shared" si="0"/>
        <v>0.82450331125827814</v>
      </c>
      <c r="AJ11" s="20">
        <f t="shared" si="0"/>
        <v>0.80346820809248554</v>
      </c>
      <c r="AK11" s="21">
        <f t="shared" si="0"/>
        <v>0.80099502487562191</v>
      </c>
      <c r="AL11" s="21">
        <f t="shared" si="0"/>
        <v>0.80722891566265065</v>
      </c>
      <c r="AM11" s="21">
        <f t="shared" si="0"/>
        <v>0.8128654970760234</v>
      </c>
      <c r="AN11" s="21">
        <f t="shared" si="0"/>
        <v>0.85555555555555551</v>
      </c>
      <c r="AO11" s="21">
        <f t="shared" si="0"/>
        <v>1.0465116279069768</v>
      </c>
      <c r="AP11" s="21">
        <f t="shared" si="0"/>
        <v>1.106951871657754</v>
      </c>
      <c r="AQ11" s="21">
        <f t="shared" si="0"/>
        <v>0.78325123152709364</v>
      </c>
      <c r="AR11" s="22">
        <f t="shared" si="0"/>
        <v>0.66519823788546251</v>
      </c>
    </row>
    <row r="12" spans="2:44" ht="15" customHeight="1">
      <c r="B12" s="93"/>
      <c r="C12" s="98" t="s">
        <v>8</v>
      </c>
      <c r="D12" s="4">
        <v>0.25</v>
      </c>
      <c r="E12" s="24">
        <v>15910</v>
      </c>
      <c r="F12" s="25">
        <v>16986</v>
      </c>
      <c r="G12" s="25">
        <v>16983</v>
      </c>
      <c r="H12" s="25">
        <v>17008</v>
      </c>
      <c r="I12" s="25">
        <v>17074</v>
      </c>
      <c r="J12" s="25">
        <v>17116</v>
      </c>
      <c r="K12" s="25">
        <v>17125</v>
      </c>
      <c r="L12" s="25">
        <v>17118</v>
      </c>
      <c r="M12" s="26">
        <v>17103</v>
      </c>
      <c r="N12" s="24">
        <v>19741</v>
      </c>
      <c r="O12" s="25">
        <v>20859</v>
      </c>
      <c r="P12" s="25">
        <v>20879</v>
      </c>
      <c r="Q12" s="25">
        <v>20242</v>
      </c>
      <c r="R12" s="25">
        <v>20725</v>
      </c>
      <c r="S12" s="25">
        <v>20918</v>
      </c>
      <c r="T12" s="25">
        <v>21003</v>
      </c>
      <c r="U12" s="25">
        <v>20907</v>
      </c>
      <c r="V12" s="26">
        <v>20970</v>
      </c>
      <c r="X12" s="93"/>
      <c r="Y12" s="98" t="s">
        <v>8</v>
      </c>
      <c r="Z12" s="4">
        <v>0.25</v>
      </c>
      <c r="AA12" s="15">
        <f t="shared" si="0"/>
        <v>1.4368950345694531</v>
      </c>
      <c r="AB12" s="16">
        <f t="shared" si="0"/>
        <v>1.5286117979512539</v>
      </c>
      <c r="AC12" s="16">
        <f t="shared" si="0"/>
        <v>1.5279985868221162</v>
      </c>
      <c r="AD12" s="16">
        <f t="shared" si="0"/>
        <v>1.5285159924741298</v>
      </c>
      <c r="AE12" s="16">
        <f t="shared" si="0"/>
        <v>1.52067471008551</v>
      </c>
      <c r="AF12" s="16">
        <f t="shared" si="0"/>
        <v>1.5161836877775181</v>
      </c>
      <c r="AG12" s="16">
        <f t="shared" si="0"/>
        <v>1.5146861313868614</v>
      </c>
      <c r="AH12" s="16">
        <f t="shared" si="0"/>
        <v>1.5133193130038556</v>
      </c>
      <c r="AI12" s="17">
        <f t="shared" si="0"/>
        <v>1.5146465532362743</v>
      </c>
      <c r="AJ12" s="15">
        <f t="shared" si="0"/>
        <v>1.223646218529963</v>
      </c>
      <c r="AK12" s="16">
        <f t="shared" si="0"/>
        <v>1.5262476628793327</v>
      </c>
      <c r="AL12" s="16">
        <f t="shared" si="0"/>
        <v>1.5195651132717085</v>
      </c>
      <c r="AM12" s="16">
        <f t="shared" si="0"/>
        <v>1.5696571485031123</v>
      </c>
      <c r="AN12" s="16">
        <f t="shared" si="0"/>
        <v>1.5363088057901086</v>
      </c>
      <c r="AO12" s="16">
        <f t="shared" si="0"/>
        <v>1.5184530069796347</v>
      </c>
      <c r="AP12" s="16">
        <f t="shared" si="0"/>
        <v>1.5054516021520734</v>
      </c>
      <c r="AQ12" s="16">
        <f t="shared" si="0"/>
        <v>1.5116946477256421</v>
      </c>
      <c r="AR12" s="17">
        <f t="shared" si="0"/>
        <v>1.5081545064377682</v>
      </c>
    </row>
    <row r="13" spans="2:44" ht="15" customHeight="1">
      <c r="B13" s="93"/>
      <c r="C13" s="96"/>
      <c r="D13" s="5">
        <v>0.5</v>
      </c>
      <c r="E13" s="27">
        <v>25780</v>
      </c>
      <c r="F13" s="28">
        <v>39105</v>
      </c>
      <c r="G13" s="28">
        <v>44190</v>
      </c>
      <c r="H13" s="28">
        <v>44373</v>
      </c>
      <c r="I13" s="28">
        <v>44766</v>
      </c>
      <c r="J13" s="28">
        <v>44907</v>
      </c>
      <c r="K13" s="28">
        <v>44881</v>
      </c>
      <c r="L13" s="28">
        <v>44892</v>
      </c>
      <c r="M13" s="29">
        <v>44916</v>
      </c>
      <c r="N13" s="27">
        <v>30599</v>
      </c>
      <c r="O13" s="28">
        <v>48296</v>
      </c>
      <c r="P13" s="28">
        <v>57250</v>
      </c>
      <c r="Q13" s="28">
        <v>57204</v>
      </c>
      <c r="R13" s="28">
        <v>57394</v>
      </c>
      <c r="S13" s="28">
        <v>56330</v>
      </c>
      <c r="T13" s="28">
        <v>56162</v>
      </c>
      <c r="U13" s="28">
        <v>57384</v>
      </c>
      <c r="V13" s="29">
        <v>57358</v>
      </c>
      <c r="X13" s="93"/>
      <c r="Y13" s="96"/>
      <c r="Z13" s="5">
        <v>0.5</v>
      </c>
      <c r="AA13" s="18">
        <f t="shared" si="0"/>
        <v>1.4313421256788208</v>
      </c>
      <c r="AB13" s="12">
        <f t="shared" si="0"/>
        <v>1.3899757064314027</v>
      </c>
      <c r="AC13" s="12">
        <f t="shared" si="0"/>
        <v>1.4269970581579543</v>
      </c>
      <c r="AD13" s="12">
        <f t="shared" si="0"/>
        <v>1.4222162125616928</v>
      </c>
      <c r="AE13" s="12">
        <f t="shared" si="0"/>
        <v>1.4077871598981371</v>
      </c>
      <c r="AF13" s="12">
        <f t="shared" si="0"/>
        <v>1.4044581023003095</v>
      </c>
      <c r="AG13" s="12">
        <f t="shared" si="0"/>
        <v>1.4048706579621666</v>
      </c>
      <c r="AH13" s="12">
        <f t="shared" si="0"/>
        <v>1.4046377973803796</v>
      </c>
      <c r="AI13" s="19">
        <f t="shared" si="0"/>
        <v>1.4040431026805593</v>
      </c>
      <c r="AJ13" s="18">
        <f t="shared" si="0"/>
        <v>1.2836040393476911</v>
      </c>
      <c r="AK13" s="12">
        <f t="shared" si="0"/>
        <v>1.2743291369885705</v>
      </c>
      <c r="AL13" s="12">
        <f t="shared" si="0"/>
        <v>1.4167161572052402</v>
      </c>
      <c r="AM13" s="12">
        <f t="shared" si="0"/>
        <v>1.4096042234808754</v>
      </c>
      <c r="AN13" s="12">
        <f t="shared" si="0"/>
        <v>1.4061922849078301</v>
      </c>
      <c r="AO13" s="12">
        <f t="shared" si="0"/>
        <v>1.437014024498491</v>
      </c>
      <c r="AP13" s="12">
        <f t="shared" si="0"/>
        <v>1.4319290623553291</v>
      </c>
      <c r="AQ13" s="12">
        <f t="shared" si="0"/>
        <v>1.4020110135229331</v>
      </c>
      <c r="AR13" s="19">
        <f t="shared" si="0"/>
        <v>1.4036577286516265</v>
      </c>
    </row>
    <row r="14" spans="2:44" ht="15" customHeight="1">
      <c r="B14" s="93"/>
      <c r="C14" s="96"/>
      <c r="D14" s="5">
        <v>0.75</v>
      </c>
      <c r="E14" s="27">
        <v>36540</v>
      </c>
      <c r="F14" s="28">
        <v>58644</v>
      </c>
      <c r="G14" s="28">
        <v>87137</v>
      </c>
      <c r="H14" s="28">
        <v>100965</v>
      </c>
      <c r="I14" s="28">
        <v>101304</v>
      </c>
      <c r="J14" s="28">
        <v>101236</v>
      </c>
      <c r="K14" s="28">
        <v>101231</v>
      </c>
      <c r="L14" s="28">
        <v>101260</v>
      </c>
      <c r="M14" s="29">
        <v>101287</v>
      </c>
      <c r="N14" s="27">
        <v>41265</v>
      </c>
      <c r="O14" s="28">
        <v>68866</v>
      </c>
      <c r="P14" s="28">
        <v>107561</v>
      </c>
      <c r="Q14" s="28">
        <v>137989</v>
      </c>
      <c r="R14" s="28">
        <v>137435</v>
      </c>
      <c r="S14" s="28">
        <v>137573</v>
      </c>
      <c r="T14" s="28">
        <v>137499</v>
      </c>
      <c r="U14" s="28">
        <v>137542</v>
      </c>
      <c r="V14" s="29">
        <v>137384</v>
      </c>
      <c r="X14" s="93"/>
      <c r="Y14" s="96"/>
      <c r="Z14" s="5">
        <v>0.75</v>
      </c>
      <c r="AA14" s="18">
        <f t="shared" si="0"/>
        <v>1.3155446086480569</v>
      </c>
      <c r="AB14" s="12">
        <f t="shared" si="0"/>
        <v>1.3806868562853829</v>
      </c>
      <c r="AC14" s="12">
        <f t="shared" si="0"/>
        <v>1.309925749107727</v>
      </c>
      <c r="AD14" s="12">
        <f t="shared" si="0"/>
        <v>1.2948249393354132</v>
      </c>
      <c r="AE14" s="12">
        <f t="shared" si="0"/>
        <v>1.2913409144752428</v>
      </c>
      <c r="AF14" s="12">
        <f t="shared" si="0"/>
        <v>1.2911810028053261</v>
      </c>
      <c r="AG14" s="12">
        <f t="shared" si="0"/>
        <v>1.2903754778674517</v>
      </c>
      <c r="AH14" s="12">
        <f t="shared" si="0"/>
        <v>1.2912798735927316</v>
      </c>
      <c r="AI14" s="19">
        <f t="shared" si="0"/>
        <v>1.2919723162893559</v>
      </c>
      <c r="AJ14" s="18">
        <f t="shared" si="0"/>
        <v>1.2181025081788441</v>
      </c>
      <c r="AK14" s="12">
        <f t="shared" si="0"/>
        <v>1.2876310516074696</v>
      </c>
      <c r="AL14" s="12">
        <f t="shared" si="0"/>
        <v>1.2807430202396779</v>
      </c>
      <c r="AM14" s="12">
        <f t="shared" si="0"/>
        <v>1.2868127169556993</v>
      </c>
      <c r="AN14" s="12">
        <f t="shared" si="0"/>
        <v>1.2972023138210791</v>
      </c>
      <c r="AO14" s="12">
        <f t="shared" si="0"/>
        <v>1.2996736278194123</v>
      </c>
      <c r="AP14" s="12">
        <f t="shared" si="0"/>
        <v>1.2818493225405276</v>
      </c>
      <c r="AQ14" s="12">
        <f t="shared" si="0"/>
        <v>1.3025185034389495</v>
      </c>
      <c r="AR14" s="19">
        <f t="shared" si="0"/>
        <v>1.2944957200256215</v>
      </c>
    </row>
    <row r="15" spans="2:44" ht="15" customHeight="1" thickBot="1">
      <c r="B15" s="94"/>
      <c r="C15" s="97"/>
      <c r="D15" s="6">
        <v>1</v>
      </c>
      <c r="E15" s="30">
        <v>51639</v>
      </c>
      <c r="F15" s="31">
        <v>97442</v>
      </c>
      <c r="G15" s="31">
        <v>174157</v>
      </c>
      <c r="H15" s="31">
        <v>280302</v>
      </c>
      <c r="I15" s="31">
        <v>382238</v>
      </c>
      <c r="J15" s="31">
        <v>442373</v>
      </c>
      <c r="K15" s="31">
        <v>442834</v>
      </c>
      <c r="L15" s="31">
        <v>442792</v>
      </c>
      <c r="M15" s="32">
        <v>442827</v>
      </c>
      <c r="N15" s="30">
        <v>53873</v>
      </c>
      <c r="O15" s="31">
        <v>103737</v>
      </c>
      <c r="P15" s="31">
        <v>193198</v>
      </c>
      <c r="Q15" s="31">
        <v>335420</v>
      </c>
      <c r="R15" s="31">
        <v>498040</v>
      </c>
      <c r="S15" s="31">
        <v>580260</v>
      </c>
      <c r="T15" s="31">
        <v>580852</v>
      </c>
      <c r="U15" s="31">
        <v>580865</v>
      </c>
      <c r="V15" s="32">
        <v>580862</v>
      </c>
      <c r="X15" s="94"/>
      <c r="Y15" s="97"/>
      <c r="Z15" s="6">
        <v>1</v>
      </c>
      <c r="AA15" s="20">
        <f t="shared" si="0"/>
        <v>1.1771916574681927</v>
      </c>
      <c r="AB15" s="21">
        <f t="shared" si="0"/>
        <v>1.1877424519201165</v>
      </c>
      <c r="AC15" s="21">
        <f t="shared" si="0"/>
        <v>1.2018523516137738</v>
      </c>
      <c r="AD15" s="21">
        <f t="shared" si="0"/>
        <v>1.2084537391813115</v>
      </c>
      <c r="AE15" s="21">
        <f t="shared" si="0"/>
        <v>1.2058429564826103</v>
      </c>
      <c r="AF15" s="21">
        <f t="shared" si="0"/>
        <v>1.21303063252052</v>
      </c>
      <c r="AG15" s="21">
        <f t="shared" si="0"/>
        <v>1.2883586174503312</v>
      </c>
      <c r="AH15" s="21">
        <f t="shared" si="0"/>
        <v>1.2885779327539792</v>
      </c>
      <c r="AI15" s="22">
        <f t="shared" si="0"/>
        <v>1.2885235091807863</v>
      </c>
      <c r="AJ15" s="20">
        <f t="shared" si="0"/>
        <v>1.1475878454884636</v>
      </c>
      <c r="AK15" s="21">
        <f t="shared" si="0"/>
        <v>1.1575040727994834</v>
      </c>
      <c r="AL15" s="21">
        <f t="shared" si="0"/>
        <v>1.1741632936158759</v>
      </c>
      <c r="AM15" s="21">
        <f t="shared" si="0"/>
        <v>1.1988044839305945</v>
      </c>
      <c r="AN15" s="21">
        <f t="shared" si="0"/>
        <v>1.2629487591358124</v>
      </c>
      <c r="AO15" s="21">
        <f t="shared" si="0"/>
        <v>1.4193913073449833</v>
      </c>
      <c r="AP15" s="21">
        <f t="shared" si="0"/>
        <v>1.4655402753197029</v>
      </c>
      <c r="AQ15" s="21">
        <f t="shared" si="0"/>
        <v>1.4651459461320617</v>
      </c>
      <c r="AR15" s="22">
        <f t="shared" si="0"/>
        <v>1.4652499216681414</v>
      </c>
    </row>
    <row r="16" spans="2:44" ht="15" customHeight="1">
      <c r="B16" s="83" t="s">
        <v>9</v>
      </c>
      <c r="C16" s="98" t="s">
        <v>6</v>
      </c>
      <c r="D16" s="4">
        <v>0.25</v>
      </c>
      <c r="E16" s="24">
        <v>12</v>
      </c>
      <c r="F16" s="25">
        <v>13</v>
      </c>
      <c r="G16" s="25">
        <v>14</v>
      </c>
      <c r="H16" s="25">
        <v>302</v>
      </c>
      <c r="I16" s="25">
        <v>628</v>
      </c>
      <c r="J16" s="25">
        <v>1400</v>
      </c>
      <c r="K16" s="25">
        <v>3888</v>
      </c>
      <c r="L16" s="25">
        <v>8768</v>
      </c>
      <c r="M16" s="26">
        <v>18560</v>
      </c>
      <c r="N16" s="24">
        <v>13</v>
      </c>
      <c r="O16" s="25">
        <v>13</v>
      </c>
      <c r="P16" s="25">
        <v>15</v>
      </c>
      <c r="Q16" s="25">
        <v>183</v>
      </c>
      <c r="R16" s="25">
        <v>446</v>
      </c>
      <c r="S16" s="25">
        <v>980</v>
      </c>
      <c r="T16" s="25">
        <v>2704</v>
      </c>
      <c r="U16" s="25">
        <v>6816</v>
      </c>
      <c r="V16" s="26">
        <v>14016</v>
      </c>
      <c r="X16" s="83" t="s">
        <v>9</v>
      </c>
      <c r="Y16" s="98" t="s">
        <v>6</v>
      </c>
      <c r="Z16" s="4">
        <v>0.25</v>
      </c>
      <c r="AA16" s="15">
        <f t="shared" si="0"/>
        <v>1.0833333333333333</v>
      </c>
      <c r="AB16" s="16">
        <f t="shared" si="0"/>
        <v>1.0769230769230769</v>
      </c>
      <c r="AC16" s="16">
        <f t="shared" si="0"/>
        <v>1.1428571428571428</v>
      </c>
      <c r="AD16" s="16">
        <f t="shared" si="0"/>
        <v>5.2980132450331126E-2</v>
      </c>
      <c r="AE16" s="16">
        <f t="shared" si="0"/>
        <v>2.5477707006369428E-2</v>
      </c>
      <c r="AF16" s="16">
        <f t="shared" si="0"/>
        <v>1.1428571428571429E-2</v>
      </c>
      <c r="AG16" s="16">
        <f t="shared" si="0"/>
        <v>5.4012345679012343E-3</v>
      </c>
      <c r="AH16" s="16">
        <f t="shared" si="0"/>
        <v>0.54379562043795615</v>
      </c>
      <c r="AI16" s="17">
        <f t="shared" si="0"/>
        <v>0.78965517241379313</v>
      </c>
      <c r="AJ16" s="15">
        <f t="shared" si="0"/>
        <v>1</v>
      </c>
      <c r="AK16" s="16">
        <f t="shared" si="0"/>
        <v>1.0769230769230769</v>
      </c>
      <c r="AL16" s="16">
        <f t="shared" si="0"/>
        <v>1.0666666666666667</v>
      </c>
      <c r="AM16" s="16">
        <f t="shared" si="0"/>
        <v>9.8360655737704916E-2</v>
      </c>
      <c r="AN16" s="16">
        <f t="shared" si="0"/>
        <v>3.811659192825112E-2</v>
      </c>
      <c r="AO16" s="16">
        <f t="shared" si="0"/>
        <v>1.8367346938775512E-2</v>
      </c>
      <c r="AP16" s="16">
        <f t="shared" si="0"/>
        <v>6.6568047337278108E-3</v>
      </c>
      <c r="AQ16" s="16">
        <f t="shared" si="0"/>
        <v>0.54694835680751175</v>
      </c>
      <c r="AR16" s="17">
        <f t="shared" si="0"/>
        <v>0.73515981735159819</v>
      </c>
    </row>
    <row r="17" spans="2:44" ht="15" customHeight="1">
      <c r="B17" s="93"/>
      <c r="C17" s="96"/>
      <c r="D17" s="5">
        <v>0.5</v>
      </c>
      <c r="E17" s="27">
        <v>16</v>
      </c>
      <c r="F17" s="28">
        <v>14</v>
      </c>
      <c r="G17" s="28">
        <v>213</v>
      </c>
      <c r="H17" s="28">
        <v>516</v>
      </c>
      <c r="I17" s="28">
        <v>1128</v>
      </c>
      <c r="J17" s="28">
        <v>2384</v>
      </c>
      <c r="K17" s="28">
        <v>5664</v>
      </c>
      <c r="L17" s="28">
        <v>12480</v>
      </c>
      <c r="M17" s="29">
        <v>27008</v>
      </c>
      <c r="N17" s="27">
        <v>13</v>
      </c>
      <c r="O17" s="28">
        <v>14</v>
      </c>
      <c r="P17" s="28">
        <v>159</v>
      </c>
      <c r="Q17" s="28">
        <v>398</v>
      </c>
      <c r="R17" s="28">
        <v>884</v>
      </c>
      <c r="S17" s="28">
        <v>1896</v>
      </c>
      <c r="T17" s="28">
        <v>4576</v>
      </c>
      <c r="U17" s="28">
        <v>9920</v>
      </c>
      <c r="V17" s="29">
        <v>21120</v>
      </c>
      <c r="X17" s="93"/>
      <c r="Y17" s="96"/>
      <c r="Z17" s="5">
        <v>0.5</v>
      </c>
      <c r="AA17" s="18">
        <f t="shared" si="0"/>
        <v>0.8125</v>
      </c>
      <c r="AB17" s="12">
        <f t="shared" si="0"/>
        <v>1.0714285714285714</v>
      </c>
      <c r="AC17" s="12">
        <f t="shared" si="0"/>
        <v>1.1126760563380282</v>
      </c>
      <c r="AD17" s="12">
        <f t="shared" si="0"/>
        <v>1.124031007751938</v>
      </c>
      <c r="AE17" s="12">
        <f t="shared" si="0"/>
        <v>1.0851063829787233</v>
      </c>
      <c r="AF17" s="12">
        <f t="shared" si="0"/>
        <v>1.0671140939597314</v>
      </c>
      <c r="AG17" s="12">
        <f t="shared" si="0"/>
        <v>0.80790960451977401</v>
      </c>
      <c r="AH17" s="12">
        <f t="shared" si="0"/>
        <v>0.7846153846153846</v>
      </c>
      <c r="AI17" s="19">
        <f t="shared" si="0"/>
        <v>0.80094786729857825</v>
      </c>
      <c r="AJ17" s="18">
        <f t="shared" si="0"/>
        <v>1</v>
      </c>
      <c r="AK17" s="12">
        <f t="shared" si="0"/>
        <v>1.0714285714285714</v>
      </c>
      <c r="AL17" s="12">
        <f t="shared" si="0"/>
        <v>0.10062893081761007</v>
      </c>
      <c r="AM17" s="12">
        <f t="shared" si="0"/>
        <v>1.1407035175879396</v>
      </c>
      <c r="AN17" s="12">
        <f t="shared" si="0"/>
        <v>1.1538461538461537</v>
      </c>
      <c r="AO17" s="12">
        <f t="shared" si="0"/>
        <v>1.1054852320675106</v>
      </c>
      <c r="AP17" s="12">
        <f t="shared" si="0"/>
        <v>0.76573426573426573</v>
      </c>
      <c r="AQ17" s="12">
        <f t="shared" si="0"/>
        <v>0.80967741935483872</v>
      </c>
      <c r="AR17" s="19">
        <f t="shared" si="0"/>
        <v>0.76666666666666672</v>
      </c>
    </row>
    <row r="18" spans="2:44" ht="15" customHeight="1">
      <c r="B18" s="93"/>
      <c r="C18" s="96"/>
      <c r="D18" s="5">
        <v>0.75</v>
      </c>
      <c r="E18" s="27">
        <v>16</v>
      </c>
      <c r="F18" s="28">
        <v>131</v>
      </c>
      <c r="G18" s="28">
        <v>290</v>
      </c>
      <c r="H18" s="28">
        <v>580</v>
      </c>
      <c r="I18" s="28">
        <v>1176</v>
      </c>
      <c r="J18" s="28">
        <v>3120</v>
      </c>
      <c r="K18" s="28">
        <v>7136</v>
      </c>
      <c r="L18" s="28">
        <v>16064</v>
      </c>
      <c r="M18" s="29">
        <v>35072</v>
      </c>
      <c r="N18" s="27">
        <v>15</v>
      </c>
      <c r="O18" s="28">
        <v>111</v>
      </c>
      <c r="P18" s="28">
        <v>235</v>
      </c>
      <c r="Q18" s="28">
        <v>490</v>
      </c>
      <c r="R18" s="28">
        <v>996</v>
      </c>
      <c r="S18" s="28">
        <v>2544</v>
      </c>
      <c r="T18" s="28">
        <v>5856</v>
      </c>
      <c r="U18" s="28">
        <v>12736</v>
      </c>
      <c r="V18" s="29">
        <v>27776</v>
      </c>
      <c r="X18" s="93"/>
      <c r="Y18" s="96"/>
      <c r="Z18" s="5">
        <v>0.75</v>
      </c>
      <c r="AA18" s="18">
        <f t="shared" si="0"/>
        <v>0.8125</v>
      </c>
      <c r="AB18" s="12">
        <f t="shared" si="0"/>
        <v>1.2595419847328244</v>
      </c>
      <c r="AC18" s="12">
        <f t="shared" si="0"/>
        <v>1.1379310344827587</v>
      </c>
      <c r="AD18" s="12">
        <f t="shared" ref="AD18:AR27" si="1">H45/H18</f>
        <v>1.1517241379310346</v>
      </c>
      <c r="AE18" s="12">
        <f t="shared" si="1"/>
        <v>1.1224489795918366</v>
      </c>
      <c r="AF18" s="12">
        <f t="shared" si="1"/>
        <v>0.84615384615384615</v>
      </c>
      <c r="AG18" s="12">
        <f t="shared" si="1"/>
        <v>0.68609865470852016</v>
      </c>
      <c r="AH18" s="12">
        <f t="shared" si="1"/>
        <v>0.62549800796812749</v>
      </c>
      <c r="AI18" s="19">
        <f t="shared" si="1"/>
        <v>0.63868613138686137</v>
      </c>
      <c r="AJ18" s="18">
        <f t="shared" si="1"/>
        <v>0.8666666666666667</v>
      </c>
      <c r="AK18" s="12">
        <f t="shared" si="1"/>
        <v>1.072072072072072</v>
      </c>
      <c r="AL18" s="12">
        <f t="shared" si="1"/>
        <v>1.1659574468085105</v>
      </c>
      <c r="AM18" s="12">
        <f t="shared" si="1"/>
        <v>1.1183673469387756</v>
      </c>
      <c r="AN18" s="12">
        <f t="shared" si="1"/>
        <v>1.0843373493975903</v>
      </c>
      <c r="AO18" s="12">
        <f t="shared" si="1"/>
        <v>0.84905660377358494</v>
      </c>
      <c r="AP18" s="12">
        <f t="shared" si="1"/>
        <v>0.71584699453551914</v>
      </c>
      <c r="AQ18" s="12">
        <f t="shared" si="1"/>
        <v>0.66834170854271358</v>
      </c>
      <c r="AR18" s="19">
        <f t="shared" si="1"/>
        <v>0.67741935483870963</v>
      </c>
    </row>
    <row r="19" spans="2:44" ht="15" customHeight="1" thickBot="1">
      <c r="B19" s="93"/>
      <c r="C19" s="97"/>
      <c r="D19" s="6">
        <v>1</v>
      </c>
      <c r="E19" s="30">
        <v>74</v>
      </c>
      <c r="F19" s="31">
        <v>149</v>
      </c>
      <c r="G19" s="31">
        <v>298</v>
      </c>
      <c r="H19" s="31">
        <v>596</v>
      </c>
      <c r="I19" s="31">
        <v>1192</v>
      </c>
      <c r="J19" s="31">
        <v>2384</v>
      </c>
      <c r="K19" s="31">
        <v>4768</v>
      </c>
      <c r="L19" s="31">
        <v>9408</v>
      </c>
      <c r="M19" s="32">
        <v>19072</v>
      </c>
      <c r="N19" s="30">
        <v>64</v>
      </c>
      <c r="O19" s="31">
        <v>131</v>
      </c>
      <c r="P19" s="31">
        <v>253</v>
      </c>
      <c r="Q19" s="31">
        <v>506</v>
      </c>
      <c r="R19" s="31">
        <v>1048</v>
      </c>
      <c r="S19" s="31">
        <v>2064</v>
      </c>
      <c r="T19" s="31">
        <v>4080</v>
      </c>
      <c r="U19" s="31">
        <v>8160</v>
      </c>
      <c r="V19" s="32">
        <v>16512</v>
      </c>
      <c r="X19" s="93"/>
      <c r="Y19" s="97"/>
      <c r="Z19" s="6">
        <v>1</v>
      </c>
      <c r="AA19" s="20">
        <f t="shared" ref="AA19:AC27" si="2">E46/E19</f>
        <v>1.1081081081081081</v>
      </c>
      <c r="AB19" s="21">
        <f t="shared" si="2"/>
        <v>1.1073825503355705</v>
      </c>
      <c r="AC19" s="21">
        <f t="shared" si="2"/>
        <v>1.1208053691275168</v>
      </c>
      <c r="AD19" s="21">
        <f t="shared" si="1"/>
        <v>1.1208053691275168</v>
      </c>
      <c r="AE19" s="21">
        <f t="shared" si="1"/>
        <v>1.1208053691275168</v>
      </c>
      <c r="AF19" s="21">
        <f t="shared" si="1"/>
        <v>1.1208053691275168</v>
      </c>
      <c r="AG19" s="21">
        <f t="shared" si="1"/>
        <v>0.86577181208053688</v>
      </c>
      <c r="AH19" s="21">
        <f t="shared" si="1"/>
        <v>0.82653061224489799</v>
      </c>
      <c r="AI19" s="22">
        <f t="shared" si="1"/>
        <v>0.70134228187919467</v>
      </c>
      <c r="AJ19" s="20">
        <f t="shared" si="1"/>
        <v>0.671875</v>
      </c>
      <c r="AK19" s="21">
        <f t="shared" si="1"/>
        <v>0.66412213740458015</v>
      </c>
      <c r="AL19" s="21">
        <f t="shared" si="1"/>
        <v>0.69169960474308301</v>
      </c>
      <c r="AM19" s="21">
        <f t="shared" si="1"/>
        <v>0.69169960474308301</v>
      </c>
      <c r="AN19" s="21">
        <f t="shared" si="1"/>
        <v>0.66793893129770987</v>
      </c>
      <c r="AO19" s="21">
        <f t="shared" si="1"/>
        <v>0.67829457364341084</v>
      </c>
      <c r="AP19" s="21">
        <f t="shared" si="1"/>
        <v>0.69411764705882351</v>
      </c>
      <c r="AQ19" s="21">
        <f t="shared" si="1"/>
        <v>0.69411764705882351</v>
      </c>
      <c r="AR19" s="22">
        <f t="shared" si="1"/>
        <v>0.69379844961240311</v>
      </c>
    </row>
    <row r="20" spans="2:44" ht="15" customHeight="1">
      <c r="B20" s="93"/>
      <c r="C20" s="98" t="s">
        <v>7</v>
      </c>
      <c r="D20" s="4">
        <v>0.25</v>
      </c>
      <c r="E20" s="24">
        <v>17</v>
      </c>
      <c r="F20" s="25">
        <v>17</v>
      </c>
      <c r="G20" s="25">
        <v>19</v>
      </c>
      <c r="H20" s="25">
        <v>442</v>
      </c>
      <c r="I20" s="25">
        <v>828</v>
      </c>
      <c r="J20" s="25">
        <v>1880</v>
      </c>
      <c r="K20" s="25">
        <v>5344</v>
      </c>
      <c r="L20" s="25">
        <v>12992</v>
      </c>
      <c r="M20" s="26">
        <v>26240</v>
      </c>
      <c r="N20" s="24">
        <v>31</v>
      </c>
      <c r="O20" s="25">
        <v>19</v>
      </c>
      <c r="P20" s="25">
        <v>20</v>
      </c>
      <c r="Q20" s="25">
        <v>274</v>
      </c>
      <c r="R20" s="25">
        <v>596</v>
      </c>
      <c r="S20" s="25">
        <v>1320</v>
      </c>
      <c r="T20" s="25">
        <v>3952</v>
      </c>
      <c r="U20" s="25">
        <v>10304</v>
      </c>
      <c r="V20" s="26">
        <v>20352</v>
      </c>
      <c r="X20" s="93"/>
      <c r="Y20" s="98" t="s">
        <v>7</v>
      </c>
      <c r="Z20" s="4">
        <v>0.25</v>
      </c>
      <c r="AA20" s="15">
        <f t="shared" si="2"/>
        <v>1.0588235294117647</v>
      </c>
      <c r="AB20" s="16">
        <f t="shared" si="2"/>
        <v>1.1176470588235294</v>
      </c>
      <c r="AC20" s="16">
        <f t="shared" si="2"/>
        <v>1.1052631578947369</v>
      </c>
      <c r="AD20" s="16">
        <f t="shared" si="1"/>
        <v>4.7511312217194568E-2</v>
      </c>
      <c r="AE20" s="16">
        <f t="shared" si="1"/>
        <v>2.5362318840579712E-2</v>
      </c>
      <c r="AF20" s="16">
        <f t="shared" si="1"/>
        <v>1.1170212765957447E-2</v>
      </c>
      <c r="AG20" s="16">
        <f t="shared" si="1"/>
        <v>5.8008982035928141E-3</v>
      </c>
      <c r="AH20" s="16">
        <f t="shared" si="1"/>
        <v>0.5</v>
      </c>
      <c r="AI20" s="17">
        <f t="shared" si="1"/>
        <v>0.70731707317073167</v>
      </c>
      <c r="AJ20" s="15">
        <f t="shared" si="1"/>
        <v>0.80645161290322576</v>
      </c>
      <c r="AK20" s="16">
        <f t="shared" si="1"/>
        <v>1</v>
      </c>
      <c r="AL20" s="16">
        <f t="shared" si="1"/>
        <v>1.05</v>
      </c>
      <c r="AM20" s="16">
        <f t="shared" si="1"/>
        <v>9.4890510948905105E-2</v>
      </c>
      <c r="AN20" s="16">
        <f t="shared" si="1"/>
        <v>4.1946308724832217E-2</v>
      </c>
      <c r="AO20" s="16">
        <f t="shared" si="1"/>
        <v>1.9696969696969695E-2</v>
      </c>
      <c r="AP20" s="16">
        <f t="shared" si="1"/>
        <v>6.8319838056680165E-3</v>
      </c>
      <c r="AQ20" s="16">
        <f t="shared" si="1"/>
        <v>0.5</v>
      </c>
      <c r="AR20" s="17">
        <f t="shared" si="1"/>
        <v>0.70125786163522008</v>
      </c>
    </row>
    <row r="21" spans="2:44" ht="15" customHeight="1">
      <c r="B21" s="93"/>
      <c r="C21" s="96"/>
      <c r="D21" s="5">
        <v>0.5</v>
      </c>
      <c r="E21" s="27">
        <v>39</v>
      </c>
      <c r="F21" s="28">
        <v>18</v>
      </c>
      <c r="G21" s="28">
        <v>274</v>
      </c>
      <c r="H21" s="28">
        <v>612</v>
      </c>
      <c r="I21" s="28">
        <v>1272</v>
      </c>
      <c r="J21" s="28">
        <v>2800</v>
      </c>
      <c r="K21" s="28">
        <v>7904</v>
      </c>
      <c r="L21" s="28">
        <v>18560</v>
      </c>
      <c r="M21" s="29">
        <v>38656</v>
      </c>
      <c r="N21" s="27">
        <v>31</v>
      </c>
      <c r="O21" s="28">
        <v>19</v>
      </c>
      <c r="P21" s="28">
        <v>207</v>
      </c>
      <c r="Q21" s="28">
        <v>474</v>
      </c>
      <c r="R21" s="28">
        <v>996</v>
      </c>
      <c r="S21" s="28">
        <v>2256</v>
      </c>
      <c r="T21" s="28">
        <v>6368</v>
      </c>
      <c r="U21" s="28">
        <v>14016</v>
      </c>
      <c r="V21" s="29">
        <v>29568</v>
      </c>
      <c r="X21" s="93"/>
      <c r="Y21" s="96"/>
      <c r="Z21" s="5">
        <v>0.5</v>
      </c>
      <c r="AA21" s="18">
        <f t="shared" si="2"/>
        <v>0.46153846153846156</v>
      </c>
      <c r="AB21" s="12">
        <f t="shared" si="2"/>
        <v>1.0555555555555556</v>
      </c>
      <c r="AC21" s="12">
        <f t="shared" si="2"/>
        <v>1.1313868613138687</v>
      </c>
      <c r="AD21" s="12">
        <f t="shared" si="1"/>
        <v>1.0522875816993464</v>
      </c>
      <c r="AE21" s="12">
        <f t="shared" si="1"/>
        <v>1.0251572327044025</v>
      </c>
      <c r="AF21" s="12">
        <f t="shared" si="1"/>
        <v>0.93142857142857138</v>
      </c>
      <c r="AG21" s="12">
        <f t="shared" si="1"/>
        <v>0.58704453441295545</v>
      </c>
      <c r="AH21" s="12">
        <f t="shared" si="1"/>
        <v>0.67931034482758623</v>
      </c>
      <c r="AI21" s="19">
        <f t="shared" si="1"/>
        <v>0.71192052980132448</v>
      </c>
      <c r="AJ21" s="18">
        <f t="shared" si="1"/>
        <v>0.83870967741935487</v>
      </c>
      <c r="AK21" s="12">
        <f t="shared" si="1"/>
        <v>1.0526315789473684</v>
      </c>
      <c r="AL21" s="12">
        <f t="shared" si="1"/>
        <v>0.10144927536231885</v>
      </c>
      <c r="AM21" s="12">
        <f t="shared" si="1"/>
        <v>1.1054852320675106</v>
      </c>
      <c r="AN21" s="12">
        <f t="shared" si="1"/>
        <v>1.0843373493975903</v>
      </c>
      <c r="AO21" s="12">
        <f t="shared" si="1"/>
        <v>0.95744680851063835</v>
      </c>
      <c r="AP21" s="12">
        <f t="shared" si="1"/>
        <v>0.66834170854271358</v>
      </c>
      <c r="AQ21" s="12">
        <f t="shared" si="1"/>
        <v>0.68949771689497719</v>
      </c>
      <c r="AR21" s="19">
        <f t="shared" si="1"/>
        <v>0.74891774891774887</v>
      </c>
    </row>
    <row r="22" spans="2:44" ht="15" customHeight="1">
      <c r="B22" s="93"/>
      <c r="C22" s="96"/>
      <c r="D22" s="5">
        <v>0.75</v>
      </c>
      <c r="E22" s="27">
        <v>42</v>
      </c>
      <c r="F22" s="28">
        <v>151</v>
      </c>
      <c r="G22" s="28">
        <v>322</v>
      </c>
      <c r="H22" s="28">
        <v>636</v>
      </c>
      <c r="I22" s="28">
        <v>1272</v>
      </c>
      <c r="J22" s="28">
        <v>3632</v>
      </c>
      <c r="K22" s="28">
        <v>9792</v>
      </c>
      <c r="L22" s="28">
        <v>22400</v>
      </c>
      <c r="M22" s="29">
        <v>48896</v>
      </c>
      <c r="N22" s="27">
        <v>37</v>
      </c>
      <c r="O22" s="28">
        <v>126</v>
      </c>
      <c r="P22" s="28">
        <v>262</v>
      </c>
      <c r="Q22" s="28">
        <v>540</v>
      </c>
      <c r="R22" s="28">
        <v>1096</v>
      </c>
      <c r="S22" s="28">
        <v>2960</v>
      </c>
      <c r="T22" s="28">
        <v>8640</v>
      </c>
      <c r="U22" s="28">
        <v>17536</v>
      </c>
      <c r="V22" s="29">
        <v>39168</v>
      </c>
      <c r="X22" s="93"/>
      <c r="Y22" s="96"/>
      <c r="Z22" s="5">
        <v>0.75</v>
      </c>
      <c r="AA22" s="18">
        <f t="shared" si="2"/>
        <v>0.42857142857142855</v>
      </c>
      <c r="AB22" s="12">
        <f t="shared" si="2"/>
        <v>1.1059602649006623</v>
      </c>
      <c r="AC22" s="12">
        <f t="shared" si="2"/>
        <v>1.0372670807453417</v>
      </c>
      <c r="AD22" s="12">
        <f t="shared" si="1"/>
        <v>1.050314465408805</v>
      </c>
      <c r="AE22" s="12">
        <f t="shared" si="1"/>
        <v>1.050314465408805</v>
      </c>
      <c r="AF22" s="12">
        <f t="shared" si="1"/>
        <v>0.73568281938325997</v>
      </c>
      <c r="AG22" s="12">
        <f t="shared" si="1"/>
        <v>0.53921568627450978</v>
      </c>
      <c r="AH22" s="12">
        <f t="shared" si="1"/>
        <v>0.60285714285714287</v>
      </c>
      <c r="AI22" s="19">
        <f t="shared" si="1"/>
        <v>0.63612565445026181</v>
      </c>
      <c r="AJ22" s="18">
        <f t="shared" si="1"/>
        <v>0.7567567567567568</v>
      </c>
      <c r="AK22" s="12">
        <f t="shared" si="1"/>
        <v>1.0873015873015872</v>
      </c>
      <c r="AL22" s="12">
        <f t="shared" si="1"/>
        <v>1.0458015267175573</v>
      </c>
      <c r="AM22" s="12">
        <f t="shared" si="1"/>
        <v>1.0148148148148148</v>
      </c>
      <c r="AN22" s="12">
        <f t="shared" si="1"/>
        <v>1</v>
      </c>
      <c r="AO22" s="12">
        <f t="shared" si="1"/>
        <v>0.72972972972972971</v>
      </c>
      <c r="AP22" s="12">
        <f t="shared" si="1"/>
        <v>0.50740740740740742</v>
      </c>
      <c r="AQ22" s="12">
        <f t="shared" si="1"/>
        <v>0.67518248175182483</v>
      </c>
      <c r="AR22" s="19">
        <f t="shared" si="1"/>
        <v>0.69607843137254899</v>
      </c>
    </row>
    <row r="23" spans="2:44" ht="15" customHeight="1" thickBot="1">
      <c r="B23" s="93"/>
      <c r="C23" s="97"/>
      <c r="D23" s="6">
        <v>1</v>
      </c>
      <c r="E23" s="30">
        <v>79</v>
      </c>
      <c r="F23" s="31">
        <v>157</v>
      </c>
      <c r="G23" s="31">
        <v>314</v>
      </c>
      <c r="H23" s="31">
        <v>628</v>
      </c>
      <c r="I23" s="31">
        <v>1256</v>
      </c>
      <c r="J23" s="31">
        <v>2608</v>
      </c>
      <c r="K23" s="31">
        <v>5152</v>
      </c>
      <c r="L23" s="31">
        <v>13248</v>
      </c>
      <c r="M23" s="32">
        <v>25216</v>
      </c>
      <c r="N23" s="30">
        <v>68</v>
      </c>
      <c r="O23" s="31">
        <v>133</v>
      </c>
      <c r="P23" s="31">
        <v>262</v>
      </c>
      <c r="Q23" s="31">
        <v>516</v>
      </c>
      <c r="R23" s="31">
        <v>1048</v>
      </c>
      <c r="S23" s="31">
        <v>2384</v>
      </c>
      <c r="T23" s="31">
        <v>4576</v>
      </c>
      <c r="U23" s="31">
        <v>11328</v>
      </c>
      <c r="V23" s="32">
        <v>22400</v>
      </c>
      <c r="X23" s="93"/>
      <c r="Y23" s="97"/>
      <c r="Z23" s="6">
        <v>1</v>
      </c>
      <c r="AA23" s="20">
        <f t="shared" si="2"/>
        <v>1.0632911392405062</v>
      </c>
      <c r="AB23" s="21">
        <f t="shared" si="2"/>
        <v>1.0764331210191083</v>
      </c>
      <c r="AC23" s="21">
        <f t="shared" si="2"/>
        <v>1.0764331210191083</v>
      </c>
      <c r="AD23" s="21">
        <f t="shared" si="1"/>
        <v>1.0636942675159236</v>
      </c>
      <c r="AE23" s="21">
        <f t="shared" si="1"/>
        <v>1.0636942675159236</v>
      </c>
      <c r="AF23" s="21">
        <f t="shared" si="1"/>
        <v>1.0245398773006136</v>
      </c>
      <c r="AG23" s="21">
        <f t="shared" si="1"/>
        <v>1.0248447204968945</v>
      </c>
      <c r="AH23" s="21">
        <f t="shared" si="1"/>
        <v>0.79710144927536231</v>
      </c>
      <c r="AI23" s="22">
        <f t="shared" si="1"/>
        <v>0.84771573604060912</v>
      </c>
      <c r="AJ23" s="20">
        <f t="shared" si="1"/>
        <v>0.66176470588235292</v>
      </c>
      <c r="AK23" s="21">
        <f t="shared" si="1"/>
        <v>0.66917293233082709</v>
      </c>
      <c r="AL23" s="21">
        <f t="shared" si="1"/>
        <v>0.67557251908396942</v>
      </c>
      <c r="AM23" s="21">
        <f t="shared" si="1"/>
        <v>0.68604651162790697</v>
      </c>
      <c r="AN23" s="21">
        <f t="shared" si="1"/>
        <v>0.67557251908396942</v>
      </c>
      <c r="AO23" s="21">
        <f t="shared" si="1"/>
        <v>0.59395973154362414</v>
      </c>
      <c r="AP23" s="21">
        <f t="shared" si="1"/>
        <v>0.61888111888111885</v>
      </c>
      <c r="AQ23" s="21">
        <f t="shared" si="1"/>
        <v>0.53954802259887003</v>
      </c>
      <c r="AR23" s="22">
        <f t="shared" si="1"/>
        <v>0.74857142857142855</v>
      </c>
    </row>
    <row r="24" spans="2:44" ht="15" customHeight="1">
      <c r="B24" s="93"/>
      <c r="C24" s="95" t="s">
        <v>8</v>
      </c>
      <c r="D24" s="7">
        <v>0.25</v>
      </c>
      <c r="E24" s="33">
        <v>12187</v>
      </c>
      <c r="F24" s="34">
        <v>19547</v>
      </c>
      <c r="G24" s="34">
        <v>29051</v>
      </c>
      <c r="H24" s="34">
        <v>33666</v>
      </c>
      <c r="I24" s="34">
        <v>33757</v>
      </c>
      <c r="J24" s="34">
        <v>33742</v>
      </c>
      <c r="K24" s="34">
        <v>33756</v>
      </c>
      <c r="L24" s="34">
        <v>33756</v>
      </c>
      <c r="M24" s="35">
        <v>33754</v>
      </c>
      <c r="N24" s="33">
        <v>13762</v>
      </c>
      <c r="O24" s="34">
        <v>22957</v>
      </c>
      <c r="P24" s="34">
        <v>35846</v>
      </c>
      <c r="Q24" s="34">
        <v>46024</v>
      </c>
      <c r="R24" s="34">
        <v>45812</v>
      </c>
      <c r="S24" s="34">
        <v>45855</v>
      </c>
      <c r="T24" s="34">
        <v>45819</v>
      </c>
      <c r="U24" s="34">
        <v>45832</v>
      </c>
      <c r="V24" s="35">
        <v>45783</v>
      </c>
      <c r="X24" s="93"/>
      <c r="Y24" s="98" t="s">
        <v>8</v>
      </c>
      <c r="Z24" s="4">
        <v>0.25</v>
      </c>
      <c r="AA24" s="15">
        <f t="shared" si="2"/>
        <v>1.3149257405432018</v>
      </c>
      <c r="AB24" s="16">
        <f t="shared" si="2"/>
        <v>1.3802117972067325</v>
      </c>
      <c r="AC24" s="16">
        <f t="shared" si="2"/>
        <v>1.309662317992496</v>
      </c>
      <c r="AD24" s="16">
        <f t="shared" si="1"/>
        <v>1.2939167112220045</v>
      </c>
      <c r="AE24" s="16">
        <f t="shared" si="1"/>
        <v>1.2917617086826436</v>
      </c>
      <c r="AF24" s="16">
        <f t="shared" si="1"/>
        <v>1.2911208582775175</v>
      </c>
      <c r="AG24" s="16">
        <f t="shared" si="1"/>
        <v>1.2899040170636331</v>
      </c>
      <c r="AH24" s="16">
        <f t="shared" si="1"/>
        <v>1.2910001184974522</v>
      </c>
      <c r="AI24" s="17">
        <f t="shared" si="1"/>
        <v>1.292113527285655</v>
      </c>
      <c r="AJ24" s="15">
        <f t="shared" si="1"/>
        <v>1.2177735794215958</v>
      </c>
      <c r="AK24" s="16">
        <f t="shared" si="1"/>
        <v>1.2873197717471796</v>
      </c>
      <c r="AL24" s="16">
        <f t="shared" si="1"/>
        <v>1.281426100541204</v>
      </c>
      <c r="AM24" s="16">
        <f t="shared" si="1"/>
        <v>1.2858725882148445</v>
      </c>
      <c r="AN24" s="16">
        <f t="shared" si="1"/>
        <v>1.2969309351261677</v>
      </c>
      <c r="AO24" s="16">
        <f t="shared" si="1"/>
        <v>1.2997274015919746</v>
      </c>
      <c r="AP24" s="16">
        <f t="shared" si="1"/>
        <v>1.2821318666928567</v>
      </c>
      <c r="AQ24" s="16">
        <f t="shared" si="1"/>
        <v>1.302801536044685</v>
      </c>
      <c r="AR24" s="17">
        <f t="shared" si="1"/>
        <v>1.2945197999257367</v>
      </c>
    </row>
    <row r="25" spans="2:44" ht="15" customHeight="1">
      <c r="B25" s="93"/>
      <c r="C25" s="96"/>
      <c r="D25" s="5">
        <v>0.5</v>
      </c>
      <c r="E25" s="27">
        <v>25788</v>
      </c>
      <c r="F25" s="28">
        <v>39108</v>
      </c>
      <c r="G25" s="28">
        <v>44180</v>
      </c>
      <c r="H25" s="28">
        <v>44355</v>
      </c>
      <c r="I25" s="28">
        <v>44767</v>
      </c>
      <c r="J25" s="28">
        <v>44920</v>
      </c>
      <c r="K25" s="28">
        <v>44880</v>
      </c>
      <c r="L25" s="28">
        <v>44891</v>
      </c>
      <c r="M25" s="29">
        <v>44917</v>
      </c>
      <c r="N25" s="27">
        <v>30590</v>
      </c>
      <c r="O25" s="28">
        <v>48300</v>
      </c>
      <c r="P25" s="28">
        <v>57237</v>
      </c>
      <c r="Q25" s="28">
        <v>57194</v>
      </c>
      <c r="R25" s="28">
        <v>57411</v>
      </c>
      <c r="S25" s="28">
        <v>56339</v>
      </c>
      <c r="T25" s="28">
        <v>56194</v>
      </c>
      <c r="U25" s="28">
        <v>57380</v>
      </c>
      <c r="V25" s="29">
        <v>57365</v>
      </c>
      <c r="X25" s="93"/>
      <c r="Y25" s="96"/>
      <c r="Z25" s="5">
        <v>0.5</v>
      </c>
      <c r="AA25" s="18">
        <f t="shared" si="2"/>
        <v>1.4308205366837288</v>
      </c>
      <c r="AB25" s="12">
        <f t="shared" si="2"/>
        <v>1.3901247826531655</v>
      </c>
      <c r="AC25" s="12">
        <f t="shared" si="2"/>
        <v>1.4271842462652784</v>
      </c>
      <c r="AD25" s="12">
        <f t="shared" si="1"/>
        <v>1.4228835531507158</v>
      </c>
      <c r="AE25" s="12">
        <f t="shared" si="1"/>
        <v>1.4079344159760538</v>
      </c>
      <c r="AF25" s="12">
        <f t="shared" si="1"/>
        <v>1.4043187889581479</v>
      </c>
      <c r="AG25" s="12">
        <f t="shared" si="1"/>
        <v>1.4046122994652406</v>
      </c>
      <c r="AH25" s="12">
        <f t="shared" si="1"/>
        <v>1.4046468111648214</v>
      </c>
      <c r="AI25" s="19">
        <f t="shared" si="1"/>
        <v>1.4039227909254848</v>
      </c>
      <c r="AJ25" s="18">
        <f t="shared" si="1"/>
        <v>1.2838509316770186</v>
      </c>
      <c r="AK25" s="12">
        <f t="shared" si="1"/>
        <v>1.2742443064182194</v>
      </c>
      <c r="AL25" s="12">
        <f t="shared" si="1"/>
        <v>1.4171252860911647</v>
      </c>
      <c r="AM25" s="12">
        <f t="shared" si="1"/>
        <v>1.4090114347658846</v>
      </c>
      <c r="AN25" s="12">
        <f t="shared" si="1"/>
        <v>1.4060023340474821</v>
      </c>
      <c r="AO25" s="12">
        <f t="shared" si="1"/>
        <v>1.4367134666926995</v>
      </c>
      <c r="AP25" s="12">
        <f t="shared" si="1"/>
        <v>1.4313271879560094</v>
      </c>
      <c r="AQ25" s="12">
        <f t="shared" si="1"/>
        <v>1.4022655977692575</v>
      </c>
      <c r="AR25" s="19">
        <f t="shared" si="1"/>
        <v>1.4032598274209012</v>
      </c>
    </row>
    <row r="26" spans="2:44" ht="15" customHeight="1">
      <c r="B26" s="93"/>
      <c r="C26" s="96"/>
      <c r="D26" s="5">
        <v>0.75</v>
      </c>
      <c r="E26" s="27">
        <v>47723</v>
      </c>
      <c r="F26" s="28">
        <v>50964</v>
      </c>
      <c r="G26" s="28">
        <v>50939</v>
      </c>
      <c r="H26" s="28">
        <v>51037</v>
      </c>
      <c r="I26" s="28">
        <v>51238</v>
      </c>
      <c r="J26" s="28">
        <v>51343</v>
      </c>
      <c r="K26" s="28">
        <v>51377</v>
      </c>
      <c r="L26" s="28">
        <v>51368</v>
      </c>
      <c r="M26" s="29">
        <v>51329</v>
      </c>
      <c r="N26" s="27">
        <v>59217</v>
      </c>
      <c r="O26" s="28">
        <v>62564</v>
      </c>
      <c r="P26" s="28">
        <v>62632</v>
      </c>
      <c r="Q26" s="28">
        <v>60736</v>
      </c>
      <c r="R26" s="28">
        <v>62202</v>
      </c>
      <c r="S26" s="28">
        <v>62772</v>
      </c>
      <c r="T26" s="28">
        <v>63012</v>
      </c>
      <c r="U26" s="28">
        <v>62728</v>
      </c>
      <c r="V26" s="29">
        <v>62926</v>
      </c>
      <c r="X26" s="93"/>
      <c r="Y26" s="96"/>
      <c r="Z26" s="5">
        <v>0.75</v>
      </c>
      <c r="AA26" s="18">
        <f t="shared" si="2"/>
        <v>1.4372105693271588</v>
      </c>
      <c r="AB26" s="12">
        <f t="shared" si="2"/>
        <v>1.5283533474609527</v>
      </c>
      <c r="AC26" s="12">
        <f t="shared" si="2"/>
        <v>1.5281218712577789</v>
      </c>
      <c r="AD26" s="12">
        <f t="shared" si="1"/>
        <v>1.5281854340968317</v>
      </c>
      <c r="AE26" s="12">
        <f t="shared" si="1"/>
        <v>1.5199851672586753</v>
      </c>
      <c r="AF26" s="12">
        <f t="shared" si="1"/>
        <v>1.51668192353388</v>
      </c>
      <c r="AG26" s="12">
        <f t="shared" si="1"/>
        <v>1.51412110477451</v>
      </c>
      <c r="AH26" s="12">
        <f t="shared" si="1"/>
        <v>1.5129652702071328</v>
      </c>
      <c r="AI26" s="19">
        <f t="shared" si="1"/>
        <v>1.5141343100391591</v>
      </c>
      <c r="AJ26" s="18">
        <f t="shared" si="1"/>
        <v>1.2237533140821049</v>
      </c>
      <c r="AK26" s="12">
        <f t="shared" si="1"/>
        <v>1.5262291413592481</v>
      </c>
      <c r="AL26" s="12">
        <f t="shared" si="1"/>
        <v>1.5205007025162856</v>
      </c>
      <c r="AM26" s="12">
        <f t="shared" si="1"/>
        <v>1.5694481032665963</v>
      </c>
      <c r="AN26" s="12">
        <f t="shared" si="1"/>
        <v>1.535095334555159</v>
      </c>
      <c r="AO26" s="12">
        <f t="shared" si="1"/>
        <v>1.517444083349264</v>
      </c>
      <c r="AP26" s="12">
        <f t="shared" si="1"/>
        <v>1.5058877674093822</v>
      </c>
      <c r="AQ26" s="12">
        <f t="shared" si="1"/>
        <v>1.5111114653743145</v>
      </c>
      <c r="AR26" s="19">
        <f t="shared" si="1"/>
        <v>1.5075644407717002</v>
      </c>
    </row>
    <row r="27" spans="2:44" ht="15" customHeight="1" thickBot="1">
      <c r="B27" s="94"/>
      <c r="C27" s="97"/>
      <c r="D27" s="6">
        <v>1</v>
      </c>
      <c r="E27" s="30">
        <v>57151</v>
      </c>
      <c r="F27" s="31">
        <v>57114</v>
      </c>
      <c r="G27" s="31">
        <v>57083</v>
      </c>
      <c r="H27" s="31">
        <v>57126</v>
      </c>
      <c r="I27" s="31">
        <v>57102</v>
      </c>
      <c r="J27" s="31">
        <v>57110</v>
      </c>
      <c r="K27" s="31">
        <v>57109</v>
      </c>
      <c r="L27" s="31">
        <v>57140</v>
      </c>
      <c r="M27" s="32">
        <v>57075</v>
      </c>
      <c r="N27" s="30">
        <v>63511</v>
      </c>
      <c r="O27" s="31">
        <v>63512</v>
      </c>
      <c r="P27" s="31">
        <v>63518</v>
      </c>
      <c r="Q27" s="31">
        <v>63520</v>
      </c>
      <c r="R27" s="31">
        <v>63517</v>
      </c>
      <c r="S27" s="31">
        <v>63532</v>
      </c>
      <c r="T27" s="31">
        <v>63528</v>
      </c>
      <c r="U27" s="31">
        <v>63529</v>
      </c>
      <c r="V27" s="32">
        <v>63535</v>
      </c>
      <c r="X27" s="94"/>
      <c r="Y27" s="97"/>
      <c r="Z27" s="6">
        <v>1</v>
      </c>
      <c r="AA27" s="20">
        <f t="shared" si="2"/>
        <v>1.6123602386659901</v>
      </c>
      <c r="AB27" s="21">
        <f t="shared" si="2"/>
        <v>1.6123892565745701</v>
      </c>
      <c r="AC27" s="21">
        <f t="shared" si="2"/>
        <v>1.6130897114727678</v>
      </c>
      <c r="AD27" s="21">
        <f t="shared" si="1"/>
        <v>1.6110177502363197</v>
      </c>
      <c r="AE27" s="21">
        <f t="shared" si="1"/>
        <v>1.6134811390143953</v>
      </c>
      <c r="AF27" s="21">
        <f t="shared" si="1"/>
        <v>1.6128874102609001</v>
      </c>
      <c r="AG27" s="21">
        <f t="shared" si="1"/>
        <v>1.6129331628990176</v>
      </c>
      <c r="AH27" s="21">
        <f t="shared" si="1"/>
        <v>1.613353167658383</v>
      </c>
      <c r="AI27" s="22">
        <f t="shared" si="1"/>
        <v>1.6126850635129215</v>
      </c>
      <c r="AJ27" s="20">
        <f t="shared" si="1"/>
        <v>1.4310276959896711</v>
      </c>
      <c r="AK27" s="21">
        <f t="shared" si="1"/>
        <v>1.4310051643783852</v>
      </c>
      <c r="AL27" s="21">
        <f t="shared" si="1"/>
        <v>1.4308699896092447</v>
      </c>
      <c r="AM27" s="21">
        <f t="shared" si="1"/>
        <v>1.4308249370277077</v>
      </c>
      <c r="AN27" s="21">
        <f t="shared" si="1"/>
        <v>1.4308925169639624</v>
      </c>
      <c r="AO27" s="21">
        <f t="shared" si="1"/>
        <v>1.4305546811055845</v>
      </c>
      <c r="AP27" s="21">
        <f t="shared" si="1"/>
        <v>1.4306447550686312</v>
      </c>
      <c r="AQ27" s="21">
        <f t="shared" si="1"/>
        <v>1.4306064946717247</v>
      </c>
      <c r="AR27" s="22">
        <f t="shared" si="1"/>
        <v>1.4304713937199969</v>
      </c>
    </row>
    <row r="28" spans="2:44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44" ht="15" customHeight="1" thickBot="1">
      <c r="B29" s="112" t="s">
        <v>66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4"/>
      <c r="M29" s="85"/>
      <c r="N29" s="83" t="s">
        <v>24</v>
      </c>
      <c r="O29" s="84"/>
      <c r="P29" s="84"/>
      <c r="Q29" s="84"/>
      <c r="R29" s="84"/>
      <c r="S29" s="84"/>
      <c r="T29" s="84"/>
      <c r="U29" s="84"/>
      <c r="V29" s="85"/>
      <c r="X29" s="13" t="s">
        <v>20</v>
      </c>
      <c r="Y29" s="14">
        <f>(COUNTIF(AA4:AR11,"&lt;1.1")+COUNTIF(AA16:AR23,"&lt;1.1"))/(COUNT(AA4:AR11)+COUNT(AA16:AR23))</f>
        <v>0.90972222222222221</v>
      </c>
      <c r="Z29" s="109" t="s">
        <v>19</v>
      </c>
      <c r="AA29" s="110"/>
      <c r="AB29" s="110"/>
      <c r="AC29" s="110"/>
      <c r="AD29" s="111"/>
    </row>
    <row r="30" spans="2:44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2" t="s">
        <v>23</v>
      </c>
      <c r="M30" s="3" t="s">
        <v>17</v>
      </c>
      <c r="N30" s="1" t="s">
        <v>0</v>
      </c>
      <c r="O30" s="2" t="s">
        <v>1</v>
      </c>
      <c r="P30" s="2" t="s">
        <v>2</v>
      </c>
      <c r="Q30" s="2" t="s">
        <v>3</v>
      </c>
      <c r="R30" s="2" t="s">
        <v>4</v>
      </c>
      <c r="S30" s="2" t="s">
        <v>18</v>
      </c>
      <c r="T30" s="2" t="s">
        <v>16</v>
      </c>
      <c r="U30" s="2" t="s">
        <v>23</v>
      </c>
      <c r="V30" s="3" t="s">
        <v>17</v>
      </c>
      <c r="X30" s="13" t="s">
        <v>21</v>
      </c>
      <c r="Y30" s="23">
        <f>(COUNTIF(AA4:AR11,"&lt;1.1"))/(COUNT(AA4:AR11))</f>
        <v>0.97916666666666663</v>
      </c>
      <c r="Z30" s="109" t="s">
        <v>19</v>
      </c>
      <c r="AA30" s="110"/>
      <c r="AB30" s="110"/>
      <c r="AC30" s="110"/>
      <c r="AD30" s="111"/>
    </row>
    <row r="31" spans="2:44" ht="15" customHeight="1" thickBot="1">
      <c r="B31" s="92" t="s">
        <v>5</v>
      </c>
      <c r="C31" s="98" t="s">
        <v>6</v>
      </c>
      <c r="D31" s="4">
        <v>0.25</v>
      </c>
      <c r="E31" s="36">
        <v>386</v>
      </c>
      <c r="F31" s="37">
        <v>426</v>
      </c>
      <c r="G31" s="37">
        <v>462</v>
      </c>
      <c r="H31" s="37">
        <v>524</v>
      </c>
      <c r="I31" s="37">
        <v>548</v>
      </c>
      <c r="J31" s="37">
        <v>556</v>
      </c>
      <c r="K31" s="37">
        <v>438</v>
      </c>
      <c r="L31" s="37">
        <v>6816</v>
      </c>
      <c r="M31" s="38">
        <v>19328</v>
      </c>
      <c r="N31" s="36">
        <v>494</v>
      </c>
      <c r="O31" s="37">
        <v>564</v>
      </c>
      <c r="P31" s="37">
        <v>612</v>
      </c>
      <c r="Q31" s="37">
        <v>660</v>
      </c>
      <c r="R31" s="37">
        <v>676</v>
      </c>
      <c r="S31" s="37">
        <v>692</v>
      </c>
      <c r="T31" s="37">
        <v>628</v>
      </c>
      <c r="U31" s="37">
        <v>5984</v>
      </c>
      <c r="V31" s="38">
        <v>16320</v>
      </c>
      <c r="X31" s="13" t="s">
        <v>22</v>
      </c>
      <c r="Y31" s="23">
        <f>COUNTIF(AA16:AR23,"&lt;1.1")/+COUNT(AA16:AR23)</f>
        <v>0.84027777777777779</v>
      </c>
      <c r="Z31" s="109" t="s">
        <v>19</v>
      </c>
      <c r="AA31" s="110"/>
      <c r="AB31" s="110"/>
      <c r="AC31" s="110"/>
      <c r="AD31" s="111"/>
    </row>
    <row r="32" spans="2:44" ht="15" customHeight="1">
      <c r="B32" s="93"/>
      <c r="C32" s="96"/>
      <c r="D32" s="5">
        <v>0.5</v>
      </c>
      <c r="E32" s="39">
        <v>310</v>
      </c>
      <c r="F32" s="40">
        <v>382</v>
      </c>
      <c r="G32" s="40">
        <v>470</v>
      </c>
      <c r="H32" s="40">
        <v>628</v>
      </c>
      <c r="I32" s="40">
        <v>948</v>
      </c>
      <c r="J32" s="40">
        <v>1560</v>
      </c>
      <c r="K32" s="40">
        <v>2608</v>
      </c>
      <c r="L32" s="40">
        <v>6304</v>
      </c>
      <c r="M32" s="41">
        <v>18048</v>
      </c>
      <c r="N32" s="39">
        <v>370</v>
      </c>
      <c r="O32" s="40">
        <v>466</v>
      </c>
      <c r="P32" s="40">
        <v>572</v>
      </c>
      <c r="Q32" s="40">
        <v>796</v>
      </c>
      <c r="R32" s="40">
        <v>1048</v>
      </c>
      <c r="S32" s="40">
        <v>1416</v>
      </c>
      <c r="T32" s="40">
        <v>812</v>
      </c>
      <c r="U32" s="40">
        <v>5280</v>
      </c>
      <c r="V32" s="41">
        <v>13376</v>
      </c>
    </row>
    <row r="33" spans="2:31" ht="15" customHeight="1">
      <c r="B33" s="93"/>
      <c r="C33" s="96"/>
      <c r="D33" s="5">
        <v>0.75</v>
      </c>
      <c r="E33" s="39">
        <v>258</v>
      </c>
      <c r="F33" s="40">
        <v>318</v>
      </c>
      <c r="G33" s="40">
        <v>398</v>
      </c>
      <c r="H33" s="40">
        <v>540</v>
      </c>
      <c r="I33" s="40">
        <v>812</v>
      </c>
      <c r="J33" s="40">
        <v>1336</v>
      </c>
      <c r="K33" s="40">
        <v>2384</v>
      </c>
      <c r="L33" s="40">
        <v>6752</v>
      </c>
      <c r="M33" s="41">
        <v>16768</v>
      </c>
      <c r="N33" s="39">
        <v>270</v>
      </c>
      <c r="O33" s="40">
        <v>346</v>
      </c>
      <c r="P33" s="40">
        <v>446</v>
      </c>
      <c r="Q33" s="40">
        <v>588</v>
      </c>
      <c r="R33" s="40">
        <v>844</v>
      </c>
      <c r="S33" s="40">
        <v>1304</v>
      </c>
      <c r="T33" s="40">
        <v>2160</v>
      </c>
      <c r="U33" s="40">
        <v>5280</v>
      </c>
      <c r="V33" s="41">
        <v>11712</v>
      </c>
    </row>
    <row r="34" spans="2:31" ht="15" customHeight="1" thickBot="1">
      <c r="B34" s="93"/>
      <c r="C34" s="97"/>
      <c r="D34" s="6">
        <v>1</v>
      </c>
      <c r="E34" s="42">
        <v>106</v>
      </c>
      <c r="F34" s="43">
        <v>120</v>
      </c>
      <c r="G34" s="43">
        <v>157</v>
      </c>
      <c r="H34" s="43">
        <v>241</v>
      </c>
      <c r="I34" s="43">
        <v>446</v>
      </c>
      <c r="J34" s="43">
        <v>900</v>
      </c>
      <c r="K34" s="43">
        <v>1704</v>
      </c>
      <c r="L34" s="43">
        <v>2896</v>
      </c>
      <c r="M34" s="44">
        <v>6432</v>
      </c>
      <c r="N34" s="42">
        <v>98</v>
      </c>
      <c r="O34" s="43">
        <v>108</v>
      </c>
      <c r="P34" s="43">
        <v>125</v>
      </c>
      <c r="Q34" s="43">
        <v>165</v>
      </c>
      <c r="R34" s="43">
        <v>255</v>
      </c>
      <c r="S34" s="43">
        <v>482</v>
      </c>
      <c r="T34" s="43">
        <v>900</v>
      </c>
      <c r="U34" s="43">
        <v>1736</v>
      </c>
      <c r="V34" s="44">
        <v>3984</v>
      </c>
    </row>
    <row r="35" spans="2:31" ht="15" customHeight="1">
      <c r="B35" s="93"/>
      <c r="C35" s="98" t="s">
        <v>7</v>
      </c>
      <c r="D35" s="4">
        <v>0.25</v>
      </c>
      <c r="E35" s="36">
        <v>884</v>
      </c>
      <c r="F35" s="37">
        <v>924</v>
      </c>
      <c r="G35" s="37">
        <v>948</v>
      </c>
      <c r="H35" s="37">
        <v>996</v>
      </c>
      <c r="I35" s="37">
        <v>1048</v>
      </c>
      <c r="J35" s="37">
        <v>1704</v>
      </c>
      <c r="K35" s="37">
        <v>964</v>
      </c>
      <c r="L35" s="37">
        <v>10304</v>
      </c>
      <c r="M35" s="38">
        <v>27776</v>
      </c>
      <c r="N35" s="36">
        <v>884</v>
      </c>
      <c r="O35" s="37">
        <v>956</v>
      </c>
      <c r="P35" s="37">
        <v>1004</v>
      </c>
      <c r="Q35" s="37">
        <v>1096</v>
      </c>
      <c r="R35" s="37">
        <v>1208</v>
      </c>
      <c r="S35" s="37">
        <v>1688</v>
      </c>
      <c r="T35" s="37">
        <v>1020</v>
      </c>
      <c r="U35" s="37">
        <v>8896</v>
      </c>
      <c r="V35" s="38">
        <v>24704</v>
      </c>
    </row>
    <row r="36" spans="2:31" ht="15" customHeight="1">
      <c r="B36" s="93"/>
      <c r="C36" s="96"/>
      <c r="D36" s="5">
        <v>0.5</v>
      </c>
      <c r="E36" s="39">
        <v>844</v>
      </c>
      <c r="F36" s="40">
        <v>884</v>
      </c>
      <c r="G36" s="40">
        <v>932</v>
      </c>
      <c r="H36" s="40">
        <v>1080</v>
      </c>
      <c r="I36" s="40">
        <v>1416</v>
      </c>
      <c r="J36" s="40">
        <v>2224</v>
      </c>
      <c r="K36" s="40">
        <v>3984</v>
      </c>
      <c r="L36" s="40">
        <v>9024</v>
      </c>
      <c r="M36" s="41">
        <v>23936</v>
      </c>
      <c r="N36" s="39">
        <v>804</v>
      </c>
      <c r="O36" s="40">
        <v>884</v>
      </c>
      <c r="P36" s="40">
        <v>972</v>
      </c>
      <c r="Q36" s="40">
        <v>1224</v>
      </c>
      <c r="R36" s="40">
        <v>1544</v>
      </c>
      <c r="S36" s="40">
        <v>2160</v>
      </c>
      <c r="T36" s="40">
        <v>3408</v>
      </c>
      <c r="U36" s="40">
        <v>7136</v>
      </c>
      <c r="V36" s="41">
        <v>19328</v>
      </c>
    </row>
    <row r="37" spans="2:31" ht="15" customHeight="1">
      <c r="B37" s="93"/>
      <c r="C37" s="96"/>
      <c r="D37" s="5">
        <v>0.75</v>
      </c>
      <c r="E37" s="39">
        <v>556</v>
      </c>
      <c r="F37" s="40">
        <v>740</v>
      </c>
      <c r="G37" s="40">
        <v>884</v>
      </c>
      <c r="H37" s="40">
        <v>988</v>
      </c>
      <c r="I37" s="40">
        <v>1320</v>
      </c>
      <c r="J37" s="40">
        <v>2008</v>
      </c>
      <c r="K37" s="40">
        <v>3120</v>
      </c>
      <c r="L37" s="40">
        <v>8512</v>
      </c>
      <c r="M37" s="41">
        <v>20608</v>
      </c>
      <c r="N37" s="39">
        <v>740</v>
      </c>
      <c r="O37" s="40">
        <v>764</v>
      </c>
      <c r="P37" s="40">
        <v>876</v>
      </c>
      <c r="Q37" s="40">
        <v>1064</v>
      </c>
      <c r="R37" s="40">
        <v>1368</v>
      </c>
      <c r="S37" s="40">
        <v>1848</v>
      </c>
      <c r="T37" s="40">
        <v>2736</v>
      </c>
      <c r="U37" s="40">
        <v>6752</v>
      </c>
      <c r="V37" s="41">
        <v>15808</v>
      </c>
    </row>
    <row r="38" spans="2:31" ht="15" customHeight="1" thickBot="1">
      <c r="B38" s="93"/>
      <c r="C38" s="97"/>
      <c r="D38" s="6">
        <v>1</v>
      </c>
      <c r="E38" s="42">
        <v>153</v>
      </c>
      <c r="F38" s="43">
        <v>193</v>
      </c>
      <c r="G38" s="43">
        <v>266</v>
      </c>
      <c r="H38" s="43">
        <v>442</v>
      </c>
      <c r="I38" s="43">
        <v>804</v>
      </c>
      <c r="J38" s="43">
        <v>1624</v>
      </c>
      <c r="K38" s="46">
        <v>3056</v>
      </c>
      <c r="L38" s="43">
        <v>4320</v>
      </c>
      <c r="M38" s="44">
        <v>7968</v>
      </c>
      <c r="N38" s="42">
        <v>139</v>
      </c>
      <c r="O38" s="43">
        <v>161</v>
      </c>
      <c r="P38" s="43">
        <v>201</v>
      </c>
      <c r="Q38" s="43">
        <v>278</v>
      </c>
      <c r="R38" s="43">
        <v>462</v>
      </c>
      <c r="S38" s="43">
        <v>900</v>
      </c>
      <c r="T38" s="43">
        <v>1656</v>
      </c>
      <c r="U38" s="43">
        <v>2544</v>
      </c>
      <c r="V38" s="44">
        <v>4832</v>
      </c>
    </row>
    <row r="39" spans="2:31" ht="15" customHeight="1">
      <c r="B39" s="93"/>
      <c r="C39" s="98" t="s">
        <v>8</v>
      </c>
      <c r="D39" s="4">
        <v>0.25</v>
      </c>
      <c r="E39" s="36">
        <v>22861</v>
      </c>
      <c r="F39" s="37">
        <v>25965</v>
      </c>
      <c r="G39" s="37">
        <v>25950</v>
      </c>
      <c r="H39" s="37">
        <v>25997</v>
      </c>
      <c r="I39" s="37">
        <v>25964</v>
      </c>
      <c r="J39" s="37">
        <v>25951</v>
      </c>
      <c r="K39" s="37">
        <v>25939</v>
      </c>
      <c r="L39" s="37">
        <v>25905</v>
      </c>
      <c r="M39" s="38">
        <v>25905</v>
      </c>
      <c r="N39" s="36">
        <v>24156</v>
      </c>
      <c r="O39" s="37">
        <v>31836</v>
      </c>
      <c r="P39" s="37">
        <v>31727</v>
      </c>
      <c r="Q39" s="37">
        <v>31773</v>
      </c>
      <c r="R39" s="37">
        <v>31840</v>
      </c>
      <c r="S39" s="37">
        <v>31763</v>
      </c>
      <c r="T39" s="37">
        <v>31619</v>
      </c>
      <c r="U39" s="37">
        <v>31605</v>
      </c>
      <c r="V39" s="38">
        <v>31626</v>
      </c>
    </row>
    <row r="40" spans="2:31" ht="15" customHeight="1">
      <c r="B40" s="93"/>
      <c r="C40" s="96"/>
      <c r="D40" s="5">
        <v>0.5</v>
      </c>
      <c r="E40" s="39">
        <v>36900</v>
      </c>
      <c r="F40" s="40">
        <v>54355</v>
      </c>
      <c r="G40" s="40">
        <v>63059</v>
      </c>
      <c r="H40" s="40">
        <v>63108</v>
      </c>
      <c r="I40" s="40">
        <v>63021</v>
      </c>
      <c r="J40" s="40">
        <v>63070</v>
      </c>
      <c r="K40" s="40">
        <v>63052</v>
      </c>
      <c r="L40" s="40">
        <v>63057</v>
      </c>
      <c r="M40" s="41">
        <v>63064</v>
      </c>
      <c r="N40" s="39">
        <v>39277</v>
      </c>
      <c r="O40" s="40">
        <v>61545</v>
      </c>
      <c r="P40" s="40">
        <v>81107</v>
      </c>
      <c r="Q40" s="40">
        <v>80635</v>
      </c>
      <c r="R40" s="40">
        <v>80707</v>
      </c>
      <c r="S40" s="40">
        <v>80947</v>
      </c>
      <c r="T40" s="40">
        <v>80420</v>
      </c>
      <c r="U40" s="40">
        <v>80453</v>
      </c>
      <c r="V40" s="41">
        <v>80511</v>
      </c>
    </row>
    <row r="41" spans="2:31" ht="15" customHeight="1">
      <c r="B41" s="93"/>
      <c r="C41" s="96"/>
      <c r="D41" s="5">
        <v>0.75</v>
      </c>
      <c r="E41" s="39">
        <v>48070</v>
      </c>
      <c r="F41" s="40">
        <v>80969</v>
      </c>
      <c r="G41" s="40">
        <v>114143</v>
      </c>
      <c r="H41" s="40">
        <v>130732</v>
      </c>
      <c r="I41" s="40">
        <v>130818</v>
      </c>
      <c r="J41" s="40">
        <v>130714</v>
      </c>
      <c r="K41" s="40">
        <v>130626</v>
      </c>
      <c r="L41" s="40">
        <v>130755</v>
      </c>
      <c r="M41" s="41">
        <v>130860</v>
      </c>
      <c r="N41" s="39">
        <v>50265</v>
      </c>
      <c r="O41" s="40">
        <v>88674</v>
      </c>
      <c r="P41" s="40">
        <v>137758</v>
      </c>
      <c r="Q41" s="40">
        <v>177566</v>
      </c>
      <c r="R41" s="40">
        <v>178281</v>
      </c>
      <c r="S41" s="40">
        <v>178800</v>
      </c>
      <c r="T41" s="40">
        <v>176253</v>
      </c>
      <c r="U41" s="40">
        <v>179151</v>
      </c>
      <c r="V41" s="41">
        <v>177843</v>
      </c>
    </row>
    <row r="42" spans="2:31" ht="15" customHeight="1" thickBot="1">
      <c r="B42" s="94"/>
      <c r="C42" s="97"/>
      <c r="D42" s="6">
        <v>1</v>
      </c>
      <c r="E42" s="42">
        <v>60789</v>
      </c>
      <c r="F42" s="43">
        <v>115736</v>
      </c>
      <c r="G42" s="43">
        <v>209311</v>
      </c>
      <c r="H42" s="43">
        <v>338732</v>
      </c>
      <c r="I42" s="43">
        <v>460919</v>
      </c>
      <c r="J42" s="43">
        <v>536612</v>
      </c>
      <c r="K42" s="43">
        <v>570529</v>
      </c>
      <c r="L42" s="43">
        <v>570572</v>
      </c>
      <c r="M42" s="44">
        <v>570593</v>
      </c>
      <c r="N42" s="42">
        <v>61824</v>
      </c>
      <c r="O42" s="43">
        <v>120076</v>
      </c>
      <c r="P42" s="43">
        <v>226846</v>
      </c>
      <c r="Q42" s="43">
        <v>402103</v>
      </c>
      <c r="R42" s="43">
        <v>628999</v>
      </c>
      <c r="S42" s="43">
        <v>823616</v>
      </c>
      <c r="T42" s="43">
        <v>851262</v>
      </c>
      <c r="U42" s="43">
        <v>851052</v>
      </c>
      <c r="V42" s="44">
        <v>851108</v>
      </c>
    </row>
    <row r="43" spans="2:31" ht="15" customHeight="1">
      <c r="B43" s="83" t="s">
        <v>9</v>
      </c>
      <c r="C43" s="98" t="s">
        <v>6</v>
      </c>
      <c r="D43" s="4">
        <v>0.25</v>
      </c>
      <c r="E43" s="36">
        <v>13</v>
      </c>
      <c r="F43" s="37">
        <v>14</v>
      </c>
      <c r="G43" s="37">
        <v>16</v>
      </c>
      <c r="H43" s="37">
        <v>16</v>
      </c>
      <c r="I43" s="37">
        <v>16</v>
      </c>
      <c r="J43" s="37">
        <v>16</v>
      </c>
      <c r="K43" s="37">
        <v>21</v>
      </c>
      <c r="L43" s="37">
        <v>4768</v>
      </c>
      <c r="M43" s="38">
        <v>14656</v>
      </c>
      <c r="N43" s="36">
        <v>13</v>
      </c>
      <c r="O43" s="37">
        <v>14</v>
      </c>
      <c r="P43" s="37">
        <v>16</v>
      </c>
      <c r="Q43" s="37">
        <v>18</v>
      </c>
      <c r="R43" s="37">
        <v>17</v>
      </c>
      <c r="S43" s="37">
        <v>18</v>
      </c>
      <c r="T43" s="37">
        <v>18</v>
      </c>
      <c r="U43" s="37">
        <v>3728</v>
      </c>
      <c r="V43" s="38">
        <v>10304</v>
      </c>
    </row>
    <row r="44" spans="2:31" ht="15" customHeight="1">
      <c r="B44" s="93"/>
      <c r="C44" s="96"/>
      <c r="D44" s="5">
        <v>0.5</v>
      </c>
      <c r="E44" s="39">
        <v>13</v>
      </c>
      <c r="F44" s="40">
        <v>15</v>
      </c>
      <c r="G44" s="40">
        <v>237</v>
      </c>
      <c r="H44" s="40">
        <v>580</v>
      </c>
      <c r="I44" s="40">
        <v>1224</v>
      </c>
      <c r="J44" s="40">
        <v>2544</v>
      </c>
      <c r="K44" s="40">
        <v>4576</v>
      </c>
      <c r="L44" s="40">
        <v>9792</v>
      </c>
      <c r="M44" s="41">
        <v>21632</v>
      </c>
      <c r="N44" s="39">
        <v>13</v>
      </c>
      <c r="O44" s="40">
        <v>15</v>
      </c>
      <c r="P44" s="40">
        <v>16</v>
      </c>
      <c r="Q44" s="40">
        <v>454</v>
      </c>
      <c r="R44" s="40">
        <v>1020</v>
      </c>
      <c r="S44" s="40">
        <v>2096</v>
      </c>
      <c r="T44" s="40">
        <v>3504</v>
      </c>
      <c r="U44" s="40">
        <v>8032</v>
      </c>
      <c r="V44" s="41">
        <v>16192</v>
      </c>
    </row>
    <row r="45" spans="2:31" ht="15" customHeight="1">
      <c r="B45" s="93"/>
      <c r="C45" s="96"/>
      <c r="D45" s="5">
        <v>0.75</v>
      </c>
      <c r="E45" s="39">
        <v>13</v>
      </c>
      <c r="F45" s="40">
        <v>165</v>
      </c>
      <c r="G45" s="40">
        <v>330</v>
      </c>
      <c r="H45" s="40">
        <v>668</v>
      </c>
      <c r="I45" s="40">
        <v>1320</v>
      </c>
      <c r="J45" s="40">
        <v>2640</v>
      </c>
      <c r="K45" s="40">
        <v>4896</v>
      </c>
      <c r="L45" s="40">
        <v>10048</v>
      </c>
      <c r="M45" s="41">
        <v>22400</v>
      </c>
      <c r="N45" s="39">
        <v>13</v>
      </c>
      <c r="O45" s="40">
        <v>119</v>
      </c>
      <c r="P45" s="40">
        <v>274</v>
      </c>
      <c r="Q45" s="40">
        <v>548</v>
      </c>
      <c r="R45" s="40">
        <v>1080</v>
      </c>
      <c r="S45" s="40">
        <v>2160</v>
      </c>
      <c r="T45" s="40">
        <v>4192</v>
      </c>
      <c r="U45" s="40">
        <v>8512</v>
      </c>
      <c r="V45" s="41">
        <v>18816</v>
      </c>
      <c r="AE45" s="11" t="s">
        <v>64</v>
      </c>
    </row>
    <row r="46" spans="2:31" ht="15" customHeight="1" thickBot="1">
      <c r="B46" s="93"/>
      <c r="C46" s="97"/>
      <c r="D46" s="6">
        <v>1</v>
      </c>
      <c r="E46" s="42">
        <v>82</v>
      </c>
      <c r="F46" s="43">
        <v>165</v>
      </c>
      <c r="G46" s="43">
        <v>334</v>
      </c>
      <c r="H46" s="43">
        <v>668</v>
      </c>
      <c r="I46" s="43">
        <v>1336</v>
      </c>
      <c r="J46" s="43">
        <v>2672</v>
      </c>
      <c r="K46" s="43">
        <v>4128</v>
      </c>
      <c r="L46" s="43">
        <v>7776</v>
      </c>
      <c r="M46" s="44">
        <v>13376</v>
      </c>
      <c r="N46" s="42">
        <v>43</v>
      </c>
      <c r="O46" s="43">
        <v>87</v>
      </c>
      <c r="P46" s="43">
        <v>175</v>
      </c>
      <c r="Q46" s="43">
        <v>350</v>
      </c>
      <c r="R46" s="43">
        <v>700</v>
      </c>
      <c r="S46" s="43">
        <v>1400</v>
      </c>
      <c r="T46" s="43">
        <v>2832</v>
      </c>
      <c r="U46" s="43">
        <v>5664</v>
      </c>
      <c r="V46" s="44">
        <v>11456</v>
      </c>
    </row>
    <row r="47" spans="2:31" ht="15" customHeight="1">
      <c r="B47" s="93"/>
      <c r="C47" s="98" t="s">
        <v>7</v>
      </c>
      <c r="D47" s="4">
        <v>0.25</v>
      </c>
      <c r="E47" s="36">
        <v>18</v>
      </c>
      <c r="F47" s="37">
        <v>19</v>
      </c>
      <c r="G47" s="37">
        <v>21</v>
      </c>
      <c r="H47" s="37">
        <v>21</v>
      </c>
      <c r="I47" s="37">
        <v>21</v>
      </c>
      <c r="J47" s="37">
        <v>21</v>
      </c>
      <c r="K47" s="37">
        <v>31</v>
      </c>
      <c r="L47" s="37">
        <v>6496</v>
      </c>
      <c r="M47" s="38">
        <v>18560</v>
      </c>
      <c r="N47" s="36">
        <v>25</v>
      </c>
      <c r="O47" s="37">
        <v>19</v>
      </c>
      <c r="P47" s="37">
        <v>21</v>
      </c>
      <c r="Q47" s="37">
        <v>26</v>
      </c>
      <c r="R47" s="37">
        <v>25</v>
      </c>
      <c r="S47" s="37">
        <v>26</v>
      </c>
      <c r="T47" s="37">
        <v>27</v>
      </c>
      <c r="U47" s="37">
        <v>5152</v>
      </c>
      <c r="V47" s="38">
        <v>14272</v>
      </c>
    </row>
    <row r="48" spans="2:31" ht="15" customHeight="1">
      <c r="B48" s="93"/>
      <c r="C48" s="96"/>
      <c r="D48" s="5">
        <v>0.5</v>
      </c>
      <c r="E48" s="39">
        <v>18</v>
      </c>
      <c r="F48" s="40">
        <v>19</v>
      </c>
      <c r="G48" s="40">
        <v>310</v>
      </c>
      <c r="H48" s="40">
        <v>644</v>
      </c>
      <c r="I48" s="40">
        <v>1304</v>
      </c>
      <c r="J48" s="40">
        <v>2608</v>
      </c>
      <c r="K48" s="40">
        <v>4640</v>
      </c>
      <c r="L48" s="40">
        <v>12608</v>
      </c>
      <c r="M48" s="41">
        <v>27520</v>
      </c>
      <c r="N48" s="39">
        <v>26</v>
      </c>
      <c r="O48" s="40">
        <v>20</v>
      </c>
      <c r="P48" s="40">
        <v>21</v>
      </c>
      <c r="Q48" s="40">
        <v>524</v>
      </c>
      <c r="R48" s="40">
        <v>1080</v>
      </c>
      <c r="S48" s="40">
        <v>2160</v>
      </c>
      <c r="T48" s="40">
        <v>4256</v>
      </c>
      <c r="U48" s="40">
        <v>9664</v>
      </c>
      <c r="V48" s="41">
        <v>22144</v>
      </c>
    </row>
    <row r="49" spans="2:22" ht="15" customHeight="1">
      <c r="B49" s="93"/>
      <c r="C49" s="96"/>
      <c r="D49" s="5">
        <v>0.75</v>
      </c>
      <c r="E49" s="39">
        <v>18</v>
      </c>
      <c r="F49" s="40">
        <v>167</v>
      </c>
      <c r="G49" s="40">
        <v>334</v>
      </c>
      <c r="H49" s="40">
        <v>668</v>
      </c>
      <c r="I49" s="40">
        <v>1336</v>
      </c>
      <c r="J49" s="40">
        <v>2672</v>
      </c>
      <c r="K49" s="40">
        <v>5280</v>
      </c>
      <c r="L49" s="40">
        <v>13504</v>
      </c>
      <c r="M49" s="41">
        <v>31104</v>
      </c>
      <c r="N49" s="39">
        <v>28</v>
      </c>
      <c r="O49" s="40">
        <v>137</v>
      </c>
      <c r="P49" s="40">
        <v>274</v>
      </c>
      <c r="Q49" s="40">
        <v>548</v>
      </c>
      <c r="R49" s="40">
        <v>1096</v>
      </c>
      <c r="S49" s="40">
        <v>2160</v>
      </c>
      <c r="T49" s="40">
        <v>4384</v>
      </c>
      <c r="U49" s="40">
        <v>11840</v>
      </c>
      <c r="V49" s="41">
        <v>27264</v>
      </c>
    </row>
    <row r="50" spans="2:22" ht="15" customHeight="1" thickBot="1">
      <c r="B50" s="93"/>
      <c r="C50" s="97"/>
      <c r="D50" s="6">
        <v>1</v>
      </c>
      <c r="E50" s="42">
        <v>84</v>
      </c>
      <c r="F50" s="43">
        <v>169</v>
      </c>
      <c r="G50" s="43">
        <v>338</v>
      </c>
      <c r="H50" s="43">
        <v>668</v>
      </c>
      <c r="I50" s="43">
        <v>1336</v>
      </c>
      <c r="J50" s="43">
        <v>2672</v>
      </c>
      <c r="K50" s="43">
        <v>5280</v>
      </c>
      <c r="L50" s="43">
        <v>10560</v>
      </c>
      <c r="M50" s="44">
        <v>21376</v>
      </c>
      <c r="N50" s="42">
        <v>45</v>
      </c>
      <c r="O50" s="43">
        <v>89</v>
      </c>
      <c r="P50" s="43">
        <v>177</v>
      </c>
      <c r="Q50" s="43">
        <v>354</v>
      </c>
      <c r="R50" s="43">
        <v>708</v>
      </c>
      <c r="S50" s="43">
        <v>1416</v>
      </c>
      <c r="T50" s="43">
        <v>2832</v>
      </c>
      <c r="U50" s="43">
        <v>6112</v>
      </c>
      <c r="V50" s="44">
        <v>16768</v>
      </c>
    </row>
    <row r="51" spans="2:22" ht="15" customHeight="1">
      <c r="B51" s="93"/>
      <c r="C51" s="98" t="s">
        <v>8</v>
      </c>
      <c r="D51" s="4">
        <v>0.25</v>
      </c>
      <c r="E51" s="24">
        <v>16025</v>
      </c>
      <c r="F51" s="25">
        <v>26979</v>
      </c>
      <c r="G51" s="25">
        <v>38047</v>
      </c>
      <c r="H51" s="25">
        <v>43561</v>
      </c>
      <c r="I51" s="25">
        <v>43606</v>
      </c>
      <c r="J51" s="25">
        <v>43565</v>
      </c>
      <c r="K51" s="25">
        <v>43542</v>
      </c>
      <c r="L51" s="25">
        <v>43579</v>
      </c>
      <c r="M51" s="26">
        <v>43614</v>
      </c>
      <c r="N51" s="24">
        <v>16759</v>
      </c>
      <c r="O51" s="25">
        <v>29553</v>
      </c>
      <c r="P51" s="25">
        <v>45934</v>
      </c>
      <c r="Q51" s="25">
        <v>59181</v>
      </c>
      <c r="R51" s="25">
        <v>59415</v>
      </c>
      <c r="S51" s="25">
        <v>59599</v>
      </c>
      <c r="T51" s="25">
        <v>58746</v>
      </c>
      <c r="U51" s="25">
        <v>59710</v>
      </c>
      <c r="V51" s="26">
        <v>59267</v>
      </c>
    </row>
    <row r="52" spans="2:22" ht="15" customHeight="1">
      <c r="B52" s="93"/>
      <c r="C52" s="96"/>
      <c r="D52" s="5">
        <v>0.5</v>
      </c>
      <c r="E52" s="27">
        <v>36898</v>
      </c>
      <c r="F52" s="28">
        <v>54365</v>
      </c>
      <c r="G52" s="28">
        <v>63053</v>
      </c>
      <c r="H52" s="28">
        <v>63112</v>
      </c>
      <c r="I52" s="28">
        <v>63029</v>
      </c>
      <c r="J52" s="28">
        <v>63082</v>
      </c>
      <c r="K52" s="28">
        <v>63039</v>
      </c>
      <c r="L52" s="28">
        <v>63056</v>
      </c>
      <c r="M52" s="29">
        <v>63060</v>
      </c>
      <c r="N52" s="27">
        <v>39273</v>
      </c>
      <c r="O52" s="28">
        <v>61546</v>
      </c>
      <c r="P52" s="28">
        <v>81112</v>
      </c>
      <c r="Q52" s="28">
        <v>80587</v>
      </c>
      <c r="R52" s="28">
        <v>80720</v>
      </c>
      <c r="S52" s="28">
        <v>80943</v>
      </c>
      <c r="T52" s="28">
        <v>80432</v>
      </c>
      <c r="U52" s="28">
        <v>80462</v>
      </c>
      <c r="V52" s="29">
        <v>80498</v>
      </c>
    </row>
    <row r="53" spans="2:22" ht="15" customHeight="1">
      <c r="B53" s="93"/>
      <c r="C53" s="96"/>
      <c r="D53" s="5">
        <v>0.75</v>
      </c>
      <c r="E53" s="27">
        <v>68588</v>
      </c>
      <c r="F53" s="28">
        <v>77891</v>
      </c>
      <c r="G53" s="28">
        <v>77841</v>
      </c>
      <c r="H53" s="28">
        <v>77994</v>
      </c>
      <c r="I53" s="28">
        <v>77881</v>
      </c>
      <c r="J53" s="28">
        <v>77871</v>
      </c>
      <c r="K53" s="28">
        <v>77791</v>
      </c>
      <c r="L53" s="28">
        <v>77718</v>
      </c>
      <c r="M53" s="29">
        <v>77719</v>
      </c>
      <c r="N53" s="27">
        <v>72467</v>
      </c>
      <c r="O53" s="28">
        <v>95487</v>
      </c>
      <c r="P53" s="28">
        <v>95232</v>
      </c>
      <c r="Q53" s="28">
        <v>95322</v>
      </c>
      <c r="R53" s="28">
        <v>95486</v>
      </c>
      <c r="S53" s="28">
        <v>95253</v>
      </c>
      <c r="T53" s="28">
        <v>94889</v>
      </c>
      <c r="U53" s="28">
        <v>94789</v>
      </c>
      <c r="V53" s="29">
        <v>94865</v>
      </c>
    </row>
    <row r="54" spans="2:22" ht="15" customHeight="1" thickBot="1">
      <c r="B54" s="94"/>
      <c r="C54" s="97"/>
      <c r="D54" s="6">
        <v>1</v>
      </c>
      <c r="E54" s="30">
        <v>92148</v>
      </c>
      <c r="F54" s="31">
        <v>92090</v>
      </c>
      <c r="G54" s="31">
        <v>92080</v>
      </c>
      <c r="H54" s="31">
        <v>92031</v>
      </c>
      <c r="I54" s="31">
        <v>92133</v>
      </c>
      <c r="J54" s="31">
        <v>92112</v>
      </c>
      <c r="K54" s="31">
        <v>92113</v>
      </c>
      <c r="L54" s="31">
        <v>92187</v>
      </c>
      <c r="M54" s="32">
        <v>92044</v>
      </c>
      <c r="N54" s="30">
        <v>90886</v>
      </c>
      <c r="O54" s="31">
        <v>90886</v>
      </c>
      <c r="P54" s="31">
        <v>90886</v>
      </c>
      <c r="Q54" s="31">
        <v>90886</v>
      </c>
      <c r="R54" s="31">
        <v>90886</v>
      </c>
      <c r="S54" s="31">
        <v>90886</v>
      </c>
      <c r="T54" s="31">
        <v>90886</v>
      </c>
      <c r="U54" s="31">
        <v>90885</v>
      </c>
      <c r="V54" s="32">
        <v>90885</v>
      </c>
    </row>
  </sheetData>
  <mergeCells count="36">
    <mergeCell ref="B43:B54"/>
    <mergeCell ref="C43:C46"/>
    <mergeCell ref="C47:C50"/>
    <mergeCell ref="C51:C54"/>
    <mergeCell ref="B29:D30"/>
    <mergeCell ref="E29:M29"/>
    <mergeCell ref="N29:V29"/>
    <mergeCell ref="Z29:AD29"/>
    <mergeCell ref="Z30:AD30"/>
    <mergeCell ref="B31:B42"/>
    <mergeCell ref="C31:C34"/>
    <mergeCell ref="Z31:AD31"/>
    <mergeCell ref="C35:C38"/>
    <mergeCell ref="C39:C42"/>
    <mergeCell ref="B16:B27"/>
    <mergeCell ref="C16:C19"/>
    <mergeCell ref="X16:X27"/>
    <mergeCell ref="Y16:Y19"/>
    <mergeCell ref="C20:C23"/>
    <mergeCell ref="Y20:Y23"/>
    <mergeCell ref="C24:C27"/>
    <mergeCell ref="Y24:Y27"/>
    <mergeCell ref="B4:B15"/>
    <mergeCell ref="C4:C7"/>
    <mergeCell ref="X4:X15"/>
    <mergeCell ref="Y4:Y7"/>
    <mergeCell ref="C8:C11"/>
    <mergeCell ref="Y8:Y11"/>
    <mergeCell ref="C12:C15"/>
    <mergeCell ref="Y12:Y15"/>
    <mergeCell ref="AJ2:AR2"/>
    <mergeCell ref="B2:D3"/>
    <mergeCell ref="E2:M2"/>
    <mergeCell ref="N2:V2"/>
    <mergeCell ref="X2:Z3"/>
    <mergeCell ref="AA2:AI2"/>
  </mergeCells>
  <phoneticPr fontId="1" type="noConversion"/>
  <conditionalFormatting sqref="Y29">
    <cfRule type="cellIs" dxfId="140" priority="16" operator="lessThan">
      <formula>0.8</formula>
    </cfRule>
  </conditionalFormatting>
  <conditionalFormatting sqref="Y30:Y31">
    <cfRule type="cellIs" dxfId="139" priority="15" operator="lessThan">
      <formula>0.8</formula>
    </cfRule>
  </conditionalFormatting>
  <conditionalFormatting sqref="T16:T23">
    <cfRule type="expression" dxfId="138" priority="13">
      <formula>AO16&gt;1.1</formula>
    </cfRule>
  </conditionalFormatting>
  <conditionalFormatting sqref="U16:V23 N16:S23 E16:J19 E23:J23 F22:J22 E21:J21 E20 G20:J20">
    <cfRule type="expression" dxfId="137" priority="14">
      <formula>AA16&gt;1.1</formula>
    </cfRule>
  </conditionalFormatting>
  <conditionalFormatting sqref="K16:K23">
    <cfRule type="expression" dxfId="136" priority="11">
      <formula>AF16&gt;1.1</formula>
    </cfRule>
  </conditionalFormatting>
  <conditionalFormatting sqref="L16:M23">
    <cfRule type="expression" dxfId="135" priority="12">
      <formula>AH16&gt;1.1</formula>
    </cfRule>
  </conditionalFormatting>
  <conditionalFormatting sqref="N31:V38 N43:V50 E43:M45 E50:M50 F49:M49 E48:M48 E46:E47 G46:M47">
    <cfRule type="expression" dxfId="134" priority="10">
      <formula>AA4&gt;1.1</formula>
    </cfRule>
  </conditionalFormatting>
  <conditionalFormatting sqref="E31:M38">
    <cfRule type="expression" dxfId="133" priority="9">
      <formula>AA4&gt;1.1</formula>
    </cfRule>
  </conditionalFormatting>
  <conditionalFormatting sqref="N4:V11">
    <cfRule type="expression" dxfId="132" priority="8">
      <formula>AJ4&gt;1.1</formula>
    </cfRule>
  </conditionalFormatting>
  <conditionalFormatting sqref="T4:T11">
    <cfRule type="expression" dxfId="131" priority="7">
      <formula>AO4&gt;1.1</formula>
    </cfRule>
  </conditionalFormatting>
  <conditionalFormatting sqref="E4:M11">
    <cfRule type="expression" dxfId="130" priority="6">
      <formula>AA4&gt;1.1</formula>
    </cfRule>
  </conditionalFormatting>
  <conditionalFormatting sqref="K4:K11">
    <cfRule type="expression" dxfId="129" priority="5">
      <formula>AF4&gt;1.1</formula>
    </cfRule>
  </conditionalFormatting>
  <conditionalFormatting sqref="AA4:AR11 AA16:AR23">
    <cfRule type="cellIs" dxfId="128" priority="3" operator="lessThan">
      <formula>0.9</formula>
    </cfRule>
    <cfRule type="cellIs" dxfId="127" priority="4" operator="greaterThan">
      <formula>1.1</formula>
    </cfRule>
  </conditionalFormatting>
  <conditionalFormatting sqref="AA12:AR15 AA24:AR27">
    <cfRule type="cellIs" dxfId="126" priority="1" operator="lessThan">
      <formula>0.95</formula>
    </cfRule>
    <cfRule type="cellIs" dxfId="125" priority="2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N54"/>
  <sheetViews>
    <sheetView showGridLines="0" topLeftCell="A10" zoomScale="70" zoomScaleNormal="70" workbookViewId="0">
      <selection activeCell="B2" sqref="B2:AF54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9.69921875" style="11" customWidth="1"/>
    <col min="5" max="20" width="6.59765625" style="11" customWidth="1"/>
    <col min="21" max="21" width="3.09765625" style="11" customWidth="1"/>
    <col min="22" max="22" width="13.09765625" style="11" customWidth="1"/>
    <col min="23" max="23" width="11" style="11" bestFit="1" customWidth="1"/>
    <col min="24" max="24" width="8.09765625" style="11" customWidth="1"/>
    <col min="25" max="40" width="7.5" style="11" customWidth="1"/>
    <col min="41" max="16384" width="9" style="11"/>
  </cols>
  <sheetData>
    <row r="1" spans="2:40" ht="15" customHeight="1" thickBot="1"/>
    <row r="2" spans="2:40" ht="15" customHeight="1">
      <c r="B2" s="99" t="s">
        <v>70</v>
      </c>
      <c r="C2" s="100"/>
      <c r="D2" s="101"/>
      <c r="E2" s="83" t="s">
        <v>14</v>
      </c>
      <c r="F2" s="84"/>
      <c r="G2" s="84"/>
      <c r="H2" s="84"/>
      <c r="I2" s="84"/>
      <c r="J2" s="84"/>
      <c r="K2" s="84"/>
      <c r="L2" s="85"/>
      <c r="M2" s="83" t="s">
        <v>24</v>
      </c>
      <c r="N2" s="84"/>
      <c r="O2" s="84"/>
      <c r="P2" s="84"/>
      <c r="Q2" s="84"/>
      <c r="R2" s="84"/>
      <c r="S2" s="84"/>
      <c r="T2" s="85"/>
      <c r="V2" s="105" t="str">
        <f>CONCATENATE(B2, CHAR(10), "vs ", B29)</f>
        <v>PM983a_EDW73F2Q_20191110
vs PM9A3_GEA70F21_20201229</v>
      </c>
      <c r="W2" s="106"/>
      <c r="X2" s="106"/>
      <c r="Y2" s="83" t="s">
        <v>14</v>
      </c>
      <c r="Z2" s="84"/>
      <c r="AA2" s="84"/>
      <c r="AB2" s="84"/>
      <c r="AC2" s="84"/>
      <c r="AD2" s="84"/>
      <c r="AE2" s="84"/>
      <c r="AF2" s="85"/>
      <c r="AG2" s="83" t="s">
        <v>24</v>
      </c>
      <c r="AH2" s="84"/>
      <c r="AI2" s="84"/>
      <c r="AJ2" s="84"/>
      <c r="AK2" s="84"/>
      <c r="AL2" s="84"/>
      <c r="AM2" s="84"/>
      <c r="AN2" s="85"/>
    </row>
    <row r="3" spans="2:40" ht="20.25" customHeight="1" thickBot="1">
      <c r="B3" s="102"/>
      <c r="C3" s="103"/>
      <c r="D3" s="104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3" t="s">
        <v>17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18</v>
      </c>
      <c r="S3" s="2" t="s">
        <v>16</v>
      </c>
      <c r="T3" s="3" t="s">
        <v>17</v>
      </c>
      <c r="V3" s="107"/>
      <c r="W3" s="108"/>
      <c r="X3" s="108"/>
      <c r="Y3" s="1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18</v>
      </c>
      <c r="AE3" s="2" t="s">
        <v>16</v>
      </c>
      <c r="AF3" s="3" t="s">
        <v>17</v>
      </c>
      <c r="AG3" s="1" t="s">
        <v>0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18</v>
      </c>
      <c r="AM3" s="2" t="s">
        <v>16</v>
      </c>
      <c r="AN3" s="3" t="s">
        <v>17</v>
      </c>
    </row>
    <row r="4" spans="2:40" ht="15" customHeight="1">
      <c r="B4" s="86" t="s">
        <v>5</v>
      </c>
      <c r="C4" s="89" t="s">
        <v>6</v>
      </c>
      <c r="D4" s="4">
        <v>0.25</v>
      </c>
      <c r="E4" s="24">
        <v>510</v>
      </c>
      <c r="F4" s="25">
        <v>572</v>
      </c>
      <c r="G4" s="25">
        <v>660</v>
      </c>
      <c r="H4" s="25">
        <v>700</v>
      </c>
      <c r="I4" s="25">
        <v>804</v>
      </c>
      <c r="J4" s="25">
        <v>1064</v>
      </c>
      <c r="K4" s="25">
        <v>1704</v>
      </c>
      <c r="L4" s="26">
        <v>5344</v>
      </c>
      <c r="M4" s="24">
        <v>852</v>
      </c>
      <c r="N4" s="25">
        <v>948</v>
      </c>
      <c r="O4" s="25">
        <v>1048</v>
      </c>
      <c r="P4" s="25">
        <v>1112</v>
      </c>
      <c r="Q4" s="25">
        <v>1176</v>
      </c>
      <c r="R4" s="25">
        <v>1320</v>
      </c>
      <c r="S4" s="25">
        <v>1688</v>
      </c>
      <c r="T4" s="26">
        <v>4384</v>
      </c>
      <c r="V4" s="92" t="s">
        <v>5</v>
      </c>
      <c r="W4" s="95" t="s">
        <v>6</v>
      </c>
      <c r="X4" s="7">
        <v>0.25</v>
      </c>
      <c r="Y4" s="15">
        <f t="shared" ref="Y4:AN19" si="0">E31/E4</f>
        <v>0.52156862745098043</v>
      </c>
      <c r="Z4" s="16">
        <f t="shared" si="0"/>
        <v>0.54895104895104896</v>
      </c>
      <c r="AA4" s="16">
        <f t="shared" si="0"/>
        <v>0.57878787878787874</v>
      </c>
      <c r="AB4" s="16">
        <f t="shared" si="0"/>
        <v>0.5971428571428572</v>
      </c>
      <c r="AC4" s="16">
        <f t="shared" si="0"/>
        <v>0.53980099502487566</v>
      </c>
      <c r="AD4" s="16">
        <f t="shared" si="0"/>
        <v>0.41541353383458646</v>
      </c>
      <c r="AE4" s="16">
        <f t="shared" si="0"/>
        <v>0.25938967136150237</v>
      </c>
      <c r="AF4" s="17">
        <f t="shared" si="0"/>
        <v>0.31586826347305391</v>
      </c>
      <c r="AG4" s="15">
        <f t="shared" si="0"/>
        <v>0.38732394366197181</v>
      </c>
      <c r="AH4" s="16">
        <f t="shared" si="0"/>
        <v>0.41983122362869196</v>
      </c>
      <c r="AI4" s="16">
        <f t="shared" si="0"/>
        <v>0.4713740458015267</v>
      </c>
      <c r="AJ4" s="16">
        <f t="shared" si="0"/>
        <v>0.5</v>
      </c>
      <c r="AK4" s="16">
        <f t="shared" si="0"/>
        <v>0.50680272108843538</v>
      </c>
      <c r="AL4" s="16">
        <f t="shared" si="0"/>
        <v>0.46969696969696972</v>
      </c>
      <c r="AM4" s="16">
        <f t="shared" si="0"/>
        <v>0.37203791469194314</v>
      </c>
      <c r="AN4" s="17">
        <f t="shared" si="0"/>
        <v>0.14872262773722628</v>
      </c>
    </row>
    <row r="5" spans="2:40" ht="15" customHeight="1">
      <c r="B5" s="87"/>
      <c r="C5" s="90"/>
      <c r="D5" s="5">
        <v>0.5</v>
      </c>
      <c r="E5" s="27">
        <v>414</v>
      </c>
      <c r="F5" s="28">
        <v>478</v>
      </c>
      <c r="G5" s="28">
        <v>524</v>
      </c>
      <c r="H5" s="28">
        <v>604</v>
      </c>
      <c r="I5" s="28">
        <v>708</v>
      </c>
      <c r="J5" s="28">
        <v>916</v>
      </c>
      <c r="K5" s="28">
        <v>1416</v>
      </c>
      <c r="L5" s="29">
        <v>4640</v>
      </c>
      <c r="M5" s="27">
        <v>510</v>
      </c>
      <c r="N5" s="28">
        <v>732</v>
      </c>
      <c r="O5" s="28">
        <v>868</v>
      </c>
      <c r="P5" s="28">
        <v>948</v>
      </c>
      <c r="Q5" s="28">
        <v>1032</v>
      </c>
      <c r="R5" s="28">
        <v>1144</v>
      </c>
      <c r="S5" s="28">
        <v>1400</v>
      </c>
      <c r="T5" s="29">
        <v>3504</v>
      </c>
      <c r="V5" s="93"/>
      <c r="W5" s="96"/>
      <c r="X5" s="5">
        <v>0.5</v>
      </c>
      <c r="Y5" s="18">
        <f t="shared" si="0"/>
        <v>0.50966183574879231</v>
      </c>
      <c r="Z5" s="12">
        <f t="shared" si="0"/>
        <v>0.53974895397489542</v>
      </c>
      <c r="AA5" s="12">
        <f t="shared" si="0"/>
        <v>0.59160305343511455</v>
      </c>
      <c r="AB5" s="12">
        <f t="shared" si="0"/>
        <v>0.6258278145695364</v>
      </c>
      <c r="AC5" s="12">
        <f t="shared" si="0"/>
        <v>0.61864406779661019</v>
      </c>
      <c r="AD5" s="12">
        <f t="shared" si="0"/>
        <v>0.49126637554585151</v>
      </c>
      <c r="AE5" s="12">
        <f t="shared" si="0"/>
        <v>0.32062146892655369</v>
      </c>
      <c r="AF5" s="19">
        <f t="shared" si="0"/>
        <v>0.3775862068965517</v>
      </c>
      <c r="AG5" s="18">
        <f t="shared" si="0"/>
        <v>0.41764705882352943</v>
      </c>
      <c r="AH5" s="12">
        <f t="shared" si="0"/>
        <v>0.41256830601092898</v>
      </c>
      <c r="AI5" s="12">
        <f t="shared" si="0"/>
        <v>0.42165898617511521</v>
      </c>
      <c r="AJ5" s="12">
        <f t="shared" si="0"/>
        <v>0.49156118143459915</v>
      </c>
      <c r="AK5" s="12">
        <f t="shared" si="0"/>
        <v>0.55426356589147285</v>
      </c>
      <c r="AL5" s="12">
        <f t="shared" si="0"/>
        <v>0.56993006993006989</v>
      </c>
      <c r="AM5" s="12">
        <f t="shared" si="0"/>
        <v>0.53428571428571425</v>
      </c>
      <c r="AN5" s="19">
        <f t="shared" si="0"/>
        <v>0.26141552511415528</v>
      </c>
    </row>
    <row r="6" spans="2:40" ht="15" customHeight="1">
      <c r="B6" s="87"/>
      <c r="C6" s="90"/>
      <c r="D6" s="5">
        <v>0.75</v>
      </c>
      <c r="E6" s="27">
        <v>298</v>
      </c>
      <c r="F6" s="28">
        <v>362</v>
      </c>
      <c r="G6" s="28">
        <v>434</v>
      </c>
      <c r="H6" s="28">
        <v>494</v>
      </c>
      <c r="I6" s="28">
        <v>572</v>
      </c>
      <c r="J6" s="28">
        <v>748</v>
      </c>
      <c r="K6" s="28">
        <v>1080</v>
      </c>
      <c r="L6" s="29">
        <v>3216</v>
      </c>
      <c r="M6" s="27">
        <v>231</v>
      </c>
      <c r="N6" s="28">
        <v>370</v>
      </c>
      <c r="O6" s="28">
        <v>596</v>
      </c>
      <c r="P6" s="28">
        <v>732</v>
      </c>
      <c r="Q6" s="28">
        <v>844</v>
      </c>
      <c r="R6" s="28">
        <v>956</v>
      </c>
      <c r="S6" s="28">
        <v>1176</v>
      </c>
      <c r="T6" s="29">
        <v>2640</v>
      </c>
      <c r="V6" s="93"/>
      <c r="W6" s="96"/>
      <c r="X6" s="5">
        <v>0.75</v>
      </c>
      <c r="Y6" s="18">
        <f t="shared" si="0"/>
        <v>0.41610738255033558</v>
      </c>
      <c r="Z6" s="12">
        <f t="shared" si="0"/>
        <v>0.54419889502762431</v>
      </c>
      <c r="AA6" s="12">
        <f t="shared" si="0"/>
        <v>0.59447004608294929</v>
      </c>
      <c r="AB6" s="12">
        <f t="shared" si="0"/>
        <v>0.63562753036437247</v>
      </c>
      <c r="AC6" s="12">
        <f t="shared" si="0"/>
        <v>0.69580419580419584</v>
      </c>
      <c r="AD6" s="12">
        <f t="shared" si="0"/>
        <v>0.71122994652406413</v>
      </c>
      <c r="AE6" s="12">
        <f t="shared" si="0"/>
        <v>0.73703703703703705</v>
      </c>
      <c r="AF6" s="19">
        <f t="shared" si="0"/>
        <v>0.71144278606965172</v>
      </c>
      <c r="AG6" s="18">
        <f t="shared" si="0"/>
        <v>0.48051948051948051</v>
      </c>
      <c r="AH6" s="12">
        <f t="shared" si="0"/>
        <v>0.47837837837837838</v>
      </c>
      <c r="AI6" s="12">
        <f t="shared" si="0"/>
        <v>0.45302013422818793</v>
      </c>
      <c r="AJ6" s="12">
        <f t="shared" si="0"/>
        <v>0.47267759562841533</v>
      </c>
      <c r="AK6" s="12">
        <f t="shared" si="0"/>
        <v>0.52843601895734593</v>
      </c>
      <c r="AL6" s="12">
        <f t="shared" si="0"/>
        <v>0.61506276150627615</v>
      </c>
      <c r="AM6" s="12">
        <f t="shared" si="0"/>
        <v>0.72448979591836737</v>
      </c>
      <c r="AN6" s="19">
        <f t="shared" si="0"/>
        <v>0.78181818181818186</v>
      </c>
    </row>
    <row r="7" spans="2:40" ht="15" customHeight="1" thickBot="1">
      <c r="B7" s="87"/>
      <c r="C7" s="91"/>
      <c r="D7" s="6">
        <v>1</v>
      </c>
      <c r="E7" s="30">
        <v>96</v>
      </c>
      <c r="F7" s="31">
        <v>124</v>
      </c>
      <c r="G7" s="31">
        <v>139</v>
      </c>
      <c r="H7" s="31">
        <v>157</v>
      </c>
      <c r="I7" s="31">
        <v>201</v>
      </c>
      <c r="J7" s="31">
        <v>294</v>
      </c>
      <c r="K7" s="31">
        <v>540</v>
      </c>
      <c r="L7" s="32">
        <v>1528</v>
      </c>
      <c r="M7" s="30">
        <v>88</v>
      </c>
      <c r="N7" s="31">
        <v>92</v>
      </c>
      <c r="O7" s="31">
        <v>118</v>
      </c>
      <c r="P7" s="31">
        <v>135</v>
      </c>
      <c r="Q7" s="31">
        <v>159</v>
      </c>
      <c r="R7" s="31">
        <v>211</v>
      </c>
      <c r="S7" s="31">
        <v>338</v>
      </c>
      <c r="T7" s="32">
        <v>788</v>
      </c>
      <c r="V7" s="93"/>
      <c r="W7" s="97"/>
      <c r="X7" s="6">
        <v>1</v>
      </c>
      <c r="Y7" s="20">
        <f t="shared" si="0"/>
        <v>0.71875</v>
      </c>
      <c r="Z7" s="21">
        <f t="shared" si="0"/>
        <v>0.717741935483871</v>
      </c>
      <c r="AA7" s="21">
        <f t="shared" si="0"/>
        <v>0.75539568345323738</v>
      </c>
      <c r="AB7" s="21">
        <f t="shared" si="0"/>
        <v>0.77070063694267521</v>
      </c>
      <c r="AC7" s="21">
        <f t="shared" si="0"/>
        <v>0.79104477611940294</v>
      </c>
      <c r="AD7" s="21">
        <f t="shared" si="0"/>
        <v>0.81972789115646261</v>
      </c>
      <c r="AE7" s="21">
        <f t="shared" si="0"/>
        <v>0.82592592592592595</v>
      </c>
      <c r="AF7" s="22">
        <f t="shared" si="0"/>
        <v>0.76963350785340312</v>
      </c>
      <c r="AG7" s="20">
        <f t="shared" si="0"/>
        <v>0.78409090909090906</v>
      </c>
      <c r="AH7" s="21">
        <f t="shared" si="0"/>
        <v>0.78260869565217395</v>
      </c>
      <c r="AI7" s="21">
        <f t="shared" si="0"/>
        <v>0.82203389830508478</v>
      </c>
      <c r="AJ7" s="21">
        <f t="shared" si="0"/>
        <v>0.8</v>
      </c>
      <c r="AK7" s="21">
        <f t="shared" si="0"/>
        <v>0.78616352201257866</v>
      </c>
      <c r="AL7" s="21">
        <f t="shared" si="0"/>
        <v>0.78199052132701419</v>
      </c>
      <c r="AM7" s="21">
        <f t="shared" si="0"/>
        <v>0.71301775147928992</v>
      </c>
      <c r="AN7" s="22">
        <f t="shared" si="0"/>
        <v>0.74619289340101524</v>
      </c>
    </row>
    <row r="8" spans="2:40" ht="15" customHeight="1">
      <c r="B8" s="87"/>
      <c r="C8" s="89" t="s">
        <v>7</v>
      </c>
      <c r="D8" s="4">
        <v>0.25</v>
      </c>
      <c r="E8" s="24">
        <v>884</v>
      </c>
      <c r="F8" s="25">
        <v>996</v>
      </c>
      <c r="G8" s="25">
        <v>1160</v>
      </c>
      <c r="H8" s="25">
        <v>1208</v>
      </c>
      <c r="I8" s="25">
        <v>1304</v>
      </c>
      <c r="J8" s="25">
        <v>1560</v>
      </c>
      <c r="K8" s="25">
        <v>2160</v>
      </c>
      <c r="L8" s="26">
        <v>5984</v>
      </c>
      <c r="M8" s="24">
        <v>1592</v>
      </c>
      <c r="N8" s="25">
        <v>1640</v>
      </c>
      <c r="O8" s="25">
        <v>1704</v>
      </c>
      <c r="P8" s="25">
        <v>1784</v>
      </c>
      <c r="Q8" s="25">
        <v>1864</v>
      </c>
      <c r="R8" s="25">
        <v>2064</v>
      </c>
      <c r="S8" s="25">
        <v>2512</v>
      </c>
      <c r="T8" s="26">
        <v>5344</v>
      </c>
      <c r="V8" s="93"/>
      <c r="W8" s="98" t="s">
        <v>7</v>
      </c>
      <c r="X8" s="4">
        <v>0.25</v>
      </c>
      <c r="Y8" s="15">
        <f t="shared" si="0"/>
        <v>0.63800904977375561</v>
      </c>
      <c r="Z8" s="16">
        <f t="shared" si="0"/>
        <v>0.85542168674698793</v>
      </c>
      <c r="AA8" s="16">
        <f t="shared" si="0"/>
        <v>0.76206896551724135</v>
      </c>
      <c r="AB8" s="16">
        <f t="shared" si="0"/>
        <v>0.75827814569536423</v>
      </c>
      <c r="AC8" s="16">
        <f t="shared" si="0"/>
        <v>0.73312883435582821</v>
      </c>
      <c r="AD8" s="16">
        <f t="shared" si="0"/>
        <v>0.62820512820512819</v>
      </c>
      <c r="AE8" s="16">
        <f t="shared" si="0"/>
        <v>0.45</v>
      </c>
      <c r="AF8" s="17">
        <f t="shared" si="0"/>
        <v>0.32754010695187163</v>
      </c>
      <c r="AG8" s="15">
        <f t="shared" si="0"/>
        <v>0.46482412060301509</v>
      </c>
      <c r="AH8" s="16">
        <f t="shared" si="0"/>
        <v>0.5</v>
      </c>
      <c r="AI8" s="16">
        <f t="shared" si="0"/>
        <v>0.51877934272300474</v>
      </c>
      <c r="AJ8" s="16">
        <f t="shared" si="0"/>
        <v>0.53139013452914796</v>
      </c>
      <c r="AK8" s="16">
        <f t="shared" si="0"/>
        <v>0.53433476394849788</v>
      </c>
      <c r="AL8" s="16">
        <f t="shared" si="0"/>
        <v>0.5</v>
      </c>
      <c r="AM8" s="16">
        <f t="shared" si="0"/>
        <v>0.41719745222929938</v>
      </c>
      <c r="AN8" s="17">
        <f t="shared" si="0"/>
        <v>0.21706586826347304</v>
      </c>
    </row>
    <row r="9" spans="2:40" ht="15" customHeight="1">
      <c r="B9" s="87"/>
      <c r="C9" s="90"/>
      <c r="D9" s="5">
        <v>0.5</v>
      </c>
      <c r="E9" s="27">
        <v>812</v>
      </c>
      <c r="F9" s="28">
        <v>860</v>
      </c>
      <c r="G9" s="28">
        <v>916</v>
      </c>
      <c r="H9" s="28">
        <v>1064</v>
      </c>
      <c r="I9" s="28">
        <v>1160</v>
      </c>
      <c r="J9" s="28">
        <v>1384</v>
      </c>
      <c r="K9" s="28">
        <v>2008</v>
      </c>
      <c r="L9" s="29">
        <v>5344</v>
      </c>
      <c r="M9" s="27">
        <v>1576</v>
      </c>
      <c r="N9" s="28">
        <v>1608</v>
      </c>
      <c r="O9" s="28">
        <v>1656</v>
      </c>
      <c r="P9" s="28">
        <v>1704</v>
      </c>
      <c r="Q9" s="28">
        <v>1784</v>
      </c>
      <c r="R9" s="28">
        <v>1912</v>
      </c>
      <c r="S9" s="28">
        <v>2160</v>
      </c>
      <c r="T9" s="29">
        <v>4384</v>
      </c>
      <c r="V9" s="93"/>
      <c r="W9" s="96"/>
      <c r="X9" s="5">
        <v>0.5</v>
      </c>
      <c r="Y9" s="18">
        <f t="shared" si="0"/>
        <v>0.66502463054187189</v>
      </c>
      <c r="Z9" s="12">
        <f t="shared" si="0"/>
        <v>0.65581395348837213</v>
      </c>
      <c r="AA9" s="12">
        <f t="shared" si="0"/>
        <v>0.92139737991266379</v>
      </c>
      <c r="AB9" s="12">
        <f t="shared" si="0"/>
        <v>0.83082706766917291</v>
      </c>
      <c r="AC9" s="12">
        <f t="shared" si="0"/>
        <v>0.80344827586206902</v>
      </c>
      <c r="AD9" s="12">
        <f t="shared" si="0"/>
        <v>0.75722543352601157</v>
      </c>
      <c r="AE9" s="12">
        <f t="shared" si="0"/>
        <v>0.56972111553784865</v>
      </c>
      <c r="AF9" s="19">
        <f t="shared" si="0"/>
        <v>0.42215568862275449</v>
      </c>
      <c r="AG9" s="18">
        <f t="shared" si="0"/>
        <v>0.45939086294416243</v>
      </c>
      <c r="AH9" s="12">
        <f t="shared" si="0"/>
        <v>0.46019900497512439</v>
      </c>
      <c r="AI9" s="12">
        <f t="shared" si="0"/>
        <v>0.48550724637681159</v>
      </c>
      <c r="AJ9" s="12">
        <f t="shared" si="0"/>
        <v>0.51877934272300474</v>
      </c>
      <c r="AK9" s="12">
        <f t="shared" si="0"/>
        <v>0.54484304932735428</v>
      </c>
      <c r="AL9" s="12">
        <f t="shared" si="0"/>
        <v>0.58158995815899583</v>
      </c>
      <c r="AM9" s="12">
        <f t="shared" si="0"/>
        <v>0.58148148148148149</v>
      </c>
      <c r="AN9" s="19">
        <f t="shared" si="0"/>
        <v>0.43978102189781021</v>
      </c>
    </row>
    <row r="10" spans="2:40" ht="15" customHeight="1">
      <c r="B10" s="87"/>
      <c r="C10" s="90"/>
      <c r="D10" s="5">
        <v>0.75</v>
      </c>
      <c r="E10" s="27">
        <v>756</v>
      </c>
      <c r="F10" s="28">
        <v>796</v>
      </c>
      <c r="G10" s="28">
        <v>828</v>
      </c>
      <c r="H10" s="28">
        <v>900</v>
      </c>
      <c r="I10" s="28">
        <v>996</v>
      </c>
      <c r="J10" s="28">
        <v>1160</v>
      </c>
      <c r="K10" s="28">
        <v>1512</v>
      </c>
      <c r="L10" s="29">
        <v>3760</v>
      </c>
      <c r="M10" s="27">
        <v>1384</v>
      </c>
      <c r="N10" s="28">
        <v>1576</v>
      </c>
      <c r="O10" s="28">
        <v>1592</v>
      </c>
      <c r="P10" s="28">
        <v>1608</v>
      </c>
      <c r="Q10" s="28">
        <v>1720</v>
      </c>
      <c r="R10" s="28">
        <v>2480</v>
      </c>
      <c r="S10" s="28">
        <v>2896</v>
      </c>
      <c r="T10" s="29">
        <v>4192</v>
      </c>
      <c r="V10" s="93"/>
      <c r="W10" s="96"/>
      <c r="X10" s="5">
        <v>0.75</v>
      </c>
      <c r="Y10" s="18">
        <f t="shared" si="0"/>
        <v>0.64814814814814814</v>
      </c>
      <c r="Z10" s="12">
        <f t="shared" si="0"/>
        <v>0.65829145728643212</v>
      </c>
      <c r="AA10" s="12">
        <f t="shared" si="0"/>
        <v>0.67149758454106279</v>
      </c>
      <c r="AB10" s="12">
        <f t="shared" si="0"/>
        <v>0.81333333333333335</v>
      </c>
      <c r="AC10" s="12">
        <f t="shared" si="0"/>
        <v>0.87951807228915657</v>
      </c>
      <c r="AD10" s="12">
        <f t="shared" si="0"/>
        <v>0.83793103448275863</v>
      </c>
      <c r="AE10" s="12">
        <f t="shared" si="0"/>
        <v>0.89417989417989419</v>
      </c>
      <c r="AF10" s="19">
        <f t="shared" si="0"/>
        <v>0.82127659574468082</v>
      </c>
      <c r="AG10" s="18">
        <f t="shared" si="0"/>
        <v>0.45953757225433528</v>
      </c>
      <c r="AH10" s="12">
        <f t="shared" si="0"/>
        <v>0.43908629441624364</v>
      </c>
      <c r="AI10" s="12">
        <f t="shared" si="0"/>
        <v>0.45979899497487436</v>
      </c>
      <c r="AJ10" s="12">
        <f t="shared" si="0"/>
        <v>0.48009950248756217</v>
      </c>
      <c r="AK10" s="12">
        <f t="shared" si="0"/>
        <v>0.50930232558139532</v>
      </c>
      <c r="AL10" s="12">
        <f t="shared" si="0"/>
        <v>0.42903225806451611</v>
      </c>
      <c r="AM10" s="12">
        <f t="shared" si="0"/>
        <v>0.47790055248618785</v>
      </c>
      <c r="AN10" s="19">
        <f t="shared" si="0"/>
        <v>0.64503816793893132</v>
      </c>
    </row>
    <row r="11" spans="2:40" ht="15" customHeight="1" thickBot="1">
      <c r="B11" s="87"/>
      <c r="C11" s="91"/>
      <c r="D11" s="6">
        <v>1</v>
      </c>
      <c r="E11" s="30">
        <v>135</v>
      </c>
      <c r="F11" s="31">
        <v>157</v>
      </c>
      <c r="G11" s="31">
        <v>197</v>
      </c>
      <c r="H11" s="31">
        <v>245</v>
      </c>
      <c r="I11" s="31">
        <v>322</v>
      </c>
      <c r="J11" s="31">
        <v>498</v>
      </c>
      <c r="K11" s="31">
        <v>948</v>
      </c>
      <c r="L11" s="32">
        <v>2352</v>
      </c>
      <c r="M11" s="30">
        <v>111</v>
      </c>
      <c r="N11" s="31">
        <v>151</v>
      </c>
      <c r="O11" s="31">
        <v>177</v>
      </c>
      <c r="P11" s="31">
        <v>205</v>
      </c>
      <c r="Q11" s="31">
        <v>258</v>
      </c>
      <c r="R11" s="31">
        <v>358</v>
      </c>
      <c r="S11" s="31">
        <v>596</v>
      </c>
      <c r="T11" s="32">
        <v>1144</v>
      </c>
      <c r="V11" s="93"/>
      <c r="W11" s="97"/>
      <c r="X11" s="6">
        <v>1</v>
      </c>
      <c r="Y11" s="20">
        <f t="shared" si="0"/>
        <v>0.67407407407407405</v>
      </c>
      <c r="Z11" s="21">
        <f t="shared" si="0"/>
        <v>0.77070063694267521</v>
      </c>
      <c r="AA11" s="21">
        <f t="shared" si="0"/>
        <v>0.7766497461928934</v>
      </c>
      <c r="AB11" s="21">
        <f t="shared" si="0"/>
        <v>0.78775510204081634</v>
      </c>
      <c r="AC11" s="21">
        <f t="shared" si="0"/>
        <v>0.83850931677018636</v>
      </c>
      <c r="AD11" s="21">
        <f t="shared" si="0"/>
        <v>0.8875502008032129</v>
      </c>
      <c r="AE11" s="21">
        <f t="shared" si="0"/>
        <v>0.84810126582278478</v>
      </c>
      <c r="AF11" s="22">
        <f t="shared" si="0"/>
        <v>0.87755102040816324</v>
      </c>
      <c r="AG11" s="20">
        <f t="shared" si="0"/>
        <v>0.66666666666666663</v>
      </c>
      <c r="AH11" s="21">
        <f t="shared" si="0"/>
        <v>0.77483443708609268</v>
      </c>
      <c r="AI11" s="21">
        <f t="shared" si="0"/>
        <v>0.78531073446327682</v>
      </c>
      <c r="AJ11" s="21">
        <f t="shared" si="0"/>
        <v>0.78536585365853662</v>
      </c>
      <c r="AK11" s="21">
        <f t="shared" si="0"/>
        <v>0.78682170542635654</v>
      </c>
      <c r="AL11" s="21">
        <f t="shared" si="0"/>
        <v>0.78770949720670391</v>
      </c>
      <c r="AM11" s="21">
        <f t="shared" si="0"/>
        <v>0.70805369127516782</v>
      </c>
      <c r="AN11" s="22">
        <f t="shared" si="0"/>
        <v>0.68181818181818177</v>
      </c>
    </row>
    <row r="12" spans="2:40" ht="15" customHeight="1">
      <c r="B12" s="87"/>
      <c r="C12" s="89" t="s">
        <v>8</v>
      </c>
      <c r="D12" s="4">
        <v>0.25</v>
      </c>
      <c r="E12" s="24">
        <v>5928</v>
      </c>
      <c r="F12" s="25">
        <v>10102</v>
      </c>
      <c r="G12" s="25">
        <v>13382</v>
      </c>
      <c r="H12" s="25">
        <v>13407</v>
      </c>
      <c r="I12" s="25">
        <v>13470</v>
      </c>
      <c r="J12" s="25">
        <v>13533</v>
      </c>
      <c r="K12" s="25">
        <v>13556</v>
      </c>
      <c r="L12" s="26">
        <v>13576</v>
      </c>
      <c r="M12" s="24">
        <v>6237</v>
      </c>
      <c r="N12" s="25">
        <v>10690</v>
      </c>
      <c r="O12" s="25">
        <v>16620</v>
      </c>
      <c r="P12" s="25">
        <v>17991</v>
      </c>
      <c r="Q12" s="25">
        <v>18102</v>
      </c>
      <c r="R12" s="25">
        <v>18079</v>
      </c>
      <c r="S12" s="25">
        <v>18068</v>
      </c>
      <c r="T12" s="26">
        <v>18071</v>
      </c>
      <c r="V12" s="93"/>
      <c r="W12" s="98" t="s">
        <v>8</v>
      </c>
      <c r="X12" s="4">
        <v>0.25</v>
      </c>
      <c r="Y12" s="15">
        <f t="shared" si="0"/>
        <v>1.4785762483130904</v>
      </c>
      <c r="Z12" s="16">
        <f t="shared" si="0"/>
        <v>1.4984161552167887</v>
      </c>
      <c r="AA12" s="16">
        <f t="shared" si="0"/>
        <v>1.7405470034374533</v>
      </c>
      <c r="AB12" s="16">
        <f t="shared" si="0"/>
        <v>1.9454016558514209</v>
      </c>
      <c r="AC12" s="16">
        <f t="shared" si="0"/>
        <v>1.9355605048255382</v>
      </c>
      <c r="AD12" s="16">
        <f t="shared" si="0"/>
        <v>1.9289883987290328</v>
      </c>
      <c r="AE12" s="16">
        <f t="shared" si="0"/>
        <v>1.9217320743582178</v>
      </c>
      <c r="AF12" s="17">
        <f t="shared" si="0"/>
        <v>1.9456393635827931</v>
      </c>
      <c r="AG12" s="15">
        <f t="shared" si="0"/>
        <v>1.418951418951419</v>
      </c>
      <c r="AH12" s="16">
        <f t="shared" si="0"/>
        <v>1.4563143124415341</v>
      </c>
      <c r="AI12" s="16">
        <f t="shared" si="0"/>
        <v>1.4836943441636583</v>
      </c>
      <c r="AJ12" s="16">
        <f t="shared" si="0"/>
        <v>1.7795564448891112</v>
      </c>
      <c r="AK12" s="16">
        <f t="shared" si="0"/>
        <v>1.7662689205612641</v>
      </c>
      <c r="AL12" s="16">
        <f t="shared" si="0"/>
        <v>1.7717794125781294</v>
      </c>
      <c r="AM12" s="16">
        <f t="shared" si="0"/>
        <v>1.7705335399601505</v>
      </c>
      <c r="AN12" s="17">
        <f t="shared" si="0"/>
        <v>1.7692988766532012</v>
      </c>
    </row>
    <row r="13" spans="2:40" ht="15" customHeight="1">
      <c r="B13" s="87"/>
      <c r="C13" s="90"/>
      <c r="D13" s="5">
        <v>0.5</v>
      </c>
      <c r="E13" s="27">
        <v>8555</v>
      </c>
      <c r="F13" s="28">
        <v>15192</v>
      </c>
      <c r="G13" s="28">
        <v>24610</v>
      </c>
      <c r="H13" s="28">
        <v>34603</v>
      </c>
      <c r="I13" s="28">
        <v>34951</v>
      </c>
      <c r="J13" s="28">
        <v>34780</v>
      </c>
      <c r="K13" s="28">
        <v>34683</v>
      </c>
      <c r="L13" s="29">
        <v>34584</v>
      </c>
      <c r="M13" s="27">
        <v>9309</v>
      </c>
      <c r="N13" s="28">
        <v>16552</v>
      </c>
      <c r="O13" s="28">
        <v>26929</v>
      </c>
      <c r="P13" s="28">
        <v>41267</v>
      </c>
      <c r="Q13" s="28">
        <v>50850</v>
      </c>
      <c r="R13" s="28">
        <v>50378</v>
      </c>
      <c r="S13" s="28">
        <v>50382</v>
      </c>
      <c r="T13" s="29">
        <v>50492</v>
      </c>
      <c r="V13" s="93"/>
      <c r="W13" s="96"/>
      <c r="X13" s="5">
        <v>0.5</v>
      </c>
      <c r="Y13" s="18">
        <f t="shared" si="0"/>
        <v>1.4217416715371127</v>
      </c>
      <c r="Z13" s="12">
        <f t="shared" si="0"/>
        <v>1.4687993680884677</v>
      </c>
      <c r="AA13" s="12">
        <f t="shared" si="0"/>
        <v>1.533035351483137</v>
      </c>
      <c r="AB13" s="12">
        <f t="shared" si="0"/>
        <v>1.5922029881802156</v>
      </c>
      <c r="AC13" s="12">
        <f t="shared" si="0"/>
        <v>1.8204343223369861</v>
      </c>
      <c r="AD13" s="12">
        <f t="shared" si="0"/>
        <v>1.8278320874065555</v>
      </c>
      <c r="AE13" s="12">
        <f t="shared" si="0"/>
        <v>1.833059423925266</v>
      </c>
      <c r="AF13" s="19">
        <f t="shared" si="0"/>
        <v>1.9507575757575757</v>
      </c>
      <c r="AG13" s="18">
        <f t="shared" si="0"/>
        <v>1.3176495864217423</v>
      </c>
      <c r="AH13" s="12">
        <f t="shared" si="0"/>
        <v>1.3745770903818271</v>
      </c>
      <c r="AI13" s="12">
        <f t="shared" si="0"/>
        <v>1.4756210776486316</v>
      </c>
      <c r="AJ13" s="12">
        <f t="shared" si="0"/>
        <v>1.4973707805268133</v>
      </c>
      <c r="AK13" s="12">
        <f t="shared" si="0"/>
        <v>1.6173844641101278</v>
      </c>
      <c r="AL13" s="12">
        <f t="shared" si="0"/>
        <v>1.6162412164039859</v>
      </c>
      <c r="AM13" s="12">
        <f t="shared" si="0"/>
        <v>1.6186336389980549</v>
      </c>
      <c r="AN13" s="19">
        <f t="shared" si="0"/>
        <v>1.6119583300324805</v>
      </c>
    </row>
    <row r="14" spans="2:40" ht="15" customHeight="1">
      <c r="B14" s="87"/>
      <c r="C14" s="90"/>
      <c r="D14" s="5">
        <v>0.75</v>
      </c>
      <c r="E14" s="27">
        <v>10527</v>
      </c>
      <c r="F14" s="28">
        <v>19486</v>
      </c>
      <c r="G14" s="28">
        <v>33356</v>
      </c>
      <c r="H14" s="28">
        <v>54432</v>
      </c>
      <c r="I14" s="28">
        <v>80147</v>
      </c>
      <c r="J14" s="28">
        <v>81404</v>
      </c>
      <c r="K14" s="28">
        <v>81455</v>
      </c>
      <c r="L14" s="29">
        <v>81478</v>
      </c>
      <c r="M14" s="27">
        <v>11574</v>
      </c>
      <c r="N14" s="28">
        <v>21833</v>
      </c>
      <c r="O14" s="28">
        <v>38160</v>
      </c>
      <c r="P14" s="28">
        <v>62191</v>
      </c>
      <c r="Q14" s="28">
        <v>94309</v>
      </c>
      <c r="R14" s="28">
        <v>124940</v>
      </c>
      <c r="S14" s="28">
        <v>124231</v>
      </c>
      <c r="T14" s="29">
        <v>124601</v>
      </c>
      <c r="V14" s="93"/>
      <c r="W14" s="96"/>
      <c r="X14" s="5">
        <v>0.75</v>
      </c>
      <c r="Y14" s="18">
        <f t="shared" si="0"/>
        <v>1.3519521231119978</v>
      </c>
      <c r="Z14" s="12">
        <f t="shared" si="0"/>
        <v>1.3881248075541415</v>
      </c>
      <c r="AA14" s="12">
        <f t="shared" si="0"/>
        <v>1.4764959827317423</v>
      </c>
      <c r="AB14" s="12">
        <f t="shared" si="0"/>
        <v>1.5126212522045854</v>
      </c>
      <c r="AC14" s="12">
        <f t="shared" si="0"/>
        <v>1.4422373887980835</v>
      </c>
      <c r="AD14" s="12">
        <f t="shared" si="0"/>
        <v>1.6199081126234582</v>
      </c>
      <c r="AE14" s="12">
        <f t="shared" si="0"/>
        <v>1.6184519059603462</v>
      </c>
      <c r="AF14" s="19">
        <f t="shared" si="0"/>
        <v>1.6193328260389308</v>
      </c>
      <c r="AG14" s="18">
        <f t="shared" si="0"/>
        <v>1.2355279073786072</v>
      </c>
      <c r="AH14" s="12">
        <f t="shared" si="0"/>
        <v>1.2550267943022031</v>
      </c>
      <c r="AI14" s="12">
        <f t="shared" si="0"/>
        <v>1.3324423480083858</v>
      </c>
      <c r="AJ14" s="12">
        <f t="shared" si="0"/>
        <v>1.4328922191313855</v>
      </c>
      <c r="AK14" s="12">
        <f t="shared" si="0"/>
        <v>1.4614723939390726</v>
      </c>
      <c r="AL14" s="12">
        <f t="shared" si="0"/>
        <v>1.4228269569393308</v>
      </c>
      <c r="AM14" s="12">
        <f t="shared" si="0"/>
        <v>1.4370567732691519</v>
      </c>
      <c r="AN14" s="19">
        <f t="shared" si="0"/>
        <v>1.4337204356305326</v>
      </c>
    </row>
    <row r="15" spans="2:40" ht="15" customHeight="1" thickBot="1">
      <c r="B15" s="88"/>
      <c r="C15" s="91"/>
      <c r="D15" s="6">
        <v>1</v>
      </c>
      <c r="E15" s="30">
        <v>12155</v>
      </c>
      <c r="F15" s="31">
        <v>23847</v>
      </c>
      <c r="G15" s="31">
        <v>43845</v>
      </c>
      <c r="H15" s="31">
        <v>78841</v>
      </c>
      <c r="I15" s="31">
        <v>144177</v>
      </c>
      <c r="J15" s="31">
        <v>249358</v>
      </c>
      <c r="K15" s="31">
        <v>352365</v>
      </c>
      <c r="L15" s="32">
        <v>410601</v>
      </c>
      <c r="M15" s="30">
        <v>13352</v>
      </c>
      <c r="N15" s="31">
        <v>27118</v>
      </c>
      <c r="O15" s="31">
        <v>53095</v>
      </c>
      <c r="P15" s="31">
        <v>101934</v>
      </c>
      <c r="Q15" s="31">
        <v>188481</v>
      </c>
      <c r="R15" s="31">
        <v>323166</v>
      </c>
      <c r="S15" s="31">
        <v>472574</v>
      </c>
      <c r="T15" s="32">
        <v>525984</v>
      </c>
      <c r="V15" s="94"/>
      <c r="W15" s="97"/>
      <c r="X15" s="6">
        <v>1</v>
      </c>
      <c r="Y15" s="20">
        <f t="shared" si="0"/>
        <v>1.3175647881530235</v>
      </c>
      <c r="Z15" s="21">
        <f t="shared" si="0"/>
        <v>1.325952950056611</v>
      </c>
      <c r="AA15" s="21">
        <f t="shared" si="0"/>
        <v>1.4029877979245067</v>
      </c>
      <c r="AB15" s="21">
        <f t="shared" si="0"/>
        <v>1.4772643675245114</v>
      </c>
      <c r="AC15" s="21">
        <f t="shared" si="0"/>
        <v>1.449752734486083</v>
      </c>
      <c r="AD15" s="21">
        <f t="shared" si="0"/>
        <v>1.3528140264198463</v>
      </c>
      <c r="AE15" s="21">
        <f t="shared" si="0"/>
        <v>1.3031004781973239</v>
      </c>
      <c r="AF15" s="22">
        <f t="shared" si="0"/>
        <v>1.3006665838612181</v>
      </c>
      <c r="AG15" s="20">
        <f t="shared" si="0"/>
        <v>1.2004943079688437</v>
      </c>
      <c r="AH15" s="21">
        <f t="shared" si="0"/>
        <v>1.1731691127664281</v>
      </c>
      <c r="AI15" s="21">
        <f t="shared" si="0"/>
        <v>1.1769846501553818</v>
      </c>
      <c r="AJ15" s="21">
        <f t="shared" si="0"/>
        <v>1.1849039574626719</v>
      </c>
      <c r="AK15" s="21">
        <f t="shared" si="0"/>
        <v>1.1988635459277062</v>
      </c>
      <c r="AL15" s="21">
        <f t="shared" si="0"/>
        <v>1.223621915671822</v>
      </c>
      <c r="AM15" s="21">
        <f t="shared" si="0"/>
        <v>1.1514768057489408</v>
      </c>
      <c r="AN15" s="22">
        <f t="shared" si="0"/>
        <v>1.0533457291476547</v>
      </c>
    </row>
    <row r="16" spans="2:40" ht="15" customHeight="1">
      <c r="B16" s="83" t="s">
        <v>9</v>
      </c>
      <c r="C16" s="98" t="s">
        <v>6</v>
      </c>
      <c r="D16" s="4">
        <v>0.25</v>
      </c>
      <c r="E16" s="24">
        <v>25</v>
      </c>
      <c r="F16" s="25">
        <v>13</v>
      </c>
      <c r="G16" s="25">
        <v>13</v>
      </c>
      <c r="H16" s="25">
        <v>14</v>
      </c>
      <c r="I16" s="25">
        <v>78</v>
      </c>
      <c r="J16" s="25">
        <v>394</v>
      </c>
      <c r="K16" s="25">
        <v>764</v>
      </c>
      <c r="L16" s="26">
        <v>2992</v>
      </c>
      <c r="M16" s="24">
        <v>17</v>
      </c>
      <c r="N16" s="25">
        <v>14</v>
      </c>
      <c r="O16" s="25">
        <v>13</v>
      </c>
      <c r="P16" s="25">
        <v>15</v>
      </c>
      <c r="Q16" s="25">
        <v>17</v>
      </c>
      <c r="R16" s="25">
        <v>129</v>
      </c>
      <c r="S16" s="25">
        <v>430</v>
      </c>
      <c r="T16" s="26">
        <v>2040</v>
      </c>
      <c r="V16" s="86" t="s">
        <v>9</v>
      </c>
      <c r="W16" s="98" t="s">
        <v>6</v>
      </c>
      <c r="X16" s="4">
        <v>0.25</v>
      </c>
      <c r="Y16" s="15">
        <f t="shared" si="0"/>
        <v>0.44</v>
      </c>
      <c r="Z16" s="16">
        <f t="shared" si="0"/>
        <v>1</v>
      </c>
      <c r="AA16" s="16">
        <f t="shared" si="0"/>
        <v>1.1538461538461537</v>
      </c>
      <c r="AB16" s="16">
        <f t="shared" si="0"/>
        <v>1.2142857142857142</v>
      </c>
      <c r="AC16" s="16">
        <f t="shared" si="0"/>
        <v>0.24358974358974358</v>
      </c>
      <c r="AD16" s="16">
        <f t="shared" si="0"/>
        <v>0.24873096446700507</v>
      </c>
      <c r="AE16" s="16">
        <f t="shared" si="0"/>
        <v>0.15445026178010471</v>
      </c>
      <c r="AF16" s="17">
        <f t="shared" si="0"/>
        <v>3.9438502673796789E-2</v>
      </c>
      <c r="AG16" s="15">
        <f t="shared" si="0"/>
        <v>0.6470588235294118</v>
      </c>
      <c r="AH16" s="16">
        <f t="shared" si="0"/>
        <v>0.9285714285714286</v>
      </c>
      <c r="AI16" s="16">
        <f t="shared" si="0"/>
        <v>1.1538461538461537</v>
      </c>
      <c r="AJ16" s="16">
        <f t="shared" si="0"/>
        <v>1.1333333333333333</v>
      </c>
      <c r="AK16" s="16">
        <f t="shared" si="0"/>
        <v>1.2352941176470589</v>
      </c>
      <c r="AL16" s="16">
        <f t="shared" si="0"/>
        <v>0.18604651162790697</v>
      </c>
      <c r="AM16" s="16">
        <f t="shared" si="0"/>
        <v>5.1162790697674418E-2</v>
      </c>
      <c r="AN16" s="17">
        <f t="shared" si="0"/>
        <v>1.1274509803921568E-2</v>
      </c>
    </row>
    <row r="17" spans="2:40" ht="15" customHeight="1">
      <c r="B17" s="93"/>
      <c r="C17" s="96"/>
      <c r="D17" s="5">
        <v>0.5</v>
      </c>
      <c r="E17" s="27">
        <v>22</v>
      </c>
      <c r="F17" s="28">
        <v>14</v>
      </c>
      <c r="G17" s="28">
        <v>13</v>
      </c>
      <c r="H17" s="28">
        <v>73</v>
      </c>
      <c r="I17" s="28">
        <v>326</v>
      </c>
      <c r="J17" s="28">
        <v>716</v>
      </c>
      <c r="K17" s="28">
        <v>1560</v>
      </c>
      <c r="L17" s="29">
        <v>4704</v>
      </c>
      <c r="M17" s="27">
        <v>17</v>
      </c>
      <c r="N17" s="28">
        <v>15</v>
      </c>
      <c r="O17" s="28">
        <v>14</v>
      </c>
      <c r="P17" s="28">
        <v>15</v>
      </c>
      <c r="Q17" s="28">
        <v>151</v>
      </c>
      <c r="R17" s="28">
        <v>454</v>
      </c>
      <c r="S17" s="28">
        <v>1004</v>
      </c>
      <c r="T17" s="29">
        <v>3280</v>
      </c>
      <c r="V17" s="87"/>
      <c r="W17" s="96"/>
      <c r="X17" s="5">
        <v>0.5</v>
      </c>
      <c r="Y17" s="18">
        <f t="shared" si="0"/>
        <v>0.5</v>
      </c>
      <c r="Z17" s="12">
        <f t="shared" si="0"/>
        <v>0.9285714285714286</v>
      </c>
      <c r="AA17" s="12">
        <f t="shared" si="0"/>
        <v>1.1538461538461537</v>
      </c>
      <c r="AB17" s="12">
        <f t="shared" si="0"/>
        <v>0.23287671232876711</v>
      </c>
      <c r="AC17" s="12">
        <f t="shared" si="0"/>
        <v>0.53680981595092025</v>
      </c>
      <c r="AD17" s="12">
        <f t="shared" si="0"/>
        <v>0.67318435754189943</v>
      </c>
      <c r="AE17" s="12">
        <f t="shared" si="0"/>
        <v>0.69230769230769229</v>
      </c>
      <c r="AF17" s="19">
        <f t="shared" si="0"/>
        <v>0.7857142857142857</v>
      </c>
      <c r="AG17" s="18">
        <f t="shared" si="0"/>
        <v>0.70588235294117652</v>
      </c>
      <c r="AH17" s="12">
        <f t="shared" si="0"/>
        <v>0.8666666666666667</v>
      </c>
      <c r="AI17" s="12">
        <f t="shared" si="0"/>
        <v>1.0714285714285714</v>
      </c>
      <c r="AJ17" s="12">
        <f t="shared" si="0"/>
        <v>1.2</v>
      </c>
      <c r="AK17" s="12">
        <f t="shared" si="0"/>
        <v>0.89403973509933776</v>
      </c>
      <c r="AL17" s="12">
        <f t="shared" si="0"/>
        <v>1.052863436123348</v>
      </c>
      <c r="AM17" s="12">
        <f t="shared" si="0"/>
        <v>1.0278884462151394</v>
      </c>
      <c r="AN17" s="19">
        <f t="shared" si="0"/>
        <v>1.2975609756097561</v>
      </c>
    </row>
    <row r="18" spans="2:40" ht="15" customHeight="1">
      <c r="B18" s="93"/>
      <c r="C18" s="96"/>
      <c r="D18" s="5">
        <v>0.75</v>
      </c>
      <c r="E18" s="27">
        <v>22</v>
      </c>
      <c r="F18" s="28">
        <v>15</v>
      </c>
      <c r="G18" s="28">
        <v>54</v>
      </c>
      <c r="H18" s="28">
        <v>189</v>
      </c>
      <c r="I18" s="28">
        <v>374</v>
      </c>
      <c r="J18" s="28">
        <v>756</v>
      </c>
      <c r="K18" s="28">
        <v>1528</v>
      </c>
      <c r="L18" s="29">
        <v>5408</v>
      </c>
      <c r="M18" s="27">
        <v>18</v>
      </c>
      <c r="N18" s="28">
        <v>16</v>
      </c>
      <c r="O18" s="28">
        <v>14</v>
      </c>
      <c r="P18" s="28">
        <v>116</v>
      </c>
      <c r="Q18" s="28">
        <v>270</v>
      </c>
      <c r="R18" s="28">
        <v>548</v>
      </c>
      <c r="S18" s="28">
        <v>1112</v>
      </c>
      <c r="T18" s="29">
        <v>4016</v>
      </c>
      <c r="V18" s="87"/>
      <c r="W18" s="96"/>
      <c r="X18" s="5">
        <v>0.75</v>
      </c>
      <c r="Y18" s="18">
        <f t="shared" si="0"/>
        <v>0.5</v>
      </c>
      <c r="Z18" s="12">
        <f t="shared" si="0"/>
        <v>0.8666666666666667</v>
      </c>
      <c r="AA18" s="12">
        <f t="shared" si="0"/>
        <v>0.27777777777777779</v>
      </c>
      <c r="AB18" s="12">
        <f t="shared" si="0"/>
        <v>0.64021164021164023</v>
      </c>
      <c r="AC18" s="12">
        <f t="shared" si="0"/>
        <v>0.65508021390374327</v>
      </c>
      <c r="AD18" s="12">
        <f t="shared" si="0"/>
        <v>0.64814814814814814</v>
      </c>
      <c r="AE18" s="12">
        <f t="shared" si="0"/>
        <v>0.6413612565445026</v>
      </c>
      <c r="AF18" s="19">
        <f t="shared" si="0"/>
        <v>0.71301775147928992</v>
      </c>
      <c r="AG18" s="18">
        <f t="shared" si="0"/>
        <v>0.72222222222222221</v>
      </c>
      <c r="AH18" s="12">
        <f t="shared" si="0"/>
        <v>0.875</v>
      </c>
      <c r="AI18" s="12">
        <f t="shared" si="0"/>
        <v>1.0714285714285714</v>
      </c>
      <c r="AJ18" s="12">
        <f t="shared" si="0"/>
        <v>1.0258620689655173</v>
      </c>
      <c r="AK18" s="12">
        <f t="shared" si="0"/>
        <v>1</v>
      </c>
      <c r="AL18" s="12">
        <f t="shared" si="0"/>
        <v>0.98540145985401462</v>
      </c>
      <c r="AM18" s="12">
        <f t="shared" si="0"/>
        <v>0.97122302158273377</v>
      </c>
      <c r="AN18" s="19">
        <f t="shared" si="0"/>
        <v>1.0756972111553784</v>
      </c>
    </row>
    <row r="19" spans="2:40" ht="15" customHeight="1" thickBot="1">
      <c r="B19" s="93"/>
      <c r="C19" s="97"/>
      <c r="D19" s="6">
        <v>1</v>
      </c>
      <c r="E19" s="30">
        <v>27</v>
      </c>
      <c r="F19" s="31">
        <v>47</v>
      </c>
      <c r="G19" s="31">
        <v>96</v>
      </c>
      <c r="H19" s="31">
        <v>193</v>
      </c>
      <c r="I19" s="31">
        <v>382</v>
      </c>
      <c r="J19" s="31">
        <v>764</v>
      </c>
      <c r="K19" s="31">
        <v>1560</v>
      </c>
      <c r="L19" s="32">
        <v>6112</v>
      </c>
      <c r="M19" s="30">
        <v>22</v>
      </c>
      <c r="N19" s="31">
        <v>37</v>
      </c>
      <c r="O19" s="31">
        <v>75</v>
      </c>
      <c r="P19" s="31">
        <v>151</v>
      </c>
      <c r="Q19" s="31">
        <v>298</v>
      </c>
      <c r="R19" s="31">
        <v>588</v>
      </c>
      <c r="S19" s="31">
        <v>1224</v>
      </c>
      <c r="T19" s="32">
        <v>4768</v>
      </c>
      <c r="V19" s="87"/>
      <c r="W19" s="97"/>
      <c r="X19" s="6">
        <v>1</v>
      </c>
      <c r="Y19" s="20">
        <f t="shared" si="0"/>
        <v>0.40740740740740738</v>
      </c>
      <c r="Z19" s="21">
        <f t="shared" si="0"/>
        <v>0.63829787234042556</v>
      </c>
      <c r="AA19" s="21">
        <f t="shared" si="0"/>
        <v>0.63541666666666663</v>
      </c>
      <c r="AB19" s="21">
        <f t="shared" si="0"/>
        <v>0.63212435233160624</v>
      </c>
      <c r="AC19" s="21">
        <f t="shared" si="0"/>
        <v>0.6413612565445026</v>
      </c>
      <c r="AD19" s="21">
        <f t="shared" si="0"/>
        <v>0.6413612565445026</v>
      </c>
      <c r="AE19" s="21">
        <f t="shared" si="0"/>
        <v>0.6333333333333333</v>
      </c>
      <c r="AF19" s="22">
        <f t="shared" si="0"/>
        <v>0.63612565445026181</v>
      </c>
      <c r="AG19" s="20">
        <f t="shared" si="0"/>
        <v>0.5</v>
      </c>
      <c r="AH19" s="21">
        <f t="shared" si="0"/>
        <v>0.56756756756756754</v>
      </c>
      <c r="AI19" s="21">
        <f t="shared" si="0"/>
        <v>0.57333333333333336</v>
      </c>
      <c r="AJ19" s="21">
        <f t="shared" si="0"/>
        <v>0.57615894039735094</v>
      </c>
      <c r="AK19" s="21">
        <f t="shared" si="0"/>
        <v>0.58724832214765099</v>
      </c>
      <c r="AL19" s="21">
        <f t="shared" si="0"/>
        <v>0.59523809523809523</v>
      </c>
      <c r="AM19" s="21">
        <f t="shared" si="0"/>
        <v>0.57189542483660127</v>
      </c>
      <c r="AN19" s="22">
        <f t="shared" ref="AN19:AN27" si="1">T46/T19</f>
        <v>0.59395973154362414</v>
      </c>
    </row>
    <row r="20" spans="2:40" ht="15" customHeight="1">
      <c r="B20" s="93"/>
      <c r="C20" s="98" t="s">
        <v>7</v>
      </c>
      <c r="D20" s="4">
        <v>0.25</v>
      </c>
      <c r="E20" s="24">
        <v>34</v>
      </c>
      <c r="F20" s="25">
        <v>18</v>
      </c>
      <c r="G20" s="25">
        <v>17</v>
      </c>
      <c r="H20" s="25">
        <v>18</v>
      </c>
      <c r="I20" s="25">
        <v>147</v>
      </c>
      <c r="J20" s="25">
        <v>532</v>
      </c>
      <c r="K20" s="25">
        <v>932</v>
      </c>
      <c r="L20" s="26">
        <v>3376</v>
      </c>
      <c r="M20" s="24">
        <v>25</v>
      </c>
      <c r="N20" s="25">
        <v>18</v>
      </c>
      <c r="O20" s="25">
        <v>17</v>
      </c>
      <c r="P20" s="25">
        <v>19</v>
      </c>
      <c r="Q20" s="25">
        <v>22</v>
      </c>
      <c r="R20" s="25">
        <v>217</v>
      </c>
      <c r="S20" s="25">
        <v>548</v>
      </c>
      <c r="T20" s="26">
        <v>2288</v>
      </c>
      <c r="V20" s="87"/>
      <c r="W20" s="98" t="s">
        <v>7</v>
      </c>
      <c r="X20" s="4">
        <v>0.25</v>
      </c>
      <c r="Y20" s="15">
        <f t="shared" ref="Y20:AM27" si="2">E47/E20</f>
        <v>0.47058823529411764</v>
      </c>
      <c r="Z20" s="16">
        <f t="shared" si="2"/>
        <v>0.94444444444444442</v>
      </c>
      <c r="AA20" s="16">
        <f t="shared" si="2"/>
        <v>1.1176470588235294</v>
      </c>
      <c r="AB20" s="16">
        <f t="shared" si="2"/>
        <v>1.2777777777777777</v>
      </c>
      <c r="AC20" s="16">
        <f t="shared" si="2"/>
        <v>0.18367346938775511</v>
      </c>
      <c r="AD20" s="16">
        <f t="shared" si="2"/>
        <v>0.34398496240601506</v>
      </c>
      <c r="AE20" s="16">
        <f t="shared" si="2"/>
        <v>0.24570815450643776</v>
      </c>
      <c r="AF20" s="17">
        <f t="shared" si="2"/>
        <v>6.7831753554502369E-2</v>
      </c>
      <c r="AG20" s="15">
        <f t="shared" si="2"/>
        <v>1.08</v>
      </c>
      <c r="AH20" s="16">
        <f t="shared" si="2"/>
        <v>1.6666666666666667</v>
      </c>
      <c r="AI20" s="16">
        <f t="shared" si="2"/>
        <v>1.588235294117647</v>
      </c>
      <c r="AJ20" s="16">
        <f t="shared" si="2"/>
        <v>1.2105263157894737</v>
      </c>
      <c r="AK20" s="16">
        <f t="shared" si="2"/>
        <v>1.3181818181818181</v>
      </c>
      <c r="AL20" s="16">
        <f t="shared" si="2"/>
        <v>0.16589861751152074</v>
      </c>
      <c r="AM20" s="16">
        <f t="shared" si="2"/>
        <v>0.20437956204379562</v>
      </c>
      <c r="AN20" s="17">
        <f t="shared" si="1"/>
        <v>0.19143356643356643</v>
      </c>
    </row>
    <row r="21" spans="2:40" ht="15" customHeight="1">
      <c r="B21" s="93"/>
      <c r="C21" s="96"/>
      <c r="D21" s="5">
        <v>0.5</v>
      </c>
      <c r="E21" s="27">
        <v>31</v>
      </c>
      <c r="F21" s="28">
        <v>19</v>
      </c>
      <c r="G21" s="28">
        <v>18</v>
      </c>
      <c r="H21" s="28">
        <v>120</v>
      </c>
      <c r="I21" s="28">
        <v>402</v>
      </c>
      <c r="J21" s="28">
        <v>812</v>
      </c>
      <c r="K21" s="28">
        <v>1688</v>
      </c>
      <c r="L21" s="29">
        <v>5280</v>
      </c>
      <c r="M21" s="27">
        <v>25</v>
      </c>
      <c r="N21" s="28">
        <v>19</v>
      </c>
      <c r="O21" s="28">
        <v>18</v>
      </c>
      <c r="P21" s="28">
        <v>20</v>
      </c>
      <c r="Q21" s="28">
        <v>209</v>
      </c>
      <c r="R21" s="28">
        <v>540</v>
      </c>
      <c r="S21" s="28">
        <v>1160</v>
      </c>
      <c r="T21" s="29">
        <v>3664</v>
      </c>
      <c r="V21" s="87"/>
      <c r="W21" s="96"/>
      <c r="X21" s="5">
        <v>0.5</v>
      </c>
      <c r="Y21" s="18">
        <f t="shared" si="2"/>
        <v>0.5161290322580645</v>
      </c>
      <c r="Z21" s="12">
        <f t="shared" si="2"/>
        <v>0.89473684210526316</v>
      </c>
      <c r="AA21" s="12">
        <f t="shared" si="2"/>
        <v>1.1111111111111112</v>
      </c>
      <c r="AB21" s="12">
        <f t="shared" si="2"/>
        <v>0.19166666666666668</v>
      </c>
      <c r="AC21" s="12">
        <f t="shared" si="2"/>
        <v>0.56467661691542292</v>
      </c>
      <c r="AD21" s="12">
        <f t="shared" si="2"/>
        <v>0.74384236453201968</v>
      </c>
      <c r="AE21" s="12">
        <f t="shared" si="2"/>
        <v>0.76303317535545023</v>
      </c>
      <c r="AF21" s="19">
        <f t="shared" si="2"/>
        <v>0.73636363636363633</v>
      </c>
      <c r="AG21" s="18">
        <f t="shared" si="2"/>
        <v>1.2</v>
      </c>
      <c r="AH21" s="12">
        <f t="shared" si="2"/>
        <v>1.736842105263158</v>
      </c>
      <c r="AI21" s="12">
        <f t="shared" si="2"/>
        <v>1.5555555555555556</v>
      </c>
      <c r="AJ21" s="12">
        <f t="shared" si="2"/>
        <v>1.2</v>
      </c>
      <c r="AK21" s="12">
        <f t="shared" si="2"/>
        <v>1.1435406698564594</v>
      </c>
      <c r="AL21" s="12">
        <f t="shared" si="2"/>
        <v>0.98518518518518516</v>
      </c>
      <c r="AM21" s="12">
        <f t="shared" si="2"/>
        <v>0.93103448275862066</v>
      </c>
      <c r="AN21" s="19">
        <f t="shared" si="1"/>
        <v>1.1965065502183405</v>
      </c>
    </row>
    <row r="22" spans="2:40" ht="15" customHeight="1">
      <c r="B22" s="93"/>
      <c r="C22" s="96"/>
      <c r="D22" s="5">
        <v>0.75</v>
      </c>
      <c r="E22" s="27">
        <v>31</v>
      </c>
      <c r="F22" s="28">
        <v>20</v>
      </c>
      <c r="G22" s="28">
        <v>70</v>
      </c>
      <c r="H22" s="28">
        <v>203</v>
      </c>
      <c r="I22" s="28">
        <v>406</v>
      </c>
      <c r="J22" s="28">
        <v>812</v>
      </c>
      <c r="K22" s="28">
        <v>1624</v>
      </c>
      <c r="L22" s="29">
        <v>5792</v>
      </c>
      <c r="M22" s="27">
        <v>26</v>
      </c>
      <c r="N22" s="28">
        <v>21</v>
      </c>
      <c r="O22" s="28">
        <v>19</v>
      </c>
      <c r="P22" s="28">
        <v>131</v>
      </c>
      <c r="Q22" s="28">
        <v>290</v>
      </c>
      <c r="R22" s="28">
        <v>588</v>
      </c>
      <c r="S22" s="28">
        <v>1160</v>
      </c>
      <c r="T22" s="29">
        <v>4384</v>
      </c>
      <c r="V22" s="87"/>
      <c r="W22" s="96"/>
      <c r="X22" s="5">
        <v>0.75</v>
      </c>
      <c r="Y22" s="18">
        <f t="shared" si="2"/>
        <v>0.5161290322580645</v>
      </c>
      <c r="Z22" s="12">
        <f t="shared" si="2"/>
        <v>0.9</v>
      </c>
      <c r="AA22" s="12">
        <f t="shared" si="2"/>
        <v>0.2857142857142857</v>
      </c>
      <c r="AB22" s="12">
        <f t="shared" si="2"/>
        <v>0.61576354679802958</v>
      </c>
      <c r="AC22" s="12">
        <f t="shared" si="2"/>
        <v>0.61330049261083741</v>
      </c>
      <c r="AD22" s="12">
        <f t="shared" si="2"/>
        <v>0.60837438423645318</v>
      </c>
      <c r="AE22" s="12">
        <f t="shared" si="2"/>
        <v>0.60837438423645318</v>
      </c>
      <c r="AF22" s="19">
        <f t="shared" si="2"/>
        <v>0.67679558011049723</v>
      </c>
      <c r="AG22" s="18">
        <f t="shared" si="2"/>
        <v>1.1538461538461537</v>
      </c>
      <c r="AH22" s="12">
        <f t="shared" si="2"/>
        <v>1.6190476190476191</v>
      </c>
      <c r="AI22" s="12">
        <f t="shared" si="2"/>
        <v>1.5789473684210527</v>
      </c>
      <c r="AJ22" s="12">
        <f t="shared" si="2"/>
        <v>1.0610687022900764</v>
      </c>
      <c r="AK22" s="12">
        <f t="shared" si="2"/>
        <v>0.95862068965517244</v>
      </c>
      <c r="AL22" s="12">
        <f t="shared" si="2"/>
        <v>0.93197278911564629</v>
      </c>
      <c r="AM22" s="12">
        <f t="shared" si="2"/>
        <v>0.94482758620689655</v>
      </c>
      <c r="AN22" s="19">
        <f t="shared" si="1"/>
        <v>0.98540145985401462</v>
      </c>
    </row>
    <row r="23" spans="2:40" ht="15" customHeight="1" thickBot="1">
      <c r="B23" s="93"/>
      <c r="C23" s="97"/>
      <c r="D23" s="6">
        <v>1</v>
      </c>
      <c r="E23" s="30">
        <v>32</v>
      </c>
      <c r="F23" s="31">
        <v>52</v>
      </c>
      <c r="G23" s="31">
        <v>100</v>
      </c>
      <c r="H23" s="31">
        <v>197</v>
      </c>
      <c r="I23" s="31">
        <v>386</v>
      </c>
      <c r="J23" s="31">
        <v>772</v>
      </c>
      <c r="K23" s="31">
        <v>1560</v>
      </c>
      <c r="L23" s="32">
        <v>7648</v>
      </c>
      <c r="M23" s="30">
        <v>27</v>
      </c>
      <c r="N23" s="31">
        <v>41</v>
      </c>
      <c r="O23" s="31">
        <v>79</v>
      </c>
      <c r="P23" s="31">
        <v>155</v>
      </c>
      <c r="Q23" s="31">
        <v>302</v>
      </c>
      <c r="R23" s="31">
        <v>604</v>
      </c>
      <c r="S23" s="31">
        <v>1224</v>
      </c>
      <c r="T23" s="32">
        <v>5664</v>
      </c>
      <c r="V23" s="87"/>
      <c r="W23" s="97"/>
      <c r="X23" s="6">
        <v>1</v>
      </c>
      <c r="Y23" s="20">
        <f t="shared" si="2"/>
        <v>0.5</v>
      </c>
      <c r="Z23" s="21">
        <f t="shared" si="2"/>
        <v>0.61538461538461542</v>
      </c>
      <c r="AA23" s="21">
        <f t="shared" si="2"/>
        <v>0.64</v>
      </c>
      <c r="AB23" s="21">
        <f t="shared" si="2"/>
        <v>0.6649746192893401</v>
      </c>
      <c r="AC23" s="21">
        <f t="shared" si="2"/>
        <v>0.66839378238341973</v>
      </c>
      <c r="AD23" s="21">
        <f t="shared" si="2"/>
        <v>0.66839378238341973</v>
      </c>
      <c r="AE23" s="21">
        <f t="shared" si="2"/>
        <v>0.64871794871794874</v>
      </c>
      <c r="AF23" s="22">
        <f t="shared" si="2"/>
        <v>0.5125523012552301</v>
      </c>
      <c r="AG23" s="20">
        <f t="shared" si="2"/>
        <v>0.59259259259259256</v>
      </c>
      <c r="AH23" s="21">
        <f t="shared" si="2"/>
        <v>0.56097560975609762</v>
      </c>
      <c r="AI23" s="21">
        <f t="shared" si="2"/>
        <v>0.569620253164557</v>
      </c>
      <c r="AJ23" s="21">
        <f t="shared" si="2"/>
        <v>0.5741935483870968</v>
      </c>
      <c r="AK23" s="21">
        <f t="shared" si="2"/>
        <v>0.58609271523178808</v>
      </c>
      <c r="AL23" s="21">
        <f t="shared" si="2"/>
        <v>0.58609271523178808</v>
      </c>
      <c r="AM23" s="21">
        <f t="shared" si="2"/>
        <v>0.57843137254901966</v>
      </c>
      <c r="AN23" s="22">
        <f t="shared" si="1"/>
        <v>0.5</v>
      </c>
    </row>
    <row r="24" spans="2:40" ht="15" customHeight="1">
      <c r="B24" s="93"/>
      <c r="C24" s="95" t="s">
        <v>8</v>
      </c>
      <c r="D24" s="7">
        <v>0.25</v>
      </c>
      <c r="E24" s="33">
        <v>3507</v>
      </c>
      <c r="F24" s="34">
        <v>6485</v>
      </c>
      <c r="G24" s="34">
        <v>11114</v>
      </c>
      <c r="H24" s="34">
        <v>18148</v>
      </c>
      <c r="I24" s="34">
        <v>26709</v>
      </c>
      <c r="J24" s="34">
        <v>27127</v>
      </c>
      <c r="K24" s="34">
        <v>27141</v>
      </c>
      <c r="L24" s="35">
        <v>27165</v>
      </c>
      <c r="M24" s="33">
        <v>3857</v>
      </c>
      <c r="N24" s="34">
        <v>7282</v>
      </c>
      <c r="O24" s="34">
        <v>12722</v>
      </c>
      <c r="P24" s="34">
        <v>20729</v>
      </c>
      <c r="Q24" s="34">
        <v>31445</v>
      </c>
      <c r="R24" s="34">
        <v>41658</v>
      </c>
      <c r="S24" s="34">
        <v>41408</v>
      </c>
      <c r="T24" s="35">
        <v>41537</v>
      </c>
      <c r="V24" s="87"/>
      <c r="W24" s="89" t="s">
        <v>8</v>
      </c>
      <c r="X24" s="4">
        <v>0.25</v>
      </c>
      <c r="Y24" s="15">
        <f t="shared" si="2"/>
        <v>1.3544339891645281</v>
      </c>
      <c r="Z24" s="16">
        <f t="shared" si="2"/>
        <v>1.3905936777178103</v>
      </c>
      <c r="AA24" s="16">
        <f t="shared" si="2"/>
        <v>1.4772359186611481</v>
      </c>
      <c r="AB24" s="16">
        <f t="shared" si="2"/>
        <v>1.5128388803173904</v>
      </c>
      <c r="AC24" s="16">
        <f t="shared" si="2"/>
        <v>1.442547455913737</v>
      </c>
      <c r="AD24" s="16">
        <f t="shared" si="2"/>
        <v>1.6209311755815239</v>
      </c>
      <c r="AE24" s="16">
        <f t="shared" si="2"/>
        <v>1.6192107881065547</v>
      </c>
      <c r="AF24" s="17">
        <f t="shared" si="2"/>
        <v>1.6182219768083932</v>
      </c>
      <c r="AG24" s="15">
        <f t="shared" si="2"/>
        <v>1.2346383199377755</v>
      </c>
      <c r="AH24" s="16">
        <f t="shared" si="2"/>
        <v>1.2540510848667947</v>
      </c>
      <c r="AI24" s="16">
        <f t="shared" si="2"/>
        <v>1.3324162867473668</v>
      </c>
      <c r="AJ24" s="16">
        <f t="shared" si="2"/>
        <v>1.4327270973032948</v>
      </c>
      <c r="AK24" s="16">
        <f t="shared" si="2"/>
        <v>1.4609953887740499</v>
      </c>
      <c r="AL24" s="16">
        <f t="shared" si="2"/>
        <v>1.4222238225550914</v>
      </c>
      <c r="AM24" s="16">
        <f t="shared" si="2"/>
        <v>1.4371619010819165</v>
      </c>
      <c r="AN24" s="17">
        <f t="shared" si="1"/>
        <v>1.4332041312564701</v>
      </c>
    </row>
    <row r="25" spans="2:40" ht="15" customHeight="1">
      <c r="B25" s="93"/>
      <c r="C25" s="96"/>
      <c r="D25" s="5">
        <v>0.5</v>
      </c>
      <c r="E25" s="27">
        <v>8547</v>
      </c>
      <c r="F25" s="28">
        <v>15191</v>
      </c>
      <c r="G25" s="28">
        <v>24596</v>
      </c>
      <c r="H25" s="28">
        <v>34601</v>
      </c>
      <c r="I25" s="28">
        <v>34946</v>
      </c>
      <c r="J25" s="28">
        <v>34797</v>
      </c>
      <c r="K25" s="28">
        <v>34666</v>
      </c>
      <c r="L25" s="29">
        <v>34585</v>
      </c>
      <c r="M25" s="27">
        <v>9310</v>
      </c>
      <c r="N25" s="28">
        <v>16552</v>
      </c>
      <c r="O25" s="28">
        <v>26933</v>
      </c>
      <c r="P25" s="28">
        <v>41267</v>
      </c>
      <c r="Q25" s="28">
        <v>50853</v>
      </c>
      <c r="R25" s="28">
        <v>50381</v>
      </c>
      <c r="S25" s="28">
        <v>50380</v>
      </c>
      <c r="T25" s="29">
        <v>50513</v>
      </c>
      <c r="V25" s="87"/>
      <c r="W25" s="90"/>
      <c r="X25" s="5">
        <v>0.5</v>
      </c>
      <c r="Y25" s="18">
        <f t="shared" si="2"/>
        <v>1.4229554229554229</v>
      </c>
      <c r="Z25" s="12">
        <f t="shared" si="2"/>
        <v>1.4685669146204989</v>
      </c>
      <c r="AA25" s="12">
        <f t="shared" si="2"/>
        <v>1.5343145226866157</v>
      </c>
      <c r="AB25" s="12">
        <f t="shared" si="2"/>
        <v>1.5918037050952285</v>
      </c>
      <c r="AC25" s="12">
        <f t="shared" si="2"/>
        <v>1.8205230927717049</v>
      </c>
      <c r="AD25" s="12">
        <f t="shared" si="2"/>
        <v>1.8263356036439924</v>
      </c>
      <c r="AE25" s="12">
        <f t="shared" si="2"/>
        <v>1.8347660531933307</v>
      </c>
      <c r="AF25" s="19">
        <f t="shared" si="2"/>
        <v>1.9506144282203268</v>
      </c>
      <c r="AG25" s="18">
        <f t="shared" si="2"/>
        <v>1.317830290010741</v>
      </c>
      <c r="AH25" s="12">
        <f t="shared" si="2"/>
        <v>1.374456259062349</v>
      </c>
      <c r="AI25" s="12">
        <f t="shared" si="2"/>
        <v>1.4758474733598188</v>
      </c>
      <c r="AJ25" s="12">
        <f t="shared" si="2"/>
        <v>1.4975888724646813</v>
      </c>
      <c r="AK25" s="12">
        <f t="shared" si="2"/>
        <v>1.6168957583623385</v>
      </c>
      <c r="AL25" s="12">
        <f t="shared" si="2"/>
        <v>1.6160258827732676</v>
      </c>
      <c r="AM25" s="12">
        <f t="shared" si="2"/>
        <v>1.6191345772131798</v>
      </c>
      <c r="AN25" s="19">
        <f t="shared" si="1"/>
        <v>1.6117237146873082</v>
      </c>
    </row>
    <row r="26" spans="2:40" ht="15" customHeight="1">
      <c r="B26" s="93"/>
      <c r="C26" s="96"/>
      <c r="D26" s="5">
        <v>0.75</v>
      </c>
      <c r="E26" s="27">
        <v>17776</v>
      </c>
      <c r="F26" s="28">
        <v>30318</v>
      </c>
      <c r="G26" s="28">
        <v>40140</v>
      </c>
      <c r="H26" s="28">
        <v>40220</v>
      </c>
      <c r="I26" s="28">
        <v>40408</v>
      </c>
      <c r="J26" s="28">
        <v>40596</v>
      </c>
      <c r="K26" s="28">
        <v>40675</v>
      </c>
      <c r="L26" s="29">
        <v>40742</v>
      </c>
      <c r="M26" s="27">
        <v>18706</v>
      </c>
      <c r="N26" s="28">
        <v>32062</v>
      </c>
      <c r="O26" s="28">
        <v>49851</v>
      </c>
      <c r="P26" s="28">
        <v>54006</v>
      </c>
      <c r="Q26" s="28">
        <v>54313</v>
      </c>
      <c r="R26" s="28">
        <v>54195</v>
      </c>
      <c r="S26" s="28">
        <v>54198</v>
      </c>
      <c r="T26" s="29">
        <v>54204</v>
      </c>
      <c r="V26" s="87"/>
      <c r="W26" s="90"/>
      <c r="X26" s="5">
        <v>0.75</v>
      </c>
      <c r="Y26" s="18">
        <f t="shared" si="2"/>
        <v>1.478566606660666</v>
      </c>
      <c r="Z26" s="12">
        <f t="shared" si="2"/>
        <v>1.4988125865822284</v>
      </c>
      <c r="AA26" s="12">
        <f t="shared" si="2"/>
        <v>1.7413054309915297</v>
      </c>
      <c r="AB26" s="12">
        <f t="shared" si="2"/>
        <v>1.9452511188463451</v>
      </c>
      <c r="AC26" s="12">
        <f t="shared" si="2"/>
        <v>1.9350871114630765</v>
      </c>
      <c r="AD26" s="12">
        <f t="shared" si="2"/>
        <v>1.9288599862055376</v>
      </c>
      <c r="AE26" s="12">
        <f t="shared" si="2"/>
        <v>1.9218930547019053</v>
      </c>
      <c r="AF26" s="19">
        <f t="shared" si="2"/>
        <v>1.9446026213735212</v>
      </c>
      <c r="AG26" s="18">
        <f t="shared" si="2"/>
        <v>1.4189564845504117</v>
      </c>
      <c r="AH26" s="12">
        <f t="shared" si="2"/>
        <v>1.4566776869814735</v>
      </c>
      <c r="AI26" s="12">
        <f t="shared" si="2"/>
        <v>1.483460712924515</v>
      </c>
      <c r="AJ26" s="12">
        <f t="shared" si="2"/>
        <v>1.7791171351331334</v>
      </c>
      <c r="AK26" s="12">
        <f t="shared" si="2"/>
        <v>1.7659860438569035</v>
      </c>
      <c r="AL26" s="12">
        <f t="shared" si="2"/>
        <v>1.7719900359811791</v>
      </c>
      <c r="AM26" s="12">
        <f t="shared" si="2"/>
        <v>1.7708587032731835</v>
      </c>
      <c r="AN26" s="19">
        <f t="shared" si="1"/>
        <v>1.7693343664674195</v>
      </c>
    </row>
    <row r="27" spans="2:40" ht="15" customHeight="1" thickBot="1">
      <c r="B27" s="94"/>
      <c r="C27" s="97"/>
      <c r="D27" s="6">
        <v>1</v>
      </c>
      <c r="E27" s="30">
        <v>42048</v>
      </c>
      <c r="F27" s="31">
        <v>42159</v>
      </c>
      <c r="G27" s="31">
        <v>42219</v>
      </c>
      <c r="H27" s="31">
        <v>42245</v>
      </c>
      <c r="I27" s="31">
        <v>42192</v>
      </c>
      <c r="J27" s="31">
        <v>42181</v>
      </c>
      <c r="K27" s="31">
        <v>42167</v>
      </c>
      <c r="L27" s="32">
        <v>42159</v>
      </c>
      <c r="M27" s="30">
        <v>54073</v>
      </c>
      <c r="N27" s="31">
        <v>54121</v>
      </c>
      <c r="O27" s="31">
        <v>54355</v>
      </c>
      <c r="P27" s="31">
        <v>54277</v>
      </c>
      <c r="Q27" s="31">
        <v>54253</v>
      </c>
      <c r="R27" s="31">
        <v>54303</v>
      </c>
      <c r="S27" s="31">
        <v>54208</v>
      </c>
      <c r="T27" s="32">
        <v>54273</v>
      </c>
      <c r="V27" s="88"/>
      <c r="W27" s="91"/>
      <c r="X27" s="6">
        <v>1</v>
      </c>
      <c r="Y27" s="20">
        <f t="shared" si="2"/>
        <v>2.0825009512937593</v>
      </c>
      <c r="Z27" s="21">
        <f t="shared" si="2"/>
        <v>2.1468488341753837</v>
      </c>
      <c r="AA27" s="21">
        <f t="shared" si="2"/>
        <v>2.1446978848385796</v>
      </c>
      <c r="AB27" s="21">
        <f t="shared" si="2"/>
        <v>2.1395904840809563</v>
      </c>
      <c r="AC27" s="21">
        <f t="shared" si="2"/>
        <v>2.1457622298065986</v>
      </c>
      <c r="AD27" s="21">
        <f t="shared" si="2"/>
        <v>2.1468670728527064</v>
      </c>
      <c r="AE27" s="21">
        <f t="shared" si="2"/>
        <v>2.1466075366993147</v>
      </c>
      <c r="AF27" s="22">
        <f t="shared" si="2"/>
        <v>2.147441827367822</v>
      </c>
      <c r="AG27" s="20">
        <f t="shared" si="2"/>
        <v>1.6201986203835557</v>
      </c>
      <c r="AH27" s="21">
        <f t="shared" si="2"/>
        <v>1.6793111731121007</v>
      </c>
      <c r="AI27" s="21">
        <f t="shared" si="2"/>
        <v>1.6720816852175513</v>
      </c>
      <c r="AJ27" s="21">
        <f t="shared" si="2"/>
        <v>1.6744845883154929</v>
      </c>
      <c r="AK27" s="21">
        <f t="shared" si="2"/>
        <v>1.6752253331612998</v>
      </c>
      <c r="AL27" s="21">
        <f t="shared" si="2"/>
        <v>1.6736828536176638</v>
      </c>
      <c r="AM27" s="21">
        <f t="shared" si="2"/>
        <v>1.6766159976387249</v>
      </c>
      <c r="AN27" s="22">
        <f t="shared" si="1"/>
        <v>1.6746080002948058</v>
      </c>
    </row>
    <row r="28" spans="2:40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2:40" ht="15" customHeight="1" thickBot="1">
      <c r="B29" s="112" t="s">
        <v>68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5"/>
      <c r="M29" s="83" t="s">
        <v>24</v>
      </c>
      <c r="N29" s="84"/>
      <c r="O29" s="84"/>
      <c r="P29" s="84"/>
      <c r="Q29" s="84"/>
      <c r="R29" s="84"/>
      <c r="S29" s="84"/>
      <c r="T29" s="85"/>
      <c r="V29" s="13" t="s">
        <v>20</v>
      </c>
      <c r="W29" s="14">
        <f>(COUNTIF(Y4:AN11,"&lt;1.1")+COUNTIF(Y16:AN23,"&lt;1.1"))/(COUNT(Y4:AN11)+COUNT(Y16:AN23))</f>
        <v>0.90625</v>
      </c>
      <c r="X29" s="109" t="s">
        <v>19</v>
      </c>
      <c r="Y29" s="110"/>
      <c r="Z29" s="110"/>
      <c r="AA29" s="110"/>
      <c r="AB29" s="111"/>
    </row>
    <row r="30" spans="2:40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3" t="s">
        <v>17</v>
      </c>
      <c r="M30" s="1" t="s">
        <v>0</v>
      </c>
      <c r="N30" s="2" t="s">
        <v>1</v>
      </c>
      <c r="O30" s="2" t="s">
        <v>2</v>
      </c>
      <c r="P30" s="2" t="s">
        <v>3</v>
      </c>
      <c r="Q30" s="2" t="s">
        <v>4</v>
      </c>
      <c r="R30" s="2" t="s">
        <v>18</v>
      </c>
      <c r="S30" s="2" t="s">
        <v>16</v>
      </c>
      <c r="T30" s="3" t="s">
        <v>17</v>
      </c>
      <c r="V30" s="13" t="s">
        <v>21</v>
      </c>
      <c r="W30" s="23">
        <f>(COUNTIF(Y4:AN11,"&lt;1.1"))/(COUNT(Y4:AN11))</f>
        <v>1</v>
      </c>
      <c r="X30" s="109" t="s">
        <v>19</v>
      </c>
      <c r="Y30" s="110"/>
      <c r="Z30" s="110"/>
      <c r="AA30" s="110"/>
      <c r="AB30" s="111"/>
    </row>
    <row r="31" spans="2:40" ht="15" customHeight="1" thickBot="1">
      <c r="B31" s="92" t="s">
        <v>5</v>
      </c>
      <c r="C31" s="98" t="s">
        <v>6</v>
      </c>
      <c r="D31" s="4">
        <v>0.25</v>
      </c>
      <c r="E31" s="36">
        <v>266</v>
      </c>
      <c r="F31" s="37">
        <v>314</v>
      </c>
      <c r="G31" s="37">
        <v>382</v>
      </c>
      <c r="H31" s="37">
        <v>418</v>
      </c>
      <c r="I31" s="37">
        <v>434</v>
      </c>
      <c r="J31" s="37">
        <v>442</v>
      </c>
      <c r="K31" s="37">
        <v>442</v>
      </c>
      <c r="L31" s="38">
        <v>1688</v>
      </c>
      <c r="M31" s="36">
        <v>330</v>
      </c>
      <c r="N31" s="37">
        <v>398</v>
      </c>
      <c r="O31" s="37">
        <v>494</v>
      </c>
      <c r="P31" s="37">
        <v>556</v>
      </c>
      <c r="Q31" s="37">
        <v>596</v>
      </c>
      <c r="R31" s="37">
        <v>620</v>
      </c>
      <c r="S31" s="37">
        <v>628</v>
      </c>
      <c r="T31" s="38">
        <v>652</v>
      </c>
      <c r="V31" s="13" t="s">
        <v>22</v>
      </c>
      <c r="W31" s="23">
        <f>COUNTIF(Y16:AN23,"&lt;1.1")/+COUNT(Y16:AN23)</f>
        <v>0.8125</v>
      </c>
      <c r="X31" s="109" t="s">
        <v>19</v>
      </c>
      <c r="Y31" s="110"/>
      <c r="Z31" s="110"/>
      <c r="AA31" s="110"/>
      <c r="AB31" s="111"/>
    </row>
    <row r="32" spans="2:40" ht="15" customHeight="1">
      <c r="B32" s="93"/>
      <c r="C32" s="96"/>
      <c r="D32" s="5">
        <v>0.5</v>
      </c>
      <c r="E32" s="39">
        <v>211</v>
      </c>
      <c r="F32" s="40">
        <v>258</v>
      </c>
      <c r="G32" s="40">
        <v>310</v>
      </c>
      <c r="H32" s="40">
        <v>378</v>
      </c>
      <c r="I32" s="40">
        <v>438</v>
      </c>
      <c r="J32" s="40">
        <v>450</v>
      </c>
      <c r="K32" s="40">
        <v>454</v>
      </c>
      <c r="L32" s="41">
        <v>1752</v>
      </c>
      <c r="M32" s="39">
        <v>213</v>
      </c>
      <c r="N32" s="40">
        <v>302</v>
      </c>
      <c r="O32" s="40">
        <v>366</v>
      </c>
      <c r="P32" s="40">
        <v>466</v>
      </c>
      <c r="Q32" s="40">
        <v>572</v>
      </c>
      <c r="R32" s="40">
        <v>652</v>
      </c>
      <c r="S32" s="40">
        <v>748</v>
      </c>
      <c r="T32" s="41">
        <v>916</v>
      </c>
    </row>
    <row r="33" spans="2:20" ht="15" customHeight="1">
      <c r="B33" s="93"/>
      <c r="C33" s="96"/>
      <c r="D33" s="5">
        <v>0.75</v>
      </c>
      <c r="E33" s="39">
        <v>124</v>
      </c>
      <c r="F33" s="40">
        <v>197</v>
      </c>
      <c r="G33" s="40">
        <v>258</v>
      </c>
      <c r="H33" s="40">
        <v>314</v>
      </c>
      <c r="I33" s="40">
        <v>398</v>
      </c>
      <c r="J33" s="40">
        <v>532</v>
      </c>
      <c r="K33" s="40">
        <v>796</v>
      </c>
      <c r="L33" s="41">
        <v>2288</v>
      </c>
      <c r="M33" s="39">
        <v>111</v>
      </c>
      <c r="N33" s="40">
        <v>177</v>
      </c>
      <c r="O33" s="40">
        <v>270</v>
      </c>
      <c r="P33" s="40">
        <v>346</v>
      </c>
      <c r="Q33" s="40">
        <v>446</v>
      </c>
      <c r="R33" s="40">
        <v>588</v>
      </c>
      <c r="S33" s="40">
        <v>852</v>
      </c>
      <c r="T33" s="41">
        <v>2064</v>
      </c>
    </row>
    <row r="34" spans="2:20" ht="15" customHeight="1" thickBot="1">
      <c r="B34" s="93"/>
      <c r="C34" s="97"/>
      <c r="D34" s="6">
        <v>1</v>
      </c>
      <c r="E34" s="42">
        <v>69</v>
      </c>
      <c r="F34" s="43">
        <v>89</v>
      </c>
      <c r="G34" s="43">
        <v>105</v>
      </c>
      <c r="H34" s="43">
        <v>121</v>
      </c>
      <c r="I34" s="43">
        <v>159</v>
      </c>
      <c r="J34" s="43">
        <v>241</v>
      </c>
      <c r="K34" s="43">
        <v>446</v>
      </c>
      <c r="L34" s="44">
        <v>1176</v>
      </c>
      <c r="M34" s="42">
        <v>69</v>
      </c>
      <c r="N34" s="43">
        <v>72</v>
      </c>
      <c r="O34" s="43">
        <v>97</v>
      </c>
      <c r="P34" s="43">
        <v>108</v>
      </c>
      <c r="Q34" s="43">
        <v>125</v>
      </c>
      <c r="R34" s="43">
        <v>165</v>
      </c>
      <c r="S34" s="43">
        <v>241</v>
      </c>
      <c r="T34" s="44">
        <v>588</v>
      </c>
    </row>
    <row r="35" spans="2:20" ht="15" customHeight="1">
      <c r="B35" s="93"/>
      <c r="C35" s="98" t="s">
        <v>7</v>
      </c>
      <c r="D35" s="4">
        <v>0.25</v>
      </c>
      <c r="E35" s="36">
        <v>564</v>
      </c>
      <c r="F35" s="37">
        <v>852</v>
      </c>
      <c r="G35" s="37">
        <v>884</v>
      </c>
      <c r="H35" s="37">
        <v>916</v>
      </c>
      <c r="I35" s="37">
        <v>956</v>
      </c>
      <c r="J35" s="37">
        <v>980</v>
      </c>
      <c r="K35" s="37">
        <v>972</v>
      </c>
      <c r="L35" s="38">
        <v>1960</v>
      </c>
      <c r="M35" s="36">
        <v>740</v>
      </c>
      <c r="N35" s="37">
        <v>820</v>
      </c>
      <c r="O35" s="37">
        <v>884</v>
      </c>
      <c r="P35" s="37">
        <v>948</v>
      </c>
      <c r="Q35" s="37">
        <v>996</v>
      </c>
      <c r="R35" s="37">
        <v>1032</v>
      </c>
      <c r="S35" s="37">
        <v>1048</v>
      </c>
      <c r="T35" s="38">
        <v>1160</v>
      </c>
    </row>
    <row r="36" spans="2:20" ht="15" customHeight="1">
      <c r="B36" s="93"/>
      <c r="C36" s="96"/>
      <c r="D36" s="5">
        <v>0.5</v>
      </c>
      <c r="E36" s="39">
        <v>540</v>
      </c>
      <c r="F36" s="40">
        <v>564</v>
      </c>
      <c r="G36" s="40">
        <v>844</v>
      </c>
      <c r="H36" s="40">
        <v>884</v>
      </c>
      <c r="I36" s="40">
        <v>932</v>
      </c>
      <c r="J36" s="40">
        <v>1048</v>
      </c>
      <c r="K36" s="40">
        <v>1144</v>
      </c>
      <c r="L36" s="41">
        <v>2256</v>
      </c>
      <c r="M36" s="39">
        <v>724</v>
      </c>
      <c r="N36" s="40">
        <v>740</v>
      </c>
      <c r="O36" s="40">
        <v>804</v>
      </c>
      <c r="P36" s="40">
        <v>884</v>
      </c>
      <c r="Q36" s="40">
        <v>972</v>
      </c>
      <c r="R36" s="40">
        <v>1112</v>
      </c>
      <c r="S36" s="40">
        <v>1256</v>
      </c>
      <c r="T36" s="41">
        <v>1928</v>
      </c>
    </row>
    <row r="37" spans="2:20" ht="15" customHeight="1">
      <c r="B37" s="93"/>
      <c r="C37" s="96"/>
      <c r="D37" s="5">
        <v>0.75</v>
      </c>
      <c r="E37" s="39">
        <v>490</v>
      </c>
      <c r="F37" s="40">
        <v>524</v>
      </c>
      <c r="G37" s="40">
        <v>556</v>
      </c>
      <c r="H37" s="40">
        <v>732</v>
      </c>
      <c r="I37" s="40">
        <v>876</v>
      </c>
      <c r="J37" s="40">
        <v>972</v>
      </c>
      <c r="K37" s="40">
        <v>1352</v>
      </c>
      <c r="L37" s="41">
        <v>3088</v>
      </c>
      <c r="M37" s="39">
        <v>636</v>
      </c>
      <c r="N37" s="40">
        <v>692</v>
      </c>
      <c r="O37" s="40">
        <v>732</v>
      </c>
      <c r="P37" s="40">
        <v>772</v>
      </c>
      <c r="Q37" s="40">
        <v>876</v>
      </c>
      <c r="R37" s="40">
        <v>1064</v>
      </c>
      <c r="S37" s="40">
        <v>1384</v>
      </c>
      <c r="T37" s="41">
        <v>2704</v>
      </c>
    </row>
    <row r="38" spans="2:20" ht="15" customHeight="1" thickBot="1">
      <c r="B38" s="93"/>
      <c r="C38" s="97"/>
      <c r="D38" s="6">
        <v>1</v>
      </c>
      <c r="E38" s="42">
        <v>91</v>
      </c>
      <c r="F38" s="43">
        <v>121</v>
      </c>
      <c r="G38" s="43">
        <v>153</v>
      </c>
      <c r="H38" s="43">
        <v>193</v>
      </c>
      <c r="I38" s="43">
        <v>270</v>
      </c>
      <c r="J38" s="43">
        <v>442</v>
      </c>
      <c r="K38" s="43">
        <v>804</v>
      </c>
      <c r="L38" s="44">
        <v>2064</v>
      </c>
      <c r="M38" s="42">
        <v>74</v>
      </c>
      <c r="N38" s="43">
        <v>117</v>
      </c>
      <c r="O38" s="43">
        <v>139</v>
      </c>
      <c r="P38" s="43">
        <v>161</v>
      </c>
      <c r="Q38" s="43">
        <v>203</v>
      </c>
      <c r="R38" s="43">
        <v>282</v>
      </c>
      <c r="S38" s="43">
        <v>422</v>
      </c>
      <c r="T38" s="44">
        <v>780</v>
      </c>
    </row>
    <row r="39" spans="2:20" ht="15" customHeight="1">
      <c r="B39" s="93"/>
      <c r="C39" s="98" t="s">
        <v>8</v>
      </c>
      <c r="D39" s="4">
        <v>0.25</v>
      </c>
      <c r="E39" s="36">
        <v>8765</v>
      </c>
      <c r="F39" s="37">
        <v>15137</v>
      </c>
      <c r="G39" s="37">
        <v>23292</v>
      </c>
      <c r="H39" s="37">
        <v>26082</v>
      </c>
      <c r="I39" s="37">
        <v>26072</v>
      </c>
      <c r="J39" s="37">
        <v>26105</v>
      </c>
      <c r="K39" s="37">
        <v>26051</v>
      </c>
      <c r="L39" s="38">
        <v>26414</v>
      </c>
      <c r="M39" s="36">
        <v>8850</v>
      </c>
      <c r="N39" s="37">
        <v>15568</v>
      </c>
      <c r="O39" s="37">
        <v>24659</v>
      </c>
      <c r="P39" s="37">
        <v>32016</v>
      </c>
      <c r="Q39" s="37">
        <v>31973</v>
      </c>
      <c r="R39" s="37">
        <v>32032</v>
      </c>
      <c r="S39" s="37">
        <v>31990</v>
      </c>
      <c r="T39" s="38">
        <v>31973</v>
      </c>
    </row>
    <row r="40" spans="2:20" ht="15" customHeight="1">
      <c r="B40" s="93"/>
      <c r="C40" s="96"/>
      <c r="D40" s="5">
        <v>0.5</v>
      </c>
      <c r="E40" s="39">
        <v>12163</v>
      </c>
      <c r="F40" s="40">
        <v>22314</v>
      </c>
      <c r="G40" s="40">
        <v>37728</v>
      </c>
      <c r="H40" s="40">
        <v>55095</v>
      </c>
      <c r="I40" s="40">
        <v>63626</v>
      </c>
      <c r="J40" s="40">
        <v>63572</v>
      </c>
      <c r="K40" s="40">
        <v>63576</v>
      </c>
      <c r="L40" s="41">
        <v>67465</v>
      </c>
      <c r="M40" s="39">
        <v>12266</v>
      </c>
      <c r="N40" s="40">
        <v>22752</v>
      </c>
      <c r="O40" s="40">
        <v>39737</v>
      </c>
      <c r="P40" s="40">
        <v>61792</v>
      </c>
      <c r="Q40" s="40">
        <v>82244</v>
      </c>
      <c r="R40" s="40">
        <v>81423</v>
      </c>
      <c r="S40" s="40">
        <v>81550</v>
      </c>
      <c r="T40" s="41">
        <v>81391</v>
      </c>
    </row>
    <row r="41" spans="2:20" ht="15" customHeight="1">
      <c r="B41" s="93"/>
      <c r="C41" s="96"/>
      <c r="D41" s="5">
        <v>0.75</v>
      </c>
      <c r="E41" s="39">
        <v>14232</v>
      </c>
      <c r="F41" s="40">
        <v>27049</v>
      </c>
      <c r="G41" s="40">
        <v>49250</v>
      </c>
      <c r="H41" s="40">
        <v>82335</v>
      </c>
      <c r="I41" s="40">
        <v>115591</v>
      </c>
      <c r="J41" s="40">
        <v>131867</v>
      </c>
      <c r="K41" s="40">
        <v>131831</v>
      </c>
      <c r="L41" s="41">
        <v>131940</v>
      </c>
      <c r="M41" s="39">
        <v>14300</v>
      </c>
      <c r="N41" s="40">
        <v>27401</v>
      </c>
      <c r="O41" s="40">
        <v>50846</v>
      </c>
      <c r="P41" s="40">
        <v>89113</v>
      </c>
      <c r="Q41" s="40">
        <v>137830</v>
      </c>
      <c r="R41" s="40">
        <v>177768</v>
      </c>
      <c r="S41" s="40">
        <v>178527</v>
      </c>
      <c r="T41" s="41">
        <v>178643</v>
      </c>
    </row>
    <row r="42" spans="2:20" ht="15" customHeight="1" thickBot="1">
      <c r="B42" s="94"/>
      <c r="C42" s="97"/>
      <c r="D42" s="6">
        <v>1</v>
      </c>
      <c r="E42" s="42">
        <v>16015</v>
      </c>
      <c r="F42" s="43">
        <v>31620</v>
      </c>
      <c r="G42" s="43">
        <v>61514</v>
      </c>
      <c r="H42" s="43">
        <v>116469</v>
      </c>
      <c r="I42" s="43">
        <v>209021</v>
      </c>
      <c r="J42" s="43">
        <v>337335</v>
      </c>
      <c r="K42" s="43">
        <v>459167</v>
      </c>
      <c r="L42" s="44">
        <v>534055</v>
      </c>
      <c r="M42" s="42">
        <v>16029</v>
      </c>
      <c r="N42" s="43">
        <v>31814</v>
      </c>
      <c r="O42" s="43">
        <v>62492</v>
      </c>
      <c r="P42" s="43">
        <v>120782</v>
      </c>
      <c r="Q42" s="43">
        <v>225963</v>
      </c>
      <c r="R42" s="43">
        <v>395433</v>
      </c>
      <c r="S42" s="43">
        <v>544158</v>
      </c>
      <c r="T42" s="44">
        <v>554043</v>
      </c>
    </row>
    <row r="43" spans="2:20" ht="15" customHeight="1">
      <c r="B43" s="83" t="s">
        <v>9</v>
      </c>
      <c r="C43" s="98" t="s">
        <v>6</v>
      </c>
      <c r="D43" s="4">
        <v>0.25</v>
      </c>
      <c r="E43" s="36">
        <v>11</v>
      </c>
      <c r="F43" s="37">
        <v>13</v>
      </c>
      <c r="G43" s="37">
        <v>15</v>
      </c>
      <c r="H43" s="37">
        <v>17</v>
      </c>
      <c r="I43" s="37">
        <v>19</v>
      </c>
      <c r="J43" s="37">
        <v>98</v>
      </c>
      <c r="K43" s="37">
        <v>118</v>
      </c>
      <c r="L43" s="38">
        <v>118</v>
      </c>
      <c r="M43" s="36">
        <v>11</v>
      </c>
      <c r="N43" s="37">
        <v>13</v>
      </c>
      <c r="O43" s="37">
        <v>15</v>
      </c>
      <c r="P43" s="37">
        <v>17</v>
      </c>
      <c r="Q43" s="37">
        <v>21</v>
      </c>
      <c r="R43" s="37">
        <v>24</v>
      </c>
      <c r="S43" s="37">
        <v>22</v>
      </c>
      <c r="T43" s="38">
        <v>23</v>
      </c>
    </row>
    <row r="44" spans="2:20" ht="15" customHeight="1">
      <c r="B44" s="93"/>
      <c r="C44" s="96"/>
      <c r="D44" s="5">
        <v>0.5</v>
      </c>
      <c r="E44" s="39">
        <v>11</v>
      </c>
      <c r="F44" s="40">
        <v>13</v>
      </c>
      <c r="G44" s="40">
        <v>15</v>
      </c>
      <c r="H44" s="40">
        <v>17</v>
      </c>
      <c r="I44" s="40">
        <v>175</v>
      </c>
      <c r="J44" s="40">
        <v>482</v>
      </c>
      <c r="K44" s="40">
        <v>1080</v>
      </c>
      <c r="L44" s="41">
        <v>3696</v>
      </c>
      <c r="M44" s="39">
        <v>12</v>
      </c>
      <c r="N44" s="40">
        <v>13</v>
      </c>
      <c r="O44" s="40">
        <v>15</v>
      </c>
      <c r="P44" s="40">
        <v>18</v>
      </c>
      <c r="Q44" s="40">
        <v>135</v>
      </c>
      <c r="R44" s="40">
        <v>478</v>
      </c>
      <c r="S44" s="40">
        <v>1032</v>
      </c>
      <c r="T44" s="41">
        <v>4256</v>
      </c>
    </row>
    <row r="45" spans="2:20" ht="15" customHeight="1">
      <c r="B45" s="93"/>
      <c r="C45" s="96"/>
      <c r="D45" s="5">
        <v>0.75</v>
      </c>
      <c r="E45" s="39">
        <v>11</v>
      </c>
      <c r="F45" s="40">
        <v>13</v>
      </c>
      <c r="G45" s="40">
        <v>15</v>
      </c>
      <c r="H45" s="40">
        <v>121</v>
      </c>
      <c r="I45" s="40">
        <v>245</v>
      </c>
      <c r="J45" s="40">
        <v>490</v>
      </c>
      <c r="K45" s="40">
        <v>980</v>
      </c>
      <c r="L45" s="41">
        <v>3856</v>
      </c>
      <c r="M45" s="39">
        <v>13</v>
      </c>
      <c r="N45" s="40">
        <v>14</v>
      </c>
      <c r="O45" s="40">
        <v>15</v>
      </c>
      <c r="P45" s="40">
        <v>119</v>
      </c>
      <c r="Q45" s="40">
        <v>270</v>
      </c>
      <c r="R45" s="40">
        <v>540</v>
      </c>
      <c r="S45" s="40">
        <v>1080</v>
      </c>
      <c r="T45" s="41">
        <v>4320</v>
      </c>
    </row>
    <row r="46" spans="2:20" ht="15" customHeight="1" thickBot="1">
      <c r="B46" s="93"/>
      <c r="C46" s="97"/>
      <c r="D46" s="6">
        <v>1</v>
      </c>
      <c r="E46" s="42">
        <v>11</v>
      </c>
      <c r="F46" s="43">
        <v>30</v>
      </c>
      <c r="G46" s="43">
        <v>61</v>
      </c>
      <c r="H46" s="43">
        <v>122</v>
      </c>
      <c r="I46" s="43">
        <v>245</v>
      </c>
      <c r="J46" s="43">
        <v>490</v>
      </c>
      <c r="K46" s="43">
        <v>988</v>
      </c>
      <c r="L46" s="44">
        <v>3888</v>
      </c>
      <c r="M46" s="42">
        <v>11</v>
      </c>
      <c r="N46" s="43">
        <v>21</v>
      </c>
      <c r="O46" s="43">
        <v>43</v>
      </c>
      <c r="P46" s="43">
        <v>87</v>
      </c>
      <c r="Q46" s="43">
        <v>175</v>
      </c>
      <c r="R46" s="43">
        <v>350</v>
      </c>
      <c r="S46" s="43">
        <v>700</v>
      </c>
      <c r="T46" s="44">
        <v>2832</v>
      </c>
    </row>
    <row r="47" spans="2:20" ht="15" customHeight="1">
      <c r="B47" s="93"/>
      <c r="C47" s="98" t="s">
        <v>7</v>
      </c>
      <c r="D47" s="4">
        <v>0.25</v>
      </c>
      <c r="E47" s="36">
        <v>16</v>
      </c>
      <c r="F47" s="37">
        <v>17</v>
      </c>
      <c r="G47" s="37">
        <v>19</v>
      </c>
      <c r="H47" s="37">
        <v>23</v>
      </c>
      <c r="I47" s="37">
        <v>27</v>
      </c>
      <c r="J47" s="37">
        <v>183</v>
      </c>
      <c r="K47" s="37">
        <v>229</v>
      </c>
      <c r="L47" s="38">
        <v>229</v>
      </c>
      <c r="M47" s="36">
        <v>27</v>
      </c>
      <c r="N47" s="37">
        <v>30</v>
      </c>
      <c r="O47" s="37">
        <v>27</v>
      </c>
      <c r="P47" s="37">
        <v>23</v>
      </c>
      <c r="Q47" s="37">
        <v>29</v>
      </c>
      <c r="R47" s="37">
        <v>36</v>
      </c>
      <c r="S47" s="37">
        <v>112</v>
      </c>
      <c r="T47" s="38">
        <v>438</v>
      </c>
    </row>
    <row r="48" spans="2:20" ht="15" customHeight="1">
      <c r="B48" s="93"/>
      <c r="C48" s="96"/>
      <c r="D48" s="5">
        <v>0.5</v>
      </c>
      <c r="E48" s="39">
        <v>16</v>
      </c>
      <c r="F48" s="40">
        <v>17</v>
      </c>
      <c r="G48" s="40">
        <v>20</v>
      </c>
      <c r="H48" s="40">
        <v>23</v>
      </c>
      <c r="I48" s="40">
        <v>227</v>
      </c>
      <c r="J48" s="40">
        <v>604</v>
      </c>
      <c r="K48" s="40">
        <v>1288</v>
      </c>
      <c r="L48" s="41">
        <v>3888</v>
      </c>
      <c r="M48" s="39">
        <v>30</v>
      </c>
      <c r="N48" s="40">
        <v>33</v>
      </c>
      <c r="O48" s="40">
        <v>28</v>
      </c>
      <c r="P48" s="40">
        <v>24</v>
      </c>
      <c r="Q48" s="40">
        <v>239</v>
      </c>
      <c r="R48" s="40">
        <v>532</v>
      </c>
      <c r="S48" s="40">
        <v>1080</v>
      </c>
      <c r="T48" s="41">
        <v>4384</v>
      </c>
    </row>
    <row r="49" spans="2:20" ht="15" customHeight="1">
      <c r="B49" s="93"/>
      <c r="C49" s="96"/>
      <c r="D49" s="5">
        <v>0.75</v>
      </c>
      <c r="E49" s="39">
        <v>16</v>
      </c>
      <c r="F49" s="40">
        <v>18</v>
      </c>
      <c r="G49" s="40">
        <v>20</v>
      </c>
      <c r="H49" s="40">
        <v>125</v>
      </c>
      <c r="I49" s="40">
        <v>249</v>
      </c>
      <c r="J49" s="40">
        <v>494</v>
      </c>
      <c r="K49" s="40">
        <v>988</v>
      </c>
      <c r="L49" s="41">
        <v>3920</v>
      </c>
      <c r="M49" s="39">
        <v>30</v>
      </c>
      <c r="N49" s="40">
        <v>34</v>
      </c>
      <c r="O49" s="40">
        <v>30</v>
      </c>
      <c r="P49" s="40">
        <v>139</v>
      </c>
      <c r="Q49" s="40">
        <v>278</v>
      </c>
      <c r="R49" s="40">
        <v>548</v>
      </c>
      <c r="S49" s="40">
        <v>1096</v>
      </c>
      <c r="T49" s="41">
        <v>4320</v>
      </c>
    </row>
    <row r="50" spans="2:20" ht="15" customHeight="1" thickBot="1">
      <c r="B50" s="93"/>
      <c r="C50" s="97"/>
      <c r="D50" s="6">
        <v>1</v>
      </c>
      <c r="E50" s="42">
        <v>16</v>
      </c>
      <c r="F50" s="43">
        <v>32</v>
      </c>
      <c r="G50" s="43">
        <v>64</v>
      </c>
      <c r="H50" s="43">
        <v>131</v>
      </c>
      <c r="I50" s="43">
        <v>258</v>
      </c>
      <c r="J50" s="43">
        <v>516</v>
      </c>
      <c r="K50" s="43">
        <v>1012</v>
      </c>
      <c r="L50" s="44">
        <v>3920</v>
      </c>
      <c r="M50" s="42">
        <v>16</v>
      </c>
      <c r="N50" s="43">
        <v>23</v>
      </c>
      <c r="O50" s="43">
        <v>45</v>
      </c>
      <c r="P50" s="43">
        <v>89</v>
      </c>
      <c r="Q50" s="43">
        <v>177</v>
      </c>
      <c r="R50" s="43">
        <v>354</v>
      </c>
      <c r="S50" s="43">
        <v>708</v>
      </c>
      <c r="T50" s="44">
        <v>2832</v>
      </c>
    </row>
    <row r="51" spans="2:20" ht="15" customHeight="1">
      <c r="B51" s="93"/>
      <c r="C51" s="98" t="s">
        <v>8</v>
      </c>
      <c r="D51" s="4">
        <v>0.25</v>
      </c>
      <c r="E51" s="24">
        <v>4750</v>
      </c>
      <c r="F51" s="25">
        <v>9018</v>
      </c>
      <c r="G51" s="25">
        <v>16418</v>
      </c>
      <c r="H51" s="25">
        <v>27455</v>
      </c>
      <c r="I51" s="25">
        <v>38529</v>
      </c>
      <c r="J51" s="25">
        <v>43971</v>
      </c>
      <c r="K51" s="25">
        <v>43947</v>
      </c>
      <c r="L51" s="26">
        <v>43959</v>
      </c>
      <c r="M51" s="24">
        <v>4762</v>
      </c>
      <c r="N51" s="25">
        <v>9132</v>
      </c>
      <c r="O51" s="25">
        <v>16951</v>
      </c>
      <c r="P51" s="25">
        <v>29699</v>
      </c>
      <c r="Q51" s="25">
        <v>45941</v>
      </c>
      <c r="R51" s="25">
        <v>59247</v>
      </c>
      <c r="S51" s="25">
        <v>59510</v>
      </c>
      <c r="T51" s="26">
        <v>59531</v>
      </c>
    </row>
    <row r="52" spans="2:20" ht="15" customHeight="1">
      <c r="B52" s="93"/>
      <c r="C52" s="96"/>
      <c r="D52" s="5">
        <v>0.5</v>
      </c>
      <c r="E52" s="27">
        <v>12162</v>
      </c>
      <c r="F52" s="28">
        <v>22309</v>
      </c>
      <c r="G52" s="28">
        <v>37738</v>
      </c>
      <c r="H52" s="28">
        <v>55078</v>
      </c>
      <c r="I52" s="28">
        <v>63620</v>
      </c>
      <c r="J52" s="28">
        <v>63551</v>
      </c>
      <c r="K52" s="28">
        <v>63604</v>
      </c>
      <c r="L52" s="29">
        <v>67462</v>
      </c>
      <c r="M52" s="27">
        <v>12269</v>
      </c>
      <c r="N52" s="28">
        <v>22750</v>
      </c>
      <c r="O52" s="28">
        <v>39749</v>
      </c>
      <c r="P52" s="28">
        <v>61801</v>
      </c>
      <c r="Q52" s="28">
        <v>82224</v>
      </c>
      <c r="R52" s="28">
        <v>81417</v>
      </c>
      <c r="S52" s="28">
        <v>81572</v>
      </c>
      <c r="T52" s="29">
        <v>81413</v>
      </c>
    </row>
    <row r="53" spans="2:20" ht="15" customHeight="1">
      <c r="B53" s="93"/>
      <c r="C53" s="96"/>
      <c r="D53" s="5">
        <v>0.75</v>
      </c>
      <c r="E53" s="27">
        <v>26283</v>
      </c>
      <c r="F53" s="28">
        <v>45441</v>
      </c>
      <c r="G53" s="28">
        <v>69896</v>
      </c>
      <c r="H53" s="28">
        <v>78238</v>
      </c>
      <c r="I53" s="28">
        <v>78193</v>
      </c>
      <c r="J53" s="28">
        <v>78304</v>
      </c>
      <c r="K53" s="28">
        <v>78173</v>
      </c>
      <c r="L53" s="29">
        <v>79227</v>
      </c>
      <c r="M53" s="27">
        <v>26543</v>
      </c>
      <c r="N53" s="28">
        <v>46704</v>
      </c>
      <c r="O53" s="28">
        <v>73952</v>
      </c>
      <c r="P53" s="28">
        <v>96083</v>
      </c>
      <c r="Q53" s="28">
        <v>95916</v>
      </c>
      <c r="R53" s="28">
        <v>96033</v>
      </c>
      <c r="S53" s="28">
        <v>95977</v>
      </c>
      <c r="T53" s="29">
        <v>95905</v>
      </c>
    </row>
    <row r="54" spans="2:20" ht="15" customHeight="1" thickBot="1">
      <c r="B54" s="94"/>
      <c r="C54" s="97"/>
      <c r="D54" s="6">
        <v>1</v>
      </c>
      <c r="E54" s="30">
        <v>87565</v>
      </c>
      <c r="F54" s="31">
        <v>90509</v>
      </c>
      <c r="G54" s="31">
        <v>90547</v>
      </c>
      <c r="H54" s="31">
        <v>90387</v>
      </c>
      <c r="I54" s="31">
        <v>90534</v>
      </c>
      <c r="J54" s="31">
        <v>90557</v>
      </c>
      <c r="K54" s="31">
        <v>90516</v>
      </c>
      <c r="L54" s="32">
        <v>90534</v>
      </c>
      <c r="M54" s="30">
        <v>87609</v>
      </c>
      <c r="N54" s="31">
        <v>90886</v>
      </c>
      <c r="O54" s="31">
        <v>90886</v>
      </c>
      <c r="P54" s="31">
        <v>90886</v>
      </c>
      <c r="Q54" s="31">
        <v>90886</v>
      </c>
      <c r="R54" s="31">
        <v>90886</v>
      </c>
      <c r="S54" s="31">
        <v>90886</v>
      </c>
      <c r="T54" s="32">
        <v>90886</v>
      </c>
    </row>
  </sheetData>
  <mergeCells count="36">
    <mergeCell ref="AG2:AN2"/>
    <mergeCell ref="B2:D3"/>
    <mergeCell ref="E2:L2"/>
    <mergeCell ref="M2:T2"/>
    <mergeCell ref="V2:X3"/>
    <mergeCell ref="Y2:AF2"/>
    <mergeCell ref="B4:B15"/>
    <mergeCell ref="C4:C7"/>
    <mergeCell ref="V4:V15"/>
    <mergeCell ref="W4:W7"/>
    <mergeCell ref="C8:C11"/>
    <mergeCell ref="W8:W11"/>
    <mergeCell ref="C12:C15"/>
    <mergeCell ref="W12:W15"/>
    <mergeCell ref="B16:B27"/>
    <mergeCell ref="C16:C19"/>
    <mergeCell ref="V16:V27"/>
    <mergeCell ref="W16:W19"/>
    <mergeCell ref="C20:C23"/>
    <mergeCell ref="W20:W23"/>
    <mergeCell ref="C24:C27"/>
    <mergeCell ref="W24:W27"/>
    <mergeCell ref="E29:L29"/>
    <mergeCell ref="M29:T29"/>
    <mergeCell ref="X29:AB29"/>
    <mergeCell ref="X30:AB30"/>
    <mergeCell ref="B31:B42"/>
    <mergeCell ref="C31:C34"/>
    <mergeCell ref="X31:AB31"/>
    <mergeCell ref="C35:C38"/>
    <mergeCell ref="C39:C42"/>
    <mergeCell ref="B43:B54"/>
    <mergeCell ref="C43:C46"/>
    <mergeCell ref="C47:C50"/>
    <mergeCell ref="C51:C54"/>
    <mergeCell ref="B29:D30"/>
  </mergeCells>
  <phoneticPr fontId="1" type="noConversion"/>
  <conditionalFormatting sqref="W29">
    <cfRule type="cellIs" dxfId="124" priority="14" operator="lessThan">
      <formula>0.8</formula>
    </cfRule>
  </conditionalFormatting>
  <conditionalFormatting sqref="W30:W31">
    <cfRule type="cellIs" dxfId="123" priority="13" operator="lessThan">
      <formula>0.8</formula>
    </cfRule>
  </conditionalFormatting>
  <conditionalFormatting sqref="E4:T11">
    <cfRule type="expression" dxfId="122" priority="11">
      <formula>Y4&gt;1.1</formula>
    </cfRule>
  </conditionalFormatting>
  <conditionalFormatting sqref="E16:T23">
    <cfRule type="expression" dxfId="121" priority="12">
      <formula>Y16&gt;1.1</formula>
    </cfRule>
  </conditionalFormatting>
  <conditionalFormatting sqref="E31:T38">
    <cfRule type="expression" dxfId="120" priority="5">
      <formula>Y4&gt;1.1</formula>
    </cfRule>
  </conditionalFormatting>
  <conditionalFormatting sqref="E43:T50">
    <cfRule type="expression" dxfId="119" priority="4">
      <formula>Y16&gt;1.1</formula>
    </cfRule>
  </conditionalFormatting>
  <conditionalFormatting sqref="Y4:AN11 Y19:AN19 AD16:AH16 AC17:AH17 Y16:Z18 AB18:AN18 Y23:AN23 AD20:AG20 AL20:AN20 Y20:Z21 AK21:AN21 AL16:AN16 AK17:AN17 AB21:AF21 Y22:AF22 AJ22:AN22">
    <cfRule type="cellIs" dxfId="118" priority="2" operator="lessThan">
      <formula>0.9</formula>
    </cfRule>
    <cfRule type="cellIs" dxfId="117" priority="3" operator="greaterThan">
      <formula>1.1</formula>
    </cfRule>
  </conditionalFormatting>
  <conditionalFormatting sqref="Y12:AN15 Y24:AN27">
    <cfRule type="cellIs" dxfId="116" priority="1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R54"/>
  <sheetViews>
    <sheetView showGridLines="0" zoomScale="70" zoomScaleNormal="70" workbookViewId="0">
      <selection activeCell="B2" sqref="B2:AF54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1.69921875" style="11" customWidth="1"/>
    <col min="5" max="22" width="6.59765625" style="11" customWidth="1"/>
    <col min="23" max="23" width="3.09765625" style="11" customWidth="1"/>
    <col min="24" max="24" width="13.09765625" style="11" customWidth="1"/>
    <col min="25" max="25" width="11" style="11" bestFit="1" customWidth="1"/>
    <col min="26" max="26" width="11.5" style="11" customWidth="1"/>
    <col min="27" max="44" width="6.59765625" style="11" customWidth="1"/>
    <col min="45" max="16384" width="9" style="11"/>
  </cols>
  <sheetData>
    <row r="1" spans="2:44" ht="15" customHeight="1" thickBot="1"/>
    <row r="2" spans="2:44" ht="15" customHeight="1">
      <c r="B2" s="99" t="s">
        <v>71</v>
      </c>
      <c r="C2" s="118"/>
      <c r="D2" s="119"/>
      <c r="E2" s="83" t="s">
        <v>14</v>
      </c>
      <c r="F2" s="84"/>
      <c r="G2" s="84"/>
      <c r="H2" s="84"/>
      <c r="I2" s="84"/>
      <c r="J2" s="84"/>
      <c r="K2" s="84"/>
      <c r="L2" s="84"/>
      <c r="M2" s="85"/>
      <c r="N2" s="83" t="s">
        <v>24</v>
      </c>
      <c r="O2" s="84"/>
      <c r="P2" s="84"/>
      <c r="Q2" s="84"/>
      <c r="R2" s="84"/>
      <c r="S2" s="84"/>
      <c r="T2" s="84"/>
      <c r="U2" s="84"/>
      <c r="V2" s="85"/>
      <c r="X2" s="105" t="str">
        <f>CONCATENATE(B2, CHAR(10), "vs ", B29)</f>
        <v>PM983a_EDW73F2Q_20191110_TH4
vs PM9A3_GEA70F23_20201229_TH4</v>
      </c>
      <c r="Y2" s="106"/>
      <c r="Z2" s="106"/>
      <c r="AA2" s="83" t="s">
        <v>14</v>
      </c>
      <c r="AB2" s="84"/>
      <c r="AC2" s="84"/>
      <c r="AD2" s="84"/>
      <c r="AE2" s="84"/>
      <c r="AF2" s="84"/>
      <c r="AG2" s="84"/>
      <c r="AH2" s="84"/>
      <c r="AI2" s="85"/>
      <c r="AJ2" s="83" t="s">
        <v>24</v>
      </c>
      <c r="AK2" s="84"/>
      <c r="AL2" s="84"/>
      <c r="AM2" s="84"/>
      <c r="AN2" s="84"/>
      <c r="AO2" s="84"/>
      <c r="AP2" s="84"/>
      <c r="AQ2" s="84"/>
      <c r="AR2" s="85"/>
    </row>
    <row r="3" spans="2:44" ht="20.25" customHeight="1" thickBot="1">
      <c r="B3" s="120"/>
      <c r="C3" s="121"/>
      <c r="D3" s="122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2" t="s">
        <v>23</v>
      </c>
      <c r="M3" s="3" t="s">
        <v>17</v>
      </c>
      <c r="N3" s="1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18</v>
      </c>
      <c r="T3" s="2" t="s">
        <v>16</v>
      </c>
      <c r="U3" s="2" t="s">
        <v>23</v>
      </c>
      <c r="V3" s="3" t="s">
        <v>17</v>
      </c>
      <c r="X3" s="107"/>
      <c r="Y3" s="108"/>
      <c r="Z3" s="108"/>
      <c r="AA3" s="1" t="s">
        <v>0</v>
      </c>
      <c r="AB3" s="2" t="s">
        <v>1</v>
      </c>
      <c r="AC3" s="2" t="s">
        <v>2</v>
      </c>
      <c r="AD3" s="2" t="s">
        <v>3</v>
      </c>
      <c r="AE3" s="2" t="s">
        <v>4</v>
      </c>
      <c r="AF3" s="2" t="s">
        <v>18</v>
      </c>
      <c r="AG3" s="2" t="s">
        <v>16</v>
      </c>
      <c r="AH3" s="2" t="s">
        <v>23</v>
      </c>
      <c r="AI3" s="3" t="s">
        <v>17</v>
      </c>
      <c r="AJ3" s="1" t="s">
        <v>0</v>
      </c>
      <c r="AK3" s="2" t="s">
        <v>1</v>
      </c>
      <c r="AL3" s="2" t="s">
        <v>2</v>
      </c>
      <c r="AM3" s="2" t="s">
        <v>3</v>
      </c>
      <c r="AN3" s="2" t="s">
        <v>4</v>
      </c>
      <c r="AO3" s="2" t="s">
        <v>18</v>
      </c>
      <c r="AP3" s="2" t="s">
        <v>16</v>
      </c>
      <c r="AQ3" s="2" t="s">
        <v>23</v>
      </c>
      <c r="AR3" s="3" t="s">
        <v>17</v>
      </c>
    </row>
    <row r="4" spans="2:44" ht="15" customHeight="1">
      <c r="B4" s="92" t="s">
        <v>5</v>
      </c>
      <c r="C4" s="98" t="s">
        <v>6</v>
      </c>
      <c r="D4" s="4">
        <v>0.25</v>
      </c>
      <c r="E4" s="24">
        <v>660</v>
      </c>
      <c r="F4" s="25">
        <v>708</v>
      </c>
      <c r="G4" s="25">
        <v>812</v>
      </c>
      <c r="H4" s="25">
        <v>1064</v>
      </c>
      <c r="I4" s="25">
        <v>1704</v>
      </c>
      <c r="J4" s="25">
        <v>3856</v>
      </c>
      <c r="K4" s="25">
        <v>8512</v>
      </c>
      <c r="L4" s="25">
        <v>19328</v>
      </c>
      <c r="M4" s="26">
        <v>43776</v>
      </c>
      <c r="N4" s="24">
        <v>1064</v>
      </c>
      <c r="O4" s="25">
        <v>1112</v>
      </c>
      <c r="P4" s="25">
        <v>1176</v>
      </c>
      <c r="Q4" s="25">
        <v>1336</v>
      </c>
      <c r="R4" s="25">
        <v>1688</v>
      </c>
      <c r="S4" s="25">
        <v>3024</v>
      </c>
      <c r="T4" s="25">
        <v>6432</v>
      </c>
      <c r="U4" s="25">
        <v>14656</v>
      </c>
      <c r="V4" s="26">
        <v>32128</v>
      </c>
      <c r="X4" s="92" t="s">
        <v>5</v>
      </c>
      <c r="Y4" s="95" t="s">
        <v>6</v>
      </c>
      <c r="Z4" s="7">
        <v>0.25</v>
      </c>
      <c r="AA4" s="15">
        <f t="shared" ref="AA4:AP19" si="0">E31/E4</f>
        <v>0.57878787878787874</v>
      </c>
      <c r="AB4" s="16">
        <f t="shared" si="0"/>
        <v>0.59039548022598876</v>
      </c>
      <c r="AC4" s="16">
        <f t="shared" si="0"/>
        <v>0.53448275862068961</v>
      </c>
      <c r="AD4" s="16">
        <f t="shared" si="0"/>
        <v>0.41541353383458646</v>
      </c>
      <c r="AE4" s="16">
        <f t="shared" si="0"/>
        <v>0.26173708920187794</v>
      </c>
      <c r="AF4" s="16">
        <f t="shared" si="0"/>
        <v>0.11566390041493776</v>
      </c>
      <c r="AG4" s="16">
        <f t="shared" si="0"/>
        <v>0.19830827067669174</v>
      </c>
      <c r="AH4" s="16">
        <f t="shared" si="0"/>
        <v>0.41887417218543044</v>
      </c>
      <c r="AI4" s="17">
        <f t="shared" si="0"/>
        <v>0.51169590643274854</v>
      </c>
      <c r="AJ4" s="15">
        <f t="shared" si="0"/>
        <v>0.46052631578947367</v>
      </c>
      <c r="AK4" s="16">
        <f t="shared" si="0"/>
        <v>0.5</v>
      </c>
      <c r="AL4" s="16">
        <f t="shared" si="0"/>
        <v>0.50680272108843538</v>
      </c>
      <c r="AM4" s="16">
        <f t="shared" si="0"/>
        <v>0.46407185628742514</v>
      </c>
      <c r="AN4" s="16">
        <f t="shared" si="0"/>
        <v>0.37203791469194314</v>
      </c>
      <c r="AO4" s="16">
        <f t="shared" si="0"/>
        <v>0.21031746031746032</v>
      </c>
      <c r="AP4" s="16">
        <f t="shared" si="0"/>
        <v>9.8880597014925367E-2</v>
      </c>
      <c r="AQ4" s="16">
        <f t="shared" ref="AD4:AR19" si="1">U31/U4</f>
        <v>0.48689956331877732</v>
      </c>
      <c r="AR4" s="17">
        <f t="shared" si="1"/>
        <v>0.61752988047808766</v>
      </c>
    </row>
    <row r="5" spans="2:44" ht="15" customHeight="1">
      <c r="B5" s="93"/>
      <c r="C5" s="96"/>
      <c r="D5" s="5">
        <v>0.5</v>
      </c>
      <c r="E5" s="27">
        <v>524</v>
      </c>
      <c r="F5" s="28">
        <v>604</v>
      </c>
      <c r="G5" s="28">
        <v>708</v>
      </c>
      <c r="H5" s="28">
        <v>916</v>
      </c>
      <c r="I5" s="28">
        <v>1416</v>
      </c>
      <c r="J5" s="28">
        <v>3056</v>
      </c>
      <c r="K5" s="28">
        <v>6880</v>
      </c>
      <c r="L5" s="28">
        <v>15552</v>
      </c>
      <c r="M5" s="29">
        <v>34560</v>
      </c>
      <c r="N5" s="27">
        <v>876</v>
      </c>
      <c r="O5" s="28">
        <v>956</v>
      </c>
      <c r="P5" s="28">
        <v>1032</v>
      </c>
      <c r="Q5" s="28">
        <v>1144</v>
      </c>
      <c r="R5" s="28">
        <v>1400</v>
      </c>
      <c r="S5" s="28">
        <v>2224</v>
      </c>
      <c r="T5" s="28">
        <v>4832</v>
      </c>
      <c r="U5" s="28">
        <v>10688</v>
      </c>
      <c r="V5" s="29">
        <v>23680</v>
      </c>
      <c r="X5" s="93"/>
      <c r="Y5" s="96"/>
      <c r="Z5" s="5">
        <v>0.5</v>
      </c>
      <c r="AA5" s="18">
        <f t="shared" si="0"/>
        <v>0.59160305343511455</v>
      </c>
      <c r="AB5" s="12">
        <f t="shared" si="0"/>
        <v>0.6258278145695364</v>
      </c>
      <c r="AC5" s="12">
        <f t="shared" si="0"/>
        <v>0.61864406779661019</v>
      </c>
      <c r="AD5" s="12">
        <f t="shared" si="0"/>
        <v>0.49126637554585151</v>
      </c>
      <c r="AE5" s="12">
        <f t="shared" si="0"/>
        <v>0.32062146892655369</v>
      </c>
      <c r="AF5" s="12">
        <f t="shared" si="0"/>
        <v>0.14856020942408377</v>
      </c>
      <c r="AG5" s="12">
        <f t="shared" si="0"/>
        <v>0.25465116279069766</v>
      </c>
      <c r="AH5" s="12">
        <f t="shared" si="0"/>
        <v>0.42592592592592593</v>
      </c>
      <c r="AI5" s="19">
        <f t="shared" si="0"/>
        <v>0.50740740740740742</v>
      </c>
      <c r="AJ5" s="18">
        <f t="shared" si="0"/>
        <v>0.4178082191780822</v>
      </c>
      <c r="AK5" s="12">
        <f t="shared" si="0"/>
        <v>0.4874476987447699</v>
      </c>
      <c r="AL5" s="12">
        <f t="shared" si="0"/>
        <v>0.55426356589147285</v>
      </c>
      <c r="AM5" s="12">
        <f t="shared" si="0"/>
        <v>0.56993006993006989</v>
      </c>
      <c r="AN5" s="12">
        <f t="shared" si="0"/>
        <v>0.54</v>
      </c>
      <c r="AO5" s="12">
        <f t="shared" si="0"/>
        <v>0.39388489208633093</v>
      </c>
      <c r="AP5" s="12">
        <f t="shared" si="0"/>
        <v>0.1945364238410596</v>
      </c>
      <c r="AQ5" s="12">
        <f t="shared" si="1"/>
        <v>0.51796407185628746</v>
      </c>
      <c r="AR5" s="19">
        <f t="shared" si="1"/>
        <v>0.7189189189189189</v>
      </c>
    </row>
    <row r="6" spans="2:44" ht="15" customHeight="1">
      <c r="B6" s="93"/>
      <c r="C6" s="96"/>
      <c r="D6" s="5">
        <v>0.75</v>
      </c>
      <c r="E6" s="27">
        <v>434</v>
      </c>
      <c r="F6" s="28">
        <v>498</v>
      </c>
      <c r="G6" s="28">
        <v>572</v>
      </c>
      <c r="H6" s="28">
        <v>748</v>
      </c>
      <c r="I6" s="28">
        <v>1080</v>
      </c>
      <c r="J6" s="28">
        <v>2064</v>
      </c>
      <c r="K6" s="28">
        <v>4896</v>
      </c>
      <c r="L6" s="28">
        <v>10560</v>
      </c>
      <c r="M6" s="29">
        <v>21888</v>
      </c>
      <c r="N6" s="27">
        <v>604</v>
      </c>
      <c r="O6" s="28">
        <v>732</v>
      </c>
      <c r="P6" s="28">
        <v>844</v>
      </c>
      <c r="Q6" s="28">
        <v>964</v>
      </c>
      <c r="R6" s="28">
        <v>1176</v>
      </c>
      <c r="S6" s="28">
        <v>1624</v>
      </c>
      <c r="T6" s="28">
        <v>3408</v>
      </c>
      <c r="U6" s="28">
        <v>7520</v>
      </c>
      <c r="V6" s="29">
        <v>16192</v>
      </c>
      <c r="X6" s="93"/>
      <c r="Y6" s="96"/>
      <c r="Z6" s="5">
        <v>0.75</v>
      </c>
      <c r="AA6" s="18">
        <f t="shared" si="0"/>
        <v>0.59447004608294929</v>
      </c>
      <c r="AB6" s="12">
        <f t="shared" si="0"/>
        <v>0.63052208835341361</v>
      </c>
      <c r="AC6" s="12">
        <f t="shared" si="0"/>
        <v>0.69580419580419584</v>
      </c>
      <c r="AD6" s="12">
        <f t="shared" si="0"/>
        <v>0.71122994652406413</v>
      </c>
      <c r="AE6" s="12">
        <f t="shared" si="0"/>
        <v>0.73703703703703705</v>
      </c>
      <c r="AF6" s="12">
        <f t="shared" si="0"/>
        <v>0.63178294573643412</v>
      </c>
      <c r="AG6" s="12">
        <f t="shared" si="0"/>
        <v>0.4673202614379085</v>
      </c>
      <c r="AH6" s="12">
        <f t="shared" si="0"/>
        <v>0.6393939393939394</v>
      </c>
      <c r="AI6" s="19">
        <f t="shared" si="0"/>
        <v>0.70467836257309946</v>
      </c>
      <c r="AJ6" s="18">
        <f t="shared" si="0"/>
        <v>0.44701986754966888</v>
      </c>
      <c r="AK6" s="12">
        <f t="shared" si="0"/>
        <v>0.47267759562841533</v>
      </c>
      <c r="AL6" s="12">
        <f t="shared" si="0"/>
        <v>0.52843601895734593</v>
      </c>
      <c r="AM6" s="12">
        <f t="shared" si="0"/>
        <v>0.60995850622406644</v>
      </c>
      <c r="AN6" s="12">
        <f t="shared" si="0"/>
        <v>0.72448979591836737</v>
      </c>
      <c r="AO6" s="12">
        <f t="shared" si="0"/>
        <v>0.7931034482758621</v>
      </c>
      <c r="AP6" s="12">
        <f t="shared" si="0"/>
        <v>0.60563380281690138</v>
      </c>
      <c r="AQ6" s="12">
        <f t="shared" si="1"/>
        <v>0.7021276595744681</v>
      </c>
      <c r="AR6" s="19">
        <f t="shared" si="1"/>
        <v>0.69960474308300391</v>
      </c>
    </row>
    <row r="7" spans="2:44" ht="15" customHeight="1" thickBot="1">
      <c r="B7" s="93"/>
      <c r="C7" s="97"/>
      <c r="D7" s="6">
        <v>1</v>
      </c>
      <c r="E7" s="30">
        <v>139</v>
      </c>
      <c r="F7" s="31">
        <v>159</v>
      </c>
      <c r="G7" s="31">
        <v>201</v>
      </c>
      <c r="H7" s="31">
        <v>294</v>
      </c>
      <c r="I7" s="31">
        <v>540</v>
      </c>
      <c r="J7" s="31">
        <v>1064</v>
      </c>
      <c r="K7" s="31">
        <v>1496</v>
      </c>
      <c r="L7" s="31">
        <v>3408</v>
      </c>
      <c r="M7" s="32">
        <v>7392</v>
      </c>
      <c r="N7" s="30">
        <v>119</v>
      </c>
      <c r="O7" s="31">
        <v>135</v>
      </c>
      <c r="P7" s="31">
        <v>159</v>
      </c>
      <c r="Q7" s="31">
        <v>211</v>
      </c>
      <c r="R7" s="31">
        <v>334</v>
      </c>
      <c r="S7" s="31">
        <v>644</v>
      </c>
      <c r="T7" s="31">
        <v>1224</v>
      </c>
      <c r="U7" s="31">
        <v>3056</v>
      </c>
      <c r="V7" s="32">
        <v>6560</v>
      </c>
      <c r="X7" s="93"/>
      <c r="Y7" s="97"/>
      <c r="Z7" s="6">
        <v>1</v>
      </c>
      <c r="AA7" s="20">
        <f t="shared" si="0"/>
        <v>0.76258992805755399</v>
      </c>
      <c r="AB7" s="21">
        <f t="shared" si="0"/>
        <v>0.75471698113207553</v>
      </c>
      <c r="AC7" s="21">
        <f t="shared" si="0"/>
        <v>0.79104477611940294</v>
      </c>
      <c r="AD7" s="21">
        <f t="shared" si="0"/>
        <v>0.82653061224489799</v>
      </c>
      <c r="AE7" s="21">
        <f t="shared" si="0"/>
        <v>0.82592592592592595</v>
      </c>
      <c r="AF7" s="21">
        <f t="shared" si="0"/>
        <v>0.84586466165413532</v>
      </c>
      <c r="AG7" s="21">
        <f t="shared" si="0"/>
        <v>1.1390374331550801</v>
      </c>
      <c r="AH7" s="21">
        <f t="shared" si="0"/>
        <v>0.84037558685446012</v>
      </c>
      <c r="AI7" s="22">
        <f t="shared" si="0"/>
        <v>0.87012987012987009</v>
      </c>
      <c r="AJ7" s="20">
        <f t="shared" si="0"/>
        <v>0.82352941176470584</v>
      </c>
      <c r="AK7" s="21">
        <f t="shared" si="0"/>
        <v>0.8</v>
      </c>
      <c r="AL7" s="21">
        <f t="shared" si="0"/>
        <v>0.78616352201257866</v>
      </c>
      <c r="AM7" s="21">
        <f t="shared" si="0"/>
        <v>0.78199052132701419</v>
      </c>
      <c r="AN7" s="21">
        <f t="shared" si="0"/>
        <v>0.77245508982035926</v>
      </c>
      <c r="AO7" s="21">
        <f t="shared" si="0"/>
        <v>0.75465838509316774</v>
      </c>
      <c r="AP7" s="21">
        <f t="shared" si="0"/>
        <v>0.74183006535947715</v>
      </c>
      <c r="AQ7" s="21">
        <f t="shared" si="1"/>
        <v>0.57329842931937169</v>
      </c>
      <c r="AR7" s="22">
        <f t="shared" si="1"/>
        <v>0.60243902439024388</v>
      </c>
    </row>
    <row r="8" spans="2:44" ht="15" customHeight="1">
      <c r="B8" s="93"/>
      <c r="C8" s="98" t="s">
        <v>7</v>
      </c>
      <c r="D8" s="4">
        <v>0.25</v>
      </c>
      <c r="E8" s="24">
        <v>1160</v>
      </c>
      <c r="F8" s="25">
        <v>1208</v>
      </c>
      <c r="G8" s="25">
        <v>1304</v>
      </c>
      <c r="H8" s="25">
        <v>1560</v>
      </c>
      <c r="I8" s="25">
        <v>2160</v>
      </c>
      <c r="J8" s="25">
        <v>4512</v>
      </c>
      <c r="K8" s="25">
        <v>11712</v>
      </c>
      <c r="L8" s="25">
        <v>27008</v>
      </c>
      <c r="M8" s="26">
        <v>63744</v>
      </c>
      <c r="N8" s="24">
        <v>1704</v>
      </c>
      <c r="O8" s="25">
        <v>1768</v>
      </c>
      <c r="P8" s="25">
        <v>1864</v>
      </c>
      <c r="Q8" s="25">
        <v>2064</v>
      </c>
      <c r="R8" s="25">
        <v>2512</v>
      </c>
      <c r="S8" s="25">
        <v>3952</v>
      </c>
      <c r="T8" s="25">
        <v>9024</v>
      </c>
      <c r="U8" s="25">
        <v>20608</v>
      </c>
      <c r="V8" s="26">
        <v>46848</v>
      </c>
      <c r="X8" s="93"/>
      <c r="Y8" s="98" t="s">
        <v>7</v>
      </c>
      <c r="Z8" s="4">
        <v>0.25</v>
      </c>
      <c r="AA8" s="15">
        <f t="shared" si="0"/>
        <v>0.76206896551724135</v>
      </c>
      <c r="AB8" s="16">
        <f t="shared" si="0"/>
        <v>0.76490066225165565</v>
      </c>
      <c r="AC8" s="16">
        <f t="shared" si="0"/>
        <v>0.73312883435582821</v>
      </c>
      <c r="AD8" s="16">
        <f t="shared" si="0"/>
        <v>0.62307692307692308</v>
      </c>
      <c r="AE8" s="16">
        <f t="shared" si="0"/>
        <v>0.45</v>
      </c>
      <c r="AF8" s="16">
        <f t="shared" si="0"/>
        <v>0.21719858156028368</v>
      </c>
      <c r="AG8" s="16">
        <f t="shared" si="0"/>
        <v>0.16734972677595628</v>
      </c>
      <c r="AH8" s="16">
        <f t="shared" si="0"/>
        <v>0.38625592417061611</v>
      </c>
      <c r="AI8" s="17">
        <f t="shared" si="0"/>
        <v>0.46385542168674698</v>
      </c>
      <c r="AJ8" s="15">
        <f t="shared" si="0"/>
        <v>0.51877934272300474</v>
      </c>
      <c r="AK8" s="16">
        <f t="shared" si="0"/>
        <v>0.53619909502262442</v>
      </c>
      <c r="AL8" s="16">
        <f t="shared" si="0"/>
        <v>0.53433476394849788</v>
      </c>
      <c r="AM8" s="16">
        <f t="shared" si="0"/>
        <v>0.5</v>
      </c>
      <c r="AN8" s="16">
        <f t="shared" si="0"/>
        <v>0.42356687898089174</v>
      </c>
      <c r="AO8" s="16">
        <f t="shared" si="0"/>
        <v>0.26923076923076922</v>
      </c>
      <c r="AP8" s="16">
        <f t="shared" si="0"/>
        <v>0.11968085106382979</v>
      </c>
      <c r="AQ8" s="16">
        <f t="shared" si="1"/>
        <v>0.4751552795031056</v>
      </c>
      <c r="AR8" s="17">
        <f t="shared" si="1"/>
        <v>0.54918032786885251</v>
      </c>
    </row>
    <row r="9" spans="2:44" ht="15" customHeight="1">
      <c r="B9" s="93"/>
      <c r="C9" s="96"/>
      <c r="D9" s="5">
        <v>0.5</v>
      </c>
      <c r="E9" s="27">
        <v>924</v>
      </c>
      <c r="F9" s="28">
        <v>1064</v>
      </c>
      <c r="G9" s="28">
        <v>1160</v>
      </c>
      <c r="H9" s="28">
        <v>1384</v>
      </c>
      <c r="I9" s="28">
        <v>2008</v>
      </c>
      <c r="J9" s="28">
        <v>3824</v>
      </c>
      <c r="K9" s="28">
        <v>9792</v>
      </c>
      <c r="L9" s="28">
        <v>22400</v>
      </c>
      <c r="M9" s="29">
        <v>49408</v>
      </c>
      <c r="N9" s="27">
        <v>1656</v>
      </c>
      <c r="O9" s="28">
        <v>1704</v>
      </c>
      <c r="P9" s="28">
        <v>1784</v>
      </c>
      <c r="Q9" s="28">
        <v>1912</v>
      </c>
      <c r="R9" s="28">
        <v>2160</v>
      </c>
      <c r="S9" s="28">
        <v>3152</v>
      </c>
      <c r="T9" s="28">
        <v>6688</v>
      </c>
      <c r="U9" s="28">
        <v>16192</v>
      </c>
      <c r="V9" s="29">
        <v>34048</v>
      </c>
      <c r="X9" s="93"/>
      <c r="Y9" s="96"/>
      <c r="Z9" s="5">
        <v>0.5</v>
      </c>
      <c r="AA9" s="18">
        <f t="shared" si="0"/>
        <v>0.91341991341991347</v>
      </c>
      <c r="AB9" s="12">
        <f t="shared" si="0"/>
        <v>0.83082706766917291</v>
      </c>
      <c r="AC9" s="12">
        <f t="shared" si="0"/>
        <v>0.79655172413793107</v>
      </c>
      <c r="AD9" s="12">
        <f t="shared" si="0"/>
        <v>0.74566473988439308</v>
      </c>
      <c r="AE9" s="12">
        <f t="shared" si="0"/>
        <v>0.58565737051792832</v>
      </c>
      <c r="AF9" s="12">
        <f t="shared" si="0"/>
        <v>0.30334728033472802</v>
      </c>
      <c r="AG9" s="12">
        <f t="shared" si="0"/>
        <v>0.24019607843137256</v>
      </c>
      <c r="AH9" s="12">
        <f t="shared" si="0"/>
        <v>0.3914285714285714</v>
      </c>
      <c r="AI9" s="19">
        <f t="shared" si="0"/>
        <v>0.4689119170984456</v>
      </c>
      <c r="AJ9" s="18">
        <f t="shared" si="0"/>
        <v>0.48067632850241548</v>
      </c>
      <c r="AK9" s="12">
        <f t="shared" si="0"/>
        <v>0.51877934272300474</v>
      </c>
      <c r="AL9" s="12">
        <f t="shared" si="0"/>
        <v>0.54484304932735428</v>
      </c>
      <c r="AM9" s="12">
        <f t="shared" si="0"/>
        <v>0.58158995815899583</v>
      </c>
      <c r="AN9" s="12">
        <f t="shared" si="0"/>
        <v>0.58148148148148149</v>
      </c>
      <c r="AO9" s="12">
        <f t="shared" si="0"/>
        <v>0.4746192893401015</v>
      </c>
      <c r="AP9" s="12">
        <f t="shared" si="0"/>
        <v>0.28588516746411485</v>
      </c>
      <c r="AQ9" s="12">
        <f t="shared" si="1"/>
        <v>0.45652173913043476</v>
      </c>
      <c r="AR9" s="19">
        <f t="shared" si="1"/>
        <v>0.62030075187969924</v>
      </c>
    </row>
    <row r="10" spans="2:44" ht="15" customHeight="1">
      <c r="B10" s="93"/>
      <c r="C10" s="96"/>
      <c r="D10" s="5">
        <v>0.75</v>
      </c>
      <c r="E10" s="27">
        <v>836</v>
      </c>
      <c r="F10" s="28">
        <v>900</v>
      </c>
      <c r="G10" s="28">
        <v>996</v>
      </c>
      <c r="H10" s="28">
        <v>1160</v>
      </c>
      <c r="I10" s="28">
        <v>1496</v>
      </c>
      <c r="J10" s="28">
        <v>2672</v>
      </c>
      <c r="K10" s="28">
        <v>7072</v>
      </c>
      <c r="L10" s="28">
        <v>15808</v>
      </c>
      <c r="M10" s="29">
        <v>31616</v>
      </c>
      <c r="N10" s="27">
        <v>1592</v>
      </c>
      <c r="O10" s="28">
        <v>1624</v>
      </c>
      <c r="P10" s="28">
        <v>1720</v>
      </c>
      <c r="Q10" s="28">
        <v>2480</v>
      </c>
      <c r="R10" s="28">
        <v>2896</v>
      </c>
      <c r="S10" s="28">
        <v>3280</v>
      </c>
      <c r="T10" s="28">
        <v>4768</v>
      </c>
      <c r="U10" s="28">
        <v>10176</v>
      </c>
      <c r="V10" s="29">
        <v>22144</v>
      </c>
      <c r="X10" s="93"/>
      <c r="Y10" s="96"/>
      <c r="Z10" s="5">
        <v>0.75</v>
      </c>
      <c r="AA10" s="18">
        <f t="shared" si="0"/>
        <v>0.66507177033492826</v>
      </c>
      <c r="AB10" s="12">
        <f t="shared" si="0"/>
        <v>0.82222222222222219</v>
      </c>
      <c r="AC10" s="12">
        <f t="shared" si="0"/>
        <v>0.87951807228915657</v>
      </c>
      <c r="AD10" s="12">
        <f t="shared" si="0"/>
        <v>0.84482758620689657</v>
      </c>
      <c r="AE10" s="12">
        <f t="shared" si="0"/>
        <v>0.89304812834224601</v>
      </c>
      <c r="AF10" s="12">
        <f t="shared" si="0"/>
        <v>0.78443113772455086</v>
      </c>
      <c r="AG10" s="12">
        <f t="shared" si="0"/>
        <v>0.43665158371040724</v>
      </c>
      <c r="AH10" s="12">
        <f t="shared" si="0"/>
        <v>0.52226720647773284</v>
      </c>
      <c r="AI10" s="19">
        <f t="shared" si="0"/>
        <v>0.61943319838056676</v>
      </c>
      <c r="AJ10" s="18">
        <f t="shared" si="0"/>
        <v>0.46482412060301509</v>
      </c>
      <c r="AK10" s="12">
        <f t="shared" si="0"/>
        <v>0.47536945812807879</v>
      </c>
      <c r="AL10" s="12">
        <f t="shared" si="0"/>
        <v>0.50930232558139532</v>
      </c>
      <c r="AM10" s="12">
        <f t="shared" si="0"/>
        <v>0.42903225806451611</v>
      </c>
      <c r="AN10" s="12">
        <f t="shared" si="0"/>
        <v>0.47790055248618785</v>
      </c>
      <c r="AO10" s="12">
        <f t="shared" si="0"/>
        <v>0.56829268292682922</v>
      </c>
      <c r="AP10" s="12">
        <f t="shared" si="0"/>
        <v>0.56040268456375841</v>
      </c>
      <c r="AQ10" s="12">
        <f t="shared" si="1"/>
        <v>0.64465408805031443</v>
      </c>
      <c r="AR10" s="19">
        <f t="shared" si="1"/>
        <v>0.70809248554913296</v>
      </c>
    </row>
    <row r="11" spans="2:44" ht="15" customHeight="1" thickBot="1">
      <c r="B11" s="93"/>
      <c r="C11" s="97"/>
      <c r="D11" s="6">
        <v>1</v>
      </c>
      <c r="E11" s="30">
        <v>197</v>
      </c>
      <c r="F11" s="31">
        <v>245</v>
      </c>
      <c r="G11" s="31">
        <v>322</v>
      </c>
      <c r="H11" s="31">
        <v>498</v>
      </c>
      <c r="I11" s="31">
        <v>948</v>
      </c>
      <c r="J11" s="31">
        <v>1832</v>
      </c>
      <c r="K11" s="45">
        <v>2352</v>
      </c>
      <c r="L11" s="31">
        <v>4640</v>
      </c>
      <c r="M11" s="32">
        <v>9792</v>
      </c>
      <c r="N11" s="30">
        <v>177</v>
      </c>
      <c r="O11" s="31">
        <v>205</v>
      </c>
      <c r="P11" s="31">
        <v>258</v>
      </c>
      <c r="Q11" s="31">
        <v>354</v>
      </c>
      <c r="R11" s="31">
        <v>588</v>
      </c>
      <c r="S11" s="31">
        <v>1004</v>
      </c>
      <c r="T11" s="45">
        <v>1656</v>
      </c>
      <c r="U11" s="31">
        <v>3536</v>
      </c>
      <c r="V11" s="32">
        <v>7712</v>
      </c>
      <c r="X11" s="93"/>
      <c r="Y11" s="97"/>
      <c r="Z11" s="6">
        <v>1</v>
      </c>
      <c r="AA11" s="20">
        <f t="shared" si="0"/>
        <v>0.7766497461928934</v>
      </c>
      <c r="AB11" s="21">
        <f t="shared" si="0"/>
        <v>0.78775510204081634</v>
      </c>
      <c r="AC11" s="21">
        <f t="shared" si="0"/>
        <v>0.82608695652173914</v>
      </c>
      <c r="AD11" s="21">
        <f t="shared" si="0"/>
        <v>0.8875502008032129</v>
      </c>
      <c r="AE11" s="21">
        <f t="shared" si="0"/>
        <v>0.85654008438818563</v>
      </c>
      <c r="AF11" s="21">
        <f t="shared" si="0"/>
        <v>0.89519650655021832</v>
      </c>
      <c r="AG11" s="21">
        <f t="shared" si="0"/>
        <v>1.2857142857142858</v>
      </c>
      <c r="AH11" s="21">
        <f t="shared" si="0"/>
        <v>0.93103448275862066</v>
      </c>
      <c r="AI11" s="22">
        <f t="shared" si="0"/>
        <v>0.81372549019607843</v>
      </c>
      <c r="AJ11" s="20">
        <f t="shared" si="0"/>
        <v>0.78531073446327682</v>
      </c>
      <c r="AK11" s="21">
        <f t="shared" si="0"/>
        <v>0.78536585365853662</v>
      </c>
      <c r="AL11" s="21">
        <f t="shared" si="0"/>
        <v>0.78682170542635654</v>
      </c>
      <c r="AM11" s="21">
        <f t="shared" si="0"/>
        <v>0.79661016949152541</v>
      </c>
      <c r="AN11" s="21">
        <f t="shared" si="0"/>
        <v>0.81292517006802723</v>
      </c>
      <c r="AO11" s="21">
        <f t="shared" si="0"/>
        <v>0.91235059760956172</v>
      </c>
      <c r="AP11" s="21">
        <f t="shared" si="0"/>
        <v>1</v>
      </c>
      <c r="AQ11" s="21">
        <f t="shared" si="1"/>
        <v>0.72850678733031671</v>
      </c>
      <c r="AR11" s="22">
        <f t="shared" si="1"/>
        <v>0.62655601659751037</v>
      </c>
    </row>
    <row r="12" spans="2:44" ht="15" customHeight="1">
      <c r="B12" s="93"/>
      <c r="C12" s="98" t="s">
        <v>8</v>
      </c>
      <c r="D12" s="4">
        <v>0.25</v>
      </c>
      <c r="E12" s="24">
        <v>13376</v>
      </c>
      <c r="F12" s="25">
        <v>13433</v>
      </c>
      <c r="G12" s="25">
        <v>13462</v>
      </c>
      <c r="H12" s="25">
        <v>13495</v>
      </c>
      <c r="I12" s="25">
        <v>13560</v>
      </c>
      <c r="J12" s="25">
        <v>13581</v>
      </c>
      <c r="K12" s="25">
        <v>13607</v>
      </c>
      <c r="L12" s="25">
        <v>13580</v>
      </c>
      <c r="M12" s="26">
        <v>13569</v>
      </c>
      <c r="N12" s="24">
        <v>16477</v>
      </c>
      <c r="O12" s="25">
        <v>18017</v>
      </c>
      <c r="P12" s="25">
        <v>18097</v>
      </c>
      <c r="Q12" s="25">
        <v>18070</v>
      </c>
      <c r="R12" s="25">
        <v>18062</v>
      </c>
      <c r="S12" s="25">
        <v>18052</v>
      </c>
      <c r="T12" s="25">
        <v>18066</v>
      </c>
      <c r="U12" s="25">
        <v>18061</v>
      </c>
      <c r="V12" s="26">
        <v>18076</v>
      </c>
      <c r="X12" s="93"/>
      <c r="Y12" s="98" t="s">
        <v>8</v>
      </c>
      <c r="Z12" s="4">
        <v>0.25</v>
      </c>
      <c r="AA12" s="15">
        <f t="shared" si="0"/>
        <v>1.725627990430622</v>
      </c>
      <c r="AB12" s="16">
        <f t="shared" si="0"/>
        <v>1.9423807042358372</v>
      </c>
      <c r="AC12" s="16">
        <f t="shared" si="0"/>
        <v>1.9399792007131185</v>
      </c>
      <c r="AD12" s="16">
        <f t="shared" si="0"/>
        <v>1.9344942571322712</v>
      </c>
      <c r="AE12" s="16">
        <f t="shared" si="0"/>
        <v>1.9261061946902656</v>
      </c>
      <c r="AF12" s="16">
        <f t="shared" si="0"/>
        <v>1.9228333701494735</v>
      </c>
      <c r="AG12" s="16">
        <f t="shared" si="0"/>
        <v>1.9427500551186889</v>
      </c>
      <c r="AH12" s="16">
        <f t="shared" si="0"/>
        <v>1.9461708394698085</v>
      </c>
      <c r="AI12" s="17">
        <f t="shared" si="0"/>
        <v>1.9481170314687892</v>
      </c>
      <c r="AJ12" s="15">
        <f t="shared" si="0"/>
        <v>1.4802451902652183</v>
      </c>
      <c r="AK12" s="16">
        <f t="shared" si="0"/>
        <v>1.7787645001942609</v>
      </c>
      <c r="AL12" s="16">
        <f t="shared" si="0"/>
        <v>1.767088467701829</v>
      </c>
      <c r="AM12" s="16">
        <f t="shared" si="0"/>
        <v>1.7716657443276149</v>
      </c>
      <c r="AN12" s="16">
        <f t="shared" si="0"/>
        <v>1.7741667589414241</v>
      </c>
      <c r="AO12" s="16">
        <f t="shared" si="0"/>
        <v>1.7737646798138711</v>
      </c>
      <c r="AP12" s="16">
        <f t="shared" si="0"/>
        <v>1.7689029115465515</v>
      </c>
      <c r="AQ12" s="16">
        <f t="shared" si="1"/>
        <v>1.7709429156746581</v>
      </c>
      <c r="AR12" s="17">
        <f t="shared" si="1"/>
        <v>1.7688647930958177</v>
      </c>
    </row>
    <row r="13" spans="2:44" ht="15" customHeight="1">
      <c r="B13" s="93"/>
      <c r="C13" s="96"/>
      <c r="D13" s="5">
        <v>0.5</v>
      </c>
      <c r="E13" s="27">
        <v>24464</v>
      </c>
      <c r="F13" s="28">
        <v>34619</v>
      </c>
      <c r="G13" s="28">
        <v>34936</v>
      </c>
      <c r="H13" s="28">
        <v>34773</v>
      </c>
      <c r="I13" s="28">
        <v>34587</v>
      </c>
      <c r="J13" s="28">
        <v>34642</v>
      </c>
      <c r="K13" s="28">
        <v>34640</v>
      </c>
      <c r="L13" s="28">
        <v>34655</v>
      </c>
      <c r="M13" s="29">
        <v>34672</v>
      </c>
      <c r="N13" s="27">
        <v>26572</v>
      </c>
      <c r="O13" s="28">
        <v>41099</v>
      </c>
      <c r="P13" s="28">
        <v>50801</v>
      </c>
      <c r="Q13" s="28">
        <v>50577</v>
      </c>
      <c r="R13" s="28">
        <v>50496</v>
      </c>
      <c r="S13" s="28">
        <v>50378</v>
      </c>
      <c r="T13" s="28">
        <v>50567</v>
      </c>
      <c r="U13" s="28">
        <v>50511</v>
      </c>
      <c r="V13" s="29">
        <v>50517</v>
      </c>
      <c r="X13" s="93"/>
      <c r="Y13" s="96"/>
      <c r="Z13" s="5">
        <v>0.5</v>
      </c>
      <c r="AA13" s="18">
        <f t="shared" si="0"/>
        <v>1.5259156311314586</v>
      </c>
      <c r="AB13" s="12">
        <f t="shared" si="0"/>
        <v>1.5873364337502527</v>
      </c>
      <c r="AC13" s="12">
        <f t="shared" si="0"/>
        <v>1.821359056560568</v>
      </c>
      <c r="AD13" s="12">
        <f t="shared" si="0"/>
        <v>1.8306444655336036</v>
      </c>
      <c r="AE13" s="12">
        <f t="shared" si="0"/>
        <v>1.8404602885477201</v>
      </c>
      <c r="AF13" s="12">
        <f t="shared" si="0"/>
        <v>1.8363258472374575</v>
      </c>
      <c r="AG13" s="12">
        <f t="shared" si="0"/>
        <v>1.9484122401847574</v>
      </c>
      <c r="AH13" s="12">
        <f t="shared" si="0"/>
        <v>1.9455201269658058</v>
      </c>
      <c r="AI13" s="19">
        <f t="shared" si="0"/>
        <v>1.944508537148131</v>
      </c>
      <c r="AJ13" s="18">
        <f t="shared" si="0"/>
        <v>1.4796402227909078</v>
      </c>
      <c r="AK13" s="12">
        <f t="shared" si="0"/>
        <v>1.5006691160368866</v>
      </c>
      <c r="AL13" s="12">
        <f t="shared" si="0"/>
        <v>1.6180586996318971</v>
      </c>
      <c r="AM13" s="12">
        <f t="shared" si="0"/>
        <v>1.6107519228107638</v>
      </c>
      <c r="AN13" s="12">
        <f t="shared" si="0"/>
        <v>1.613256495564005</v>
      </c>
      <c r="AO13" s="12">
        <f t="shared" si="0"/>
        <v>1.6178292111636032</v>
      </c>
      <c r="AP13" s="12">
        <f t="shared" si="0"/>
        <v>1.6111693396879387</v>
      </c>
      <c r="AQ13" s="12">
        <f t="shared" si="1"/>
        <v>1.6143018352438083</v>
      </c>
      <c r="AR13" s="19">
        <f t="shared" si="1"/>
        <v>1.6130609497792823</v>
      </c>
    </row>
    <row r="14" spans="2:44" ht="15" customHeight="1">
      <c r="B14" s="93"/>
      <c r="C14" s="96"/>
      <c r="D14" s="5">
        <v>0.75</v>
      </c>
      <c r="E14" s="27">
        <v>33145</v>
      </c>
      <c r="F14" s="28">
        <v>54155</v>
      </c>
      <c r="G14" s="28">
        <v>80021</v>
      </c>
      <c r="H14" s="28">
        <v>81353</v>
      </c>
      <c r="I14" s="28">
        <v>81447</v>
      </c>
      <c r="J14" s="28">
        <v>81408</v>
      </c>
      <c r="K14" s="28">
        <v>81492</v>
      </c>
      <c r="L14" s="28">
        <v>81435</v>
      </c>
      <c r="M14" s="29">
        <v>81470</v>
      </c>
      <c r="N14" s="27">
        <v>37365</v>
      </c>
      <c r="O14" s="28">
        <v>61325</v>
      </c>
      <c r="P14" s="28">
        <v>93915</v>
      </c>
      <c r="Q14" s="28">
        <v>125103</v>
      </c>
      <c r="R14" s="28">
        <v>124325</v>
      </c>
      <c r="S14" s="28">
        <v>124520</v>
      </c>
      <c r="T14" s="28">
        <v>124420</v>
      </c>
      <c r="U14" s="28">
        <v>124448</v>
      </c>
      <c r="V14" s="29">
        <v>124245</v>
      </c>
      <c r="X14" s="93"/>
      <c r="Y14" s="96"/>
      <c r="Z14" s="5">
        <v>0.75</v>
      </c>
      <c r="AA14" s="18">
        <f t="shared" si="0"/>
        <v>1.4682154171066526</v>
      </c>
      <c r="AB14" s="12">
        <f t="shared" si="0"/>
        <v>1.5151694211060844</v>
      </c>
      <c r="AC14" s="12">
        <f t="shared" si="0"/>
        <v>1.4452581197435672</v>
      </c>
      <c r="AD14" s="12">
        <f t="shared" si="0"/>
        <v>1.6225953560409574</v>
      </c>
      <c r="AE14" s="12">
        <f t="shared" si="0"/>
        <v>1.6192493277837121</v>
      </c>
      <c r="AF14" s="12">
        <f t="shared" si="0"/>
        <v>1.6216342374213837</v>
      </c>
      <c r="AG14" s="12">
        <f t="shared" si="0"/>
        <v>1.6189196485544592</v>
      </c>
      <c r="AH14" s="12">
        <f t="shared" si="0"/>
        <v>1.6197458095413519</v>
      </c>
      <c r="AI14" s="19">
        <f t="shared" si="0"/>
        <v>1.6211120657910887</v>
      </c>
      <c r="AJ14" s="18">
        <f t="shared" si="0"/>
        <v>1.3459922387260805</v>
      </c>
      <c r="AK14" s="12">
        <f t="shared" si="0"/>
        <v>1.4471585813289849</v>
      </c>
      <c r="AL14" s="12">
        <f t="shared" si="0"/>
        <v>1.4715860086248203</v>
      </c>
      <c r="AM14" s="12">
        <f t="shared" si="0"/>
        <v>1.4238427535710574</v>
      </c>
      <c r="AN14" s="12">
        <f t="shared" si="0"/>
        <v>1.4381982706615726</v>
      </c>
      <c r="AO14" s="12">
        <f t="shared" si="0"/>
        <v>1.4315210407966592</v>
      </c>
      <c r="AP14" s="12">
        <f t="shared" si="0"/>
        <v>1.4343433531586562</v>
      </c>
      <c r="AQ14" s="12">
        <f t="shared" si="1"/>
        <v>1.4348884674723579</v>
      </c>
      <c r="AR14" s="19">
        <f t="shared" si="1"/>
        <v>1.4355990180691376</v>
      </c>
    </row>
    <row r="15" spans="2:44" ht="15" customHeight="1" thickBot="1">
      <c r="B15" s="94"/>
      <c r="C15" s="97"/>
      <c r="D15" s="6">
        <v>1</v>
      </c>
      <c r="E15" s="30">
        <v>43529</v>
      </c>
      <c r="F15" s="31">
        <v>78331</v>
      </c>
      <c r="G15" s="31">
        <v>143465</v>
      </c>
      <c r="H15" s="31">
        <v>249034</v>
      </c>
      <c r="I15" s="31">
        <v>352346</v>
      </c>
      <c r="J15" s="31">
        <v>410310</v>
      </c>
      <c r="K15" s="31">
        <v>410569</v>
      </c>
      <c r="L15" s="31">
        <v>410523</v>
      </c>
      <c r="M15" s="32">
        <v>410515</v>
      </c>
      <c r="N15" s="30">
        <v>51650</v>
      </c>
      <c r="O15" s="31">
        <v>99296</v>
      </c>
      <c r="P15" s="31">
        <v>184241</v>
      </c>
      <c r="Q15" s="31">
        <v>317560</v>
      </c>
      <c r="R15" s="31">
        <v>468318</v>
      </c>
      <c r="S15" s="31">
        <v>540835</v>
      </c>
      <c r="T15" s="31">
        <v>541143</v>
      </c>
      <c r="U15" s="31">
        <v>541188</v>
      </c>
      <c r="V15" s="32">
        <v>541171</v>
      </c>
      <c r="X15" s="94"/>
      <c r="Y15" s="97"/>
      <c r="Z15" s="6">
        <v>1</v>
      </c>
      <c r="AA15" s="20">
        <f t="shared" si="0"/>
        <v>1.3961037469273359</v>
      </c>
      <c r="AB15" s="21">
        <f t="shared" si="0"/>
        <v>1.4770014425961624</v>
      </c>
      <c r="AC15" s="21">
        <f t="shared" si="0"/>
        <v>1.4586554211828668</v>
      </c>
      <c r="AD15" s="21">
        <f t="shared" si="0"/>
        <v>1.3600713155633368</v>
      </c>
      <c r="AE15" s="21">
        <f t="shared" si="0"/>
        <v>1.3076152418361497</v>
      </c>
      <c r="AF15" s="21">
        <f t="shared" si="0"/>
        <v>1.3072262435719335</v>
      </c>
      <c r="AG15" s="21">
        <f t="shared" si="0"/>
        <v>1.3890210902430529</v>
      </c>
      <c r="AH15" s="21">
        <f t="shared" si="0"/>
        <v>1.3895567361633818</v>
      </c>
      <c r="AI15" s="22">
        <f t="shared" si="0"/>
        <v>1.3895131724784722</v>
      </c>
      <c r="AJ15" s="20">
        <f t="shared" si="0"/>
        <v>1.1964181994191674</v>
      </c>
      <c r="AK15" s="21">
        <f t="shared" si="0"/>
        <v>1.2090416532388011</v>
      </c>
      <c r="AL15" s="21">
        <f t="shared" si="0"/>
        <v>1.2306381315776618</v>
      </c>
      <c r="AM15" s="21">
        <f t="shared" si="0"/>
        <v>1.2641264642902128</v>
      </c>
      <c r="AN15" s="21">
        <f t="shared" si="0"/>
        <v>1.341780584987124</v>
      </c>
      <c r="AO15" s="21">
        <f t="shared" si="0"/>
        <v>1.5189900801538363</v>
      </c>
      <c r="AP15" s="21">
        <f t="shared" si="0"/>
        <v>1.5731978423448145</v>
      </c>
      <c r="AQ15" s="21">
        <f t="shared" si="1"/>
        <v>1.5726771473129486</v>
      </c>
      <c r="AR15" s="22">
        <f t="shared" si="1"/>
        <v>1.5823519737753871</v>
      </c>
    </row>
    <row r="16" spans="2:44" ht="15" customHeight="1">
      <c r="B16" s="83" t="s">
        <v>9</v>
      </c>
      <c r="C16" s="98" t="s">
        <v>6</v>
      </c>
      <c r="D16" s="4">
        <v>0.25</v>
      </c>
      <c r="E16" s="24">
        <v>25</v>
      </c>
      <c r="F16" s="25">
        <v>14</v>
      </c>
      <c r="G16" s="25">
        <v>83</v>
      </c>
      <c r="H16" s="25">
        <v>394</v>
      </c>
      <c r="I16" s="25">
        <v>764</v>
      </c>
      <c r="J16" s="25">
        <v>1880</v>
      </c>
      <c r="K16" s="25">
        <v>4768</v>
      </c>
      <c r="L16" s="25">
        <v>10432</v>
      </c>
      <c r="M16" s="26">
        <v>21888</v>
      </c>
      <c r="N16" s="24">
        <v>16</v>
      </c>
      <c r="O16" s="25">
        <v>14</v>
      </c>
      <c r="P16" s="25">
        <v>16</v>
      </c>
      <c r="Q16" s="25">
        <v>120</v>
      </c>
      <c r="R16" s="25">
        <v>430</v>
      </c>
      <c r="S16" s="25">
        <v>1032</v>
      </c>
      <c r="T16" s="25">
        <v>3152</v>
      </c>
      <c r="U16" s="25">
        <v>7328</v>
      </c>
      <c r="V16" s="26">
        <v>15936</v>
      </c>
      <c r="X16" s="83" t="s">
        <v>9</v>
      </c>
      <c r="Y16" s="98" t="s">
        <v>6</v>
      </c>
      <c r="Z16" s="4">
        <v>0.25</v>
      </c>
      <c r="AA16" s="15">
        <f t="shared" si="0"/>
        <v>0.52</v>
      </c>
      <c r="AB16" s="16">
        <f t="shared" si="0"/>
        <v>1</v>
      </c>
      <c r="AC16" s="16">
        <f t="shared" si="0"/>
        <v>0.19277108433734941</v>
      </c>
      <c r="AD16" s="16">
        <f t="shared" si="0"/>
        <v>0.24873096446700507</v>
      </c>
      <c r="AE16" s="16">
        <f t="shared" si="0"/>
        <v>0.15575916230366493</v>
      </c>
      <c r="AF16" s="16">
        <f t="shared" si="0"/>
        <v>5.9042553191489364E-2</v>
      </c>
      <c r="AG16" s="16">
        <f t="shared" si="0"/>
        <v>2.4958053691275166E-2</v>
      </c>
      <c r="AH16" s="16">
        <f t="shared" si="0"/>
        <v>0.45705521472392641</v>
      </c>
      <c r="AI16" s="17">
        <f t="shared" si="0"/>
        <v>0.61695906432748537</v>
      </c>
      <c r="AJ16" s="15">
        <f t="shared" si="0"/>
        <v>0.8125</v>
      </c>
      <c r="AK16" s="16">
        <f t="shared" si="0"/>
        <v>1</v>
      </c>
      <c r="AL16" s="16">
        <f t="shared" si="0"/>
        <v>1</v>
      </c>
      <c r="AM16" s="16">
        <f t="shared" si="0"/>
        <v>0.15</v>
      </c>
      <c r="AN16" s="16">
        <f t="shared" si="0"/>
        <v>3.9534883720930232E-2</v>
      </c>
      <c r="AO16" s="16">
        <f t="shared" si="0"/>
        <v>1.7441860465116279E-2</v>
      </c>
      <c r="AP16" s="16">
        <f t="shared" si="0"/>
        <v>5.7106598984771571E-3</v>
      </c>
      <c r="AQ16" s="16">
        <f t="shared" si="1"/>
        <v>0.51746724890829698</v>
      </c>
      <c r="AR16" s="17">
        <f t="shared" si="1"/>
        <v>0.6224899598393574</v>
      </c>
    </row>
    <row r="17" spans="2:44" ht="15" customHeight="1">
      <c r="B17" s="93"/>
      <c r="C17" s="96"/>
      <c r="D17" s="5">
        <v>0.5</v>
      </c>
      <c r="E17" s="27">
        <v>22</v>
      </c>
      <c r="F17" s="28">
        <v>75</v>
      </c>
      <c r="G17" s="28">
        <v>326</v>
      </c>
      <c r="H17" s="28">
        <v>716</v>
      </c>
      <c r="I17" s="28">
        <v>1560</v>
      </c>
      <c r="J17" s="28">
        <v>3280</v>
      </c>
      <c r="K17" s="28">
        <v>7264</v>
      </c>
      <c r="L17" s="28">
        <v>16064</v>
      </c>
      <c r="M17" s="29">
        <v>34560</v>
      </c>
      <c r="N17" s="27">
        <v>17</v>
      </c>
      <c r="O17" s="28">
        <v>15</v>
      </c>
      <c r="P17" s="28">
        <v>149</v>
      </c>
      <c r="Q17" s="28">
        <v>450</v>
      </c>
      <c r="R17" s="28">
        <v>1004</v>
      </c>
      <c r="S17" s="28">
        <v>2128</v>
      </c>
      <c r="T17" s="28">
        <v>4896</v>
      </c>
      <c r="U17" s="28">
        <v>10816</v>
      </c>
      <c r="V17" s="29">
        <v>23936</v>
      </c>
      <c r="X17" s="93"/>
      <c r="Y17" s="96"/>
      <c r="Z17" s="5">
        <v>0.5</v>
      </c>
      <c r="AA17" s="18">
        <f t="shared" si="0"/>
        <v>0.59090909090909094</v>
      </c>
      <c r="AB17" s="12">
        <f t="shared" si="0"/>
        <v>0.2</v>
      </c>
      <c r="AC17" s="12">
        <f t="shared" si="0"/>
        <v>0.53067484662576692</v>
      </c>
      <c r="AD17" s="12">
        <f t="shared" si="0"/>
        <v>0.66759776536312854</v>
      </c>
      <c r="AE17" s="12">
        <f t="shared" si="0"/>
        <v>0.69230769230769229</v>
      </c>
      <c r="AF17" s="12">
        <f t="shared" si="0"/>
        <v>0.68780487804878043</v>
      </c>
      <c r="AG17" s="12">
        <f t="shared" si="0"/>
        <v>0.50881057268722463</v>
      </c>
      <c r="AH17" s="12">
        <f t="shared" si="0"/>
        <v>0.56972111553784865</v>
      </c>
      <c r="AI17" s="19">
        <f t="shared" si="0"/>
        <v>0.58148148148148149</v>
      </c>
      <c r="AJ17" s="18">
        <f t="shared" si="0"/>
        <v>0.76470588235294112</v>
      </c>
      <c r="AK17" s="12">
        <f t="shared" si="0"/>
        <v>1</v>
      </c>
      <c r="AL17" s="12">
        <f t="shared" si="0"/>
        <v>0.90604026845637586</v>
      </c>
      <c r="AM17" s="12">
        <f t="shared" si="0"/>
        <v>1.0622222222222222</v>
      </c>
      <c r="AN17" s="12">
        <f t="shared" si="0"/>
        <v>1.0278884462151394</v>
      </c>
      <c r="AO17" s="12">
        <f t="shared" si="0"/>
        <v>1</v>
      </c>
      <c r="AP17" s="12">
        <f t="shared" si="0"/>
        <v>0.86928104575163401</v>
      </c>
      <c r="AQ17" s="12">
        <f t="shared" si="1"/>
        <v>0.7751479289940828</v>
      </c>
      <c r="AR17" s="19">
        <f t="shared" si="1"/>
        <v>0.81818181818181823</v>
      </c>
    </row>
    <row r="18" spans="2:44" ht="15" customHeight="1">
      <c r="B18" s="93"/>
      <c r="C18" s="96"/>
      <c r="D18" s="5">
        <v>0.75</v>
      </c>
      <c r="E18" s="27">
        <v>54</v>
      </c>
      <c r="F18" s="28">
        <v>189</v>
      </c>
      <c r="G18" s="28">
        <v>374</v>
      </c>
      <c r="H18" s="28">
        <v>756</v>
      </c>
      <c r="I18" s="28">
        <v>1528</v>
      </c>
      <c r="J18" s="28">
        <v>4016</v>
      </c>
      <c r="K18" s="28">
        <v>9024</v>
      </c>
      <c r="L18" s="28">
        <v>19840</v>
      </c>
      <c r="M18" s="29">
        <v>44288</v>
      </c>
      <c r="N18" s="27">
        <v>17</v>
      </c>
      <c r="O18" s="28">
        <v>117</v>
      </c>
      <c r="P18" s="28">
        <v>270</v>
      </c>
      <c r="Q18" s="28">
        <v>548</v>
      </c>
      <c r="R18" s="28">
        <v>1112</v>
      </c>
      <c r="S18" s="28">
        <v>2960</v>
      </c>
      <c r="T18" s="28">
        <v>6624</v>
      </c>
      <c r="U18" s="28">
        <v>15040</v>
      </c>
      <c r="V18" s="29">
        <v>32384</v>
      </c>
      <c r="X18" s="93"/>
      <c r="Y18" s="96"/>
      <c r="Z18" s="5">
        <v>0.75</v>
      </c>
      <c r="AA18" s="18">
        <f t="shared" si="0"/>
        <v>0.24074074074074073</v>
      </c>
      <c r="AB18" s="12">
        <f t="shared" si="0"/>
        <v>0.64021164021164023</v>
      </c>
      <c r="AC18" s="12">
        <f t="shared" si="0"/>
        <v>0.65508021390374327</v>
      </c>
      <c r="AD18" s="12">
        <f t="shared" si="0"/>
        <v>0.64814814814814814</v>
      </c>
      <c r="AE18" s="12">
        <f t="shared" si="0"/>
        <v>0.6413612565445026</v>
      </c>
      <c r="AF18" s="12">
        <f t="shared" si="0"/>
        <v>0.48804780876494025</v>
      </c>
      <c r="AG18" s="12">
        <f t="shared" si="0"/>
        <v>0.42730496453900707</v>
      </c>
      <c r="AH18" s="12">
        <f t="shared" si="0"/>
        <v>0.53870967741935483</v>
      </c>
      <c r="AI18" s="19">
        <f t="shared" si="0"/>
        <v>0.56936416184971095</v>
      </c>
      <c r="AJ18" s="18">
        <f t="shared" si="0"/>
        <v>0.76470588235294112</v>
      </c>
      <c r="AK18" s="12">
        <f t="shared" si="0"/>
        <v>1.0085470085470085</v>
      </c>
      <c r="AL18" s="12">
        <f t="shared" si="0"/>
        <v>1</v>
      </c>
      <c r="AM18" s="12">
        <f t="shared" si="0"/>
        <v>0.98540145985401462</v>
      </c>
      <c r="AN18" s="12">
        <f t="shared" si="0"/>
        <v>0.97122302158273377</v>
      </c>
      <c r="AO18" s="12">
        <f t="shared" si="0"/>
        <v>0.74054054054054053</v>
      </c>
      <c r="AP18" s="12">
        <f t="shared" si="0"/>
        <v>0.65217391304347827</v>
      </c>
      <c r="AQ18" s="12">
        <f t="shared" si="1"/>
        <v>0.64255319148936174</v>
      </c>
      <c r="AR18" s="19">
        <f t="shared" si="1"/>
        <v>0.69169960474308301</v>
      </c>
    </row>
    <row r="19" spans="2:44" ht="15" customHeight="1" thickBot="1">
      <c r="B19" s="93"/>
      <c r="C19" s="97"/>
      <c r="D19" s="6">
        <v>1</v>
      </c>
      <c r="E19" s="30">
        <v>97</v>
      </c>
      <c r="F19" s="31">
        <v>195</v>
      </c>
      <c r="G19" s="31">
        <v>382</v>
      </c>
      <c r="H19" s="31">
        <v>764</v>
      </c>
      <c r="I19" s="31">
        <v>1560</v>
      </c>
      <c r="J19" s="31">
        <v>3088</v>
      </c>
      <c r="K19" s="31">
        <v>6176</v>
      </c>
      <c r="L19" s="31">
        <v>12224</v>
      </c>
      <c r="M19" s="32">
        <v>24960</v>
      </c>
      <c r="N19" s="30">
        <v>75</v>
      </c>
      <c r="O19" s="31">
        <v>153</v>
      </c>
      <c r="P19" s="31">
        <v>298</v>
      </c>
      <c r="Q19" s="31">
        <v>596</v>
      </c>
      <c r="R19" s="31">
        <v>1224</v>
      </c>
      <c r="S19" s="31">
        <v>2416</v>
      </c>
      <c r="T19" s="31">
        <v>4768</v>
      </c>
      <c r="U19" s="31">
        <v>9536</v>
      </c>
      <c r="V19" s="32">
        <v>19328</v>
      </c>
      <c r="X19" s="93"/>
      <c r="Y19" s="97"/>
      <c r="Z19" s="6">
        <v>1</v>
      </c>
      <c r="AA19" s="20">
        <f t="shared" si="0"/>
        <v>0.61855670103092786</v>
      </c>
      <c r="AB19" s="21">
        <f t="shared" si="0"/>
        <v>0.62564102564102564</v>
      </c>
      <c r="AC19" s="21">
        <f t="shared" si="0"/>
        <v>0.6413612565445026</v>
      </c>
      <c r="AD19" s="21">
        <f t="shared" si="1"/>
        <v>0.6413612565445026</v>
      </c>
      <c r="AE19" s="21">
        <f t="shared" si="1"/>
        <v>0.6333333333333333</v>
      </c>
      <c r="AF19" s="21">
        <f t="shared" si="1"/>
        <v>0.63989637305699487</v>
      </c>
      <c r="AG19" s="21">
        <f t="shared" si="1"/>
        <v>0.6295336787564767</v>
      </c>
      <c r="AH19" s="21">
        <f t="shared" si="1"/>
        <v>0.96858638743455494</v>
      </c>
      <c r="AI19" s="22">
        <f t="shared" si="1"/>
        <v>1.1846153846153846</v>
      </c>
      <c r="AJ19" s="20">
        <f t="shared" si="1"/>
        <v>0.57333333333333336</v>
      </c>
      <c r="AK19" s="21">
        <f t="shared" si="1"/>
        <v>0.56862745098039214</v>
      </c>
      <c r="AL19" s="21">
        <f t="shared" si="1"/>
        <v>0.58724832214765099</v>
      </c>
      <c r="AM19" s="21">
        <f t="shared" si="1"/>
        <v>0.58724832214765099</v>
      </c>
      <c r="AN19" s="21">
        <f t="shared" si="1"/>
        <v>0.57189542483660127</v>
      </c>
      <c r="AO19" s="21">
        <f t="shared" si="1"/>
        <v>0.57947019867549665</v>
      </c>
      <c r="AP19" s="21">
        <f t="shared" si="1"/>
        <v>0.59395973154362414</v>
      </c>
      <c r="AQ19" s="21">
        <f t="shared" si="1"/>
        <v>0.59395973154362414</v>
      </c>
      <c r="AR19" s="22">
        <f t="shared" si="1"/>
        <v>0.5927152317880795</v>
      </c>
    </row>
    <row r="20" spans="2:44" ht="15" customHeight="1">
      <c r="B20" s="93"/>
      <c r="C20" s="98" t="s">
        <v>7</v>
      </c>
      <c r="D20" s="4">
        <v>0.25</v>
      </c>
      <c r="E20" s="24">
        <v>51</v>
      </c>
      <c r="F20" s="25">
        <v>17</v>
      </c>
      <c r="G20" s="25">
        <v>159</v>
      </c>
      <c r="H20" s="25">
        <v>532</v>
      </c>
      <c r="I20" s="25">
        <v>940</v>
      </c>
      <c r="J20" s="25">
        <v>2448</v>
      </c>
      <c r="K20" s="25">
        <v>6880</v>
      </c>
      <c r="L20" s="25">
        <v>15680</v>
      </c>
      <c r="M20" s="26">
        <v>31360</v>
      </c>
      <c r="N20" s="24">
        <v>32</v>
      </c>
      <c r="O20" s="25">
        <v>19</v>
      </c>
      <c r="P20" s="25">
        <v>21</v>
      </c>
      <c r="Q20" s="25">
        <v>193</v>
      </c>
      <c r="R20" s="25">
        <v>548</v>
      </c>
      <c r="S20" s="25">
        <v>1432</v>
      </c>
      <c r="T20" s="25">
        <v>4320</v>
      </c>
      <c r="U20" s="25">
        <v>9920</v>
      </c>
      <c r="V20" s="26">
        <v>22144</v>
      </c>
      <c r="X20" s="93"/>
      <c r="Y20" s="98" t="s">
        <v>7</v>
      </c>
      <c r="Z20" s="4">
        <v>0.25</v>
      </c>
      <c r="AA20" s="15">
        <f t="shared" ref="AA20:AP27" si="2">E47/E20</f>
        <v>0.35294117647058826</v>
      </c>
      <c r="AB20" s="16">
        <f t="shared" si="2"/>
        <v>1.1176470588235294</v>
      </c>
      <c r="AC20" s="16">
        <f t="shared" si="2"/>
        <v>0.13207547169811321</v>
      </c>
      <c r="AD20" s="16">
        <f t="shared" si="2"/>
        <v>0.34398496240601506</v>
      </c>
      <c r="AE20" s="16">
        <f t="shared" si="2"/>
        <v>0.24361702127659574</v>
      </c>
      <c r="AF20" s="16">
        <f t="shared" si="2"/>
        <v>8.7009803921568624E-2</v>
      </c>
      <c r="AG20" s="16">
        <f t="shared" si="2"/>
        <v>3.3284883720930233E-2</v>
      </c>
      <c r="AH20" s="16">
        <f t="shared" si="2"/>
        <v>0.39795918367346939</v>
      </c>
      <c r="AI20" s="17">
        <f t="shared" si="2"/>
        <v>0.5591836734693878</v>
      </c>
      <c r="AJ20" s="15">
        <f t="shared" si="2"/>
        <v>0.78125</v>
      </c>
      <c r="AK20" s="16">
        <f t="shared" si="2"/>
        <v>1</v>
      </c>
      <c r="AL20" s="16">
        <f t="shared" si="2"/>
        <v>1</v>
      </c>
      <c r="AM20" s="16">
        <f t="shared" si="2"/>
        <v>0.13471502590673576</v>
      </c>
      <c r="AN20" s="16">
        <f t="shared" si="2"/>
        <v>0.18248175182481752</v>
      </c>
      <c r="AO20" s="16">
        <f t="shared" si="2"/>
        <v>0.11662011173184357</v>
      </c>
      <c r="AP20" s="16">
        <f t="shared" si="2"/>
        <v>3.726851851851852E-2</v>
      </c>
      <c r="AQ20" s="16">
        <f t="shared" ref="AD20:AR27" si="3">U47/U20</f>
        <v>0.5</v>
      </c>
      <c r="AR20" s="17">
        <f t="shared" si="3"/>
        <v>0.6445086705202312</v>
      </c>
    </row>
    <row r="21" spans="2:44" ht="15" customHeight="1">
      <c r="B21" s="93"/>
      <c r="C21" s="96"/>
      <c r="D21" s="5">
        <v>0.5</v>
      </c>
      <c r="E21" s="27">
        <v>55</v>
      </c>
      <c r="F21" s="28">
        <v>135</v>
      </c>
      <c r="G21" s="28">
        <v>402</v>
      </c>
      <c r="H21" s="28">
        <v>812</v>
      </c>
      <c r="I21" s="28">
        <v>1704</v>
      </c>
      <c r="J21" s="28">
        <v>3792</v>
      </c>
      <c r="K21" s="28">
        <v>10176</v>
      </c>
      <c r="L21" s="28">
        <v>22656</v>
      </c>
      <c r="M21" s="29">
        <v>49920</v>
      </c>
      <c r="N21" s="27">
        <v>38</v>
      </c>
      <c r="O21" s="28">
        <v>19</v>
      </c>
      <c r="P21" s="28">
        <v>207</v>
      </c>
      <c r="Q21" s="28">
        <v>532</v>
      </c>
      <c r="R21" s="28">
        <v>1144</v>
      </c>
      <c r="S21" s="28">
        <v>2544</v>
      </c>
      <c r="T21" s="28">
        <v>6752</v>
      </c>
      <c r="U21" s="28">
        <v>16320</v>
      </c>
      <c r="V21" s="29">
        <v>34048</v>
      </c>
      <c r="X21" s="93"/>
      <c r="Y21" s="96"/>
      <c r="Z21" s="5">
        <v>0.5</v>
      </c>
      <c r="AA21" s="18">
        <f t="shared" si="2"/>
        <v>0.32727272727272727</v>
      </c>
      <c r="AB21" s="12">
        <f t="shared" si="2"/>
        <v>0.14074074074074075</v>
      </c>
      <c r="AC21" s="12">
        <f t="shared" si="2"/>
        <v>0.56467661691542292</v>
      </c>
      <c r="AD21" s="12">
        <f t="shared" si="3"/>
        <v>0.74384236453201968</v>
      </c>
      <c r="AE21" s="12">
        <f t="shared" si="3"/>
        <v>0.755868544600939</v>
      </c>
      <c r="AF21" s="12">
        <f t="shared" si="3"/>
        <v>0.69620253164556967</v>
      </c>
      <c r="AG21" s="12">
        <f t="shared" si="3"/>
        <v>0.38207547169811323</v>
      </c>
      <c r="AH21" s="12">
        <f t="shared" si="3"/>
        <v>0.4943502824858757</v>
      </c>
      <c r="AI21" s="19">
        <f t="shared" si="3"/>
        <v>0.52051282051282055</v>
      </c>
      <c r="AJ21" s="18">
        <f t="shared" si="3"/>
        <v>0.65789473684210531</v>
      </c>
      <c r="AK21" s="12">
        <f t="shared" si="3"/>
        <v>1</v>
      </c>
      <c r="AL21" s="12">
        <f t="shared" si="3"/>
        <v>1.1545893719806763</v>
      </c>
      <c r="AM21" s="12">
        <f t="shared" si="3"/>
        <v>1</v>
      </c>
      <c r="AN21" s="12">
        <f t="shared" si="3"/>
        <v>0.94405594405594406</v>
      </c>
      <c r="AO21" s="12">
        <f t="shared" si="3"/>
        <v>0.84905660377358494</v>
      </c>
      <c r="AP21" s="12">
        <f t="shared" si="3"/>
        <v>0.64928909952606639</v>
      </c>
      <c r="AQ21" s="12">
        <f t="shared" si="3"/>
        <v>0.6470588235294118</v>
      </c>
      <c r="AR21" s="19">
        <f t="shared" si="3"/>
        <v>0.71804511278195493</v>
      </c>
    </row>
    <row r="22" spans="2:44" ht="15" customHeight="1">
      <c r="B22" s="93"/>
      <c r="C22" s="96"/>
      <c r="D22" s="5">
        <v>0.75</v>
      </c>
      <c r="E22" s="27">
        <v>71</v>
      </c>
      <c r="F22" s="28">
        <v>203</v>
      </c>
      <c r="G22" s="28">
        <v>406</v>
      </c>
      <c r="H22" s="28">
        <v>812</v>
      </c>
      <c r="I22" s="28">
        <v>1624</v>
      </c>
      <c r="J22" s="28">
        <v>4640</v>
      </c>
      <c r="K22" s="28">
        <v>12224</v>
      </c>
      <c r="L22" s="28">
        <v>27520</v>
      </c>
      <c r="M22" s="29">
        <v>64256</v>
      </c>
      <c r="N22" s="27">
        <v>47</v>
      </c>
      <c r="O22" s="28">
        <v>133</v>
      </c>
      <c r="P22" s="28">
        <v>290</v>
      </c>
      <c r="Q22" s="28">
        <v>588</v>
      </c>
      <c r="R22" s="28">
        <v>1160</v>
      </c>
      <c r="S22" s="28">
        <v>3440</v>
      </c>
      <c r="T22" s="28">
        <v>9408</v>
      </c>
      <c r="U22" s="28">
        <v>20864</v>
      </c>
      <c r="V22" s="29">
        <v>46848</v>
      </c>
      <c r="X22" s="93"/>
      <c r="Y22" s="96"/>
      <c r="Z22" s="5">
        <v>0.75</v>
      </c>
      <c r="AA22" s="18">
        <f t="shared" si="2"/>
        <v>0.25352112676056338</v>
      </c>
      <c r="AB22" s="12">
        <f t="shared" si="2"/>
        <v>0.60591133004926112</v>
      </c>
      <c r="AC22" s="12">
        <f t="shared" si="2"/>
        <v>0.60837438423645318</v>
      </c>
      <c r="AD22" s="12">
        <f t="shared" si="3"/>
        <v>0.60837438423645318</v>
      </c>
      <c r="AE22" s="12">
        <f t="shared" si="3"/>
        <v>0.60837438423645318</v>
      </c>
      <c r="AF22" s="12">
        <f t="shared" si="3"/>
        <v>0.42586206896551726</v>
      </c>
      <c r="AG22" s="12">
        <f t="shared" si="3"/>
        <v>0.3206806282722513</v>
      </c>
      <c r="AH22" s="12">
        <f t="shared" si="3"/>
        <v>0.47674418604651164</v>
      </c>
      <c r="AI22" s="19">
        <f t="shared" si="3"/>
        <v>0.50398406374501992</v>
      </c>
      <c r="AJ22" s="18">
        <f t="shared" si="3"/>
        <v>0.57446808510638303</v>
      </c>
      <c r="AK22" s="12">
        <f t="shared" si="3"/>
        <v>1.0300751879699248</v>
      </c>
      <c r="AL22" s="12">
        <f t="shared" si="3"/>
        <v>0.94482758620689655</v>
      </c>
      <c r="AM22" s="12">
        <f t="shared" si="3"/>
        <v>0.93197278911564629</v>
      </c>
      <c r="AN22" s="12">
        <f t="shared" si="3"/>
        <v>0.94482758620689655</v>
      </c>
      <c r="AO22" s="12">
        <f t="shared" si="3"/>
        <v>0.63720930232558137</v>
      </c>
      <c r="AP22" s="12">
        <f t="shared" si="3"/>
        <v>0.45918367346938777</v>
      </c>
      <c r="AQ22" s="12">
        <f t="shared" si="3"/>
        <v>0.61042944785276076</v>
      </c>
      <c r="AR22" s="19">
        <f t="shared" si="3"/>
        <v>0.60382513661202186</v>
      </c>
    </row>
    <row r="23" spans="2:44" ht="15" customHeight="1" thickBot="1">
      <c r="B23" s="93"/>
      <c r="C23" s="97"/>
      <c r="D23" s="6">
        <v>1</v>
      </c>
      <c r="E23" s="30">
        <v>105</v>
      </c>
      <c r="F23" s="31">
        <v>197</v>
      </c>
      <c r="G23" s="31">
        <v>390</v>
      </c>
      <c r="H23" s="31">
        <v>772</v>
      </c>
      <c r="I23" s="31">
        <v>1560</v>
      </c>
      <c r="J23" s="31">
        <v>3440</v>
      </c>
      <c r="K23" s="31">
        <v>9280</v>
      </c>
      <c r="L23" s="31">
        <v>18048</v>
      </c>
      <c r="M23" s="32">
        <v>32384</v>
      </c>
      <c r="N23" s="30">
        <v>80</v>
      </c>
      <c r="O23" s="31">
        <v>157</v>
      </c>
      <c r="P23" s="31">
        <v>306</v>
      </c>
      <c r="Q23" s="31">
        <v>604</v>
      </c>
      <c r="R23" s="31">
        <v>1224</v>
      </c>
      <c r="S23" s="31">
        <v>2736</v>
      </c>
      <c r="T23" s="31">
        <v>5472</v>
      </c>
      <c r="U23" s="31">
        <v>13632</v>
      </c>
      <c r="V23" s="32">
        <v>25472</v>
      </c>
      <c r="X23" s="93"/>
      <c r="Y23" s="97"/>
      <c r="Z23" s="6">
        <v>1</v>
      </c>
      <c r="AA23" s="20">
        <f t="shared" si="2"/>
        <v>0.6</v>
      </c>
      <c r="AB23" s="21">
        <f t="shared" si="2"/>
        <v>0.63959390862944165</v>
      </c>
      <c r="AC23" s="21">
        <f t="shared" si="2"/>
        <v>0.63846153846153841</v>
      </c>
      <c r="AD23" s="21">
        <f t="shared" si="3"/>
        <v>0.64507772020725385</v>
      </c>
      <c r="AE23" s="21">
        <f t="shared" si="3"/>
        <v>0.6333333333333333</v>
      </c>
      <c r="AF23" s="21">
        <f t="shared" si="3"/>
        <v>0.57906976744186045</v>
      </c>
      <c r="AG23" s="21">
        <f t="shared" si="3"/>
        <v>0.41896551724137931</v>
      </c>
      <c r="AH23" s="21">
        <f t="shared" si="3"/>
        <v>0.86170212765957444</v>
      </c>
      <c r="AI23" s="22">
        <f t="shared" si="3"/>
        <v>1.2252964426877471</v>
      </c>
      <c r="AJ23" s="20">
        <f t="shared" si="3"/>
        <v>0.5625</v>
      </c>
      <c r="AK23" s="21">
        <f t="shared" si="3"/>
        <v>0.56687898089171973</v>
      </c>
      <c r="AL23" s="21">
        <f t="shared" si="3"/>
        <v>0.57843137254901966</v>
      </c>
      <c r="AM23" s="21">
        <f t="shared" si="3"/>
        <v>0.58609271523178808</v>
      </c>
      <c r="AN23" s="21">
        <f t="shared" si="3"/>
        <v>0.57843137254901966</v>
      </c>
      <c r="AO23" s="21">
        <f t="shared" si="3"/>
        <v>0.51754385964912286</v>
      </c>
      <c r="AP23" s="21">
        <f t="shared" si="3"/>
        <v>0.51754385964912286</v>
      </c>
      <c r="AQ23" s="21">
        <f t="shared" si="3"/>
        <v>0.46713615023474181</v>
      </c>
      <c r="AR23" s="22">
        <f t="shared" si="3"/>
        <v>0.66834170854271358</v>
      </c>
    </row>
    <row r="24" spans="2:44" ht="15" customHeight="1">
      <c r="B24" s="93"/>
      <c r="C24" s="95" t="s">
        <v>8</v>
      </c>
      <c r="D24" s="7">
        <v>0.25</v>
      </c>
      <c r="E24" s="33">
        <v>11047</v>
      </c>
      <c r="F24" s="34">
        <v>18057</v>
      </c>
      <c r="G24" s="34">
        <v>26682</v>
      </c>
      <c r="H24" s="34">
        <v>27122</v>
      </c>
      <c r="I24" s="34">
        <v>27148</v>
      </c>
      <c r="J24" s="34">
        <v>27131</v>
      </c>
      <c r="K24" s="34">
        <v>27163</v>
      </c>
      <c r="L24" s="34">
        <v>27151</v>
      </c>
      <c r="M24" s="35">
        <v>27139</v>
      </c>
      <c r="N24" s="33">
        <v>12456</v>
      </c>
      <c r="O24" s="34">
        <v>20450</v>
      </c>
      <c r="P24" s="34">
        <v>31307</v>
      </c>
      <c r="Q24" s="34">
        <v>41702</v>
      </c>
      <c r="R24" s="34">
        <v>41443</v>
      </c>
      <c r="S24" s="34">
        <v>41515</v>
      </c>
      <c r="T24" s="34">
        <v>41478</v>
      </c>
      <c r="U24" s="34">
        <v>41469</v>
      </c>
      <c r="V24" s="35">
        <v>41401</v>
      </c>
      <c r="X24" s="93"/>
      <c r="Y24" s="98" t="s">
        <v>8</v>
      </c>
      <c r="Z24" s="4">
        <v>0.25</v>
      </c>
      <c r="AA24" s="15">
        <f t="shared" si="2"/>
        <v>1.4688150629130081</v>
      </c>
      <c r="AB24" s="16">
        <f t="shared" si="2"/>
        <v>1.5145372985545771</v>
      </c>
      <c r="AC24" s="16">
        <f t="shared" si="2"/>
        <v>1.4451690278090099</v>
      </c>
      <c r="AD24" s="16">
        <f t="shared" si="3"/>
        <v>1.6225204630926924</v>
      </c>
      <c r="AE24" s="16">
        <f t="shared" si="3"/>
        <v>1.6192721379107116</v>
      </c>
      <c r="AF24" s="16">
        <f t="shared" si="3"/>
        <v>1.6219085179315174</v>
      </c>
      <c r="AG24" s="16">
        <f t="shared" si="3"/>
        <v>1.6195928284799175</v>
      </c>
      <c r="AH24" s="16">
        <f t="shared" si="3"/>
        <v>1.6194246989061176</v>
      </c>
      <c r="AI24" s="17">
        <f t="shared" si="3"/>
        <v>1.621835734551752</v>
      </c>
      <c r="AJ24" s="15">
        <f t="shared" si="3"/>
        <v>1.3455362877328194</v>
      </c>
      <c r="AK24" s="16">
        <f t="shared" si="3"/>
        <v>1.4463569682151589</v>
      </c>
      <c r="AL24" s="16">
        <f t="shared" si="3"/>
        <v>1.4712364646884084</v>
      </c>
      <c r="AM24" s="16">
        <f t="shared" si="3"/>
        <v>1.4238645628507025</v>
      </c>
      <c r="AN24" s="16">
        <f t="shared" si="3"/>
        <v>1.4383369929783076</v>
      </c>
      <c r="AO24" s="16">
        <f t="shared" si="3"/>
        <v>1.4316271227267252</v>
      </c>
      <c r="AP24" s="16">
        <f t="shared" si="3"/>
        <v>1.4342543034861854</v>
      </c>
      <c r="AQ24" s="16">
        <f t="shared" si="3"/>
        <v>1.4353131254672165</v>
      </c>
      <c r="AR24" s="17">
        <f t="shared" si="3"/>
        <v>1.4362938093282771</v>
      </c>
    </row>
    <row r="25" spans="2:44" ht="15" customHeight="1">
      <c r="B25" s="93"/>
      <c r="C25" s="96"/>
      <c r="D25" s="5">
        <v>0.5</v>
      </c>
      <c r="E25" s="27">
        <v>24454</v>
      </c>
      <c r="F25" s="28">
        <v>34625</v>
      </c>
      <c r="G25" s="28">
        <v>34940</v>
      </c>
      <c r="H25" s="28">
        <v>34758</v>
      </c>
      <c r="I25" s="28">
        <v>34582</v>
      </c>
      <c r="J25" s="28">
        <v>34631</v>
      </c>
      <c r="K25" s="28">
        <v>34646</v>
      </c>
      <c r="L25" s="28">
        <v>34662</v>
      </c>
      <c r="M25" s="29">
        <v>34655</v>
      </c>
      <c r="N25" s="27">
        <v>26589</v>
      </c>
      <c r="O25" s="28">
        <v>41129</v>
      </c>
      <c r="P25" s="28">
        <v>50790</v>
      </c>
      <c r="Q25" s="28">
        <v>50577</v>
      </c>
      <c r="R25" s="28">
        <v>50496</v>
      </c>
      <c r="S25" s="28">
        <v>50385</v>
      </c>
      <c r="T25" s="28">
        <v>50563</v>
      </c>
      <c r="U25" s="28">
        <v>50528</v>
      </c>
      <c r="V25" s="29">
        <v>50520</v>
      </c>
      <c r="X25" s="93"/>
      <c r="Y25" s="96"/>
      <c r="Z25" s="5">
        <v>0.5</v>
      </c>
      <c r="AA25" s="18">
        <f t="shared" si="2"/>
        <v>1.52613069436493</v>
      </c>
      <c r="AB25" s="12">
        <f t="shared" si="2"/>
        <v>1.5866570397111914</v>
      </c>
      <c r="AC25" s="12">
        <f t="shared" si="2"/>
        <v>1.8208929593589009</v>
      </c>
      <c r="AD25" s="12">
        <f t="shared" si="3"/>
        <v>1.8308303124460557</v>
      </c>
      <c r="AE25" s="12">
        <f t="shared" si="3"/>
        <v>1.8407263894511596</v>
      </c>
      <c r="AF25" s="12">
        <f t="shared" si="3"/>
        <v>1.8368225000721896</v>
      </c>
      <c r="AG25" s="12">
        <f t="shared" si="3"/>
        <v>1.9486520810483172</v>
      </c>
      <c r="AH25" s="12">
        <f t="shared" si="3"/>
        <v>1.9461369799780739</v>
      </c>
      <c r="AI25" s="19">
        <f t="shared" si="3"/>
        <v>1.9456066945606694</v>
      </c>
      <c r="AJ25" s="18">
        <f t="shared" si="3"/>
        <v>1.4786565873105419</v>
      </c>
      <c r="AK25" s="12">
        <f t="shared" si="3"/>
        <v>1.4994286270028447</v>
      </c>
      <c r="AL25" s="12">
        <f t="shared" si="3"/>
        <v>1.6184485134869069</v>
      </c>
      <c r="AM25" s="12">
        <f t="shared" si="3"/>
        <v>1.610732150977717</v>
      </c>
      <c r="AN25" s="12">
        <f t="shared" si="3"/>
        <v>1.6129000316856781</v>
      </c>
      <c r="AO25" s="12">
        <f t="shared" si="3"/>
        <v>1.6176838344745459</v>
      </c>
      <c r="AP25" s="12">
        <f t="shared" si="3"/>
        <v>1.6113363526689477</v>
      </c>
      <c r="AQ25" s="12">
        <f t="shared" si="3"/>
        <v>1.6134816339455351</v>
      </c>
      <c r="AR25" s="19">
        <f t="shared" si="3"/>
        <v>1.6128463974663501</v>
      </c>
    </row>
    <row r="26" spans="2:44" ht="15" customHeight="1">
      <c r="B26" s="93"/>
      <c r="C26" s="96"/>
      <c r="D26" s="5">
        <v>0.75</v>
      </c>
      <c r="E26" s="27">
        <v>40130</v>
      </c>
      <c r="F26" s="28">
        <v>40292</v>
      </c>
      <c r="G26" s="28">
        <v>40374</v>
      </c>
      <c r="H26" s="28">
        <v>40522</v>
      </c>
      <c r="I26" s="28">
        <v>40654</v>
      </c>
      <c r="J26" s="28">
        <v>40725</v>
      </c>
      <c r="K26" s="28">
        <v>40824</v>
      </c>
      <c r="L26" s="28">
        <v>40738</v>
      </c>
      <c r="M26" s="29">
        <v>40727</v>
      </c>
      <c r="N26" s="27">
        <v>49433</v>
      </c>
      <c r="O26" s="28">
        <v>54005</v>
      </c>
      <c r="P26" s="28">
        <v>54303</v>
      </c>
      <c r="Q26" s="28">
        <v>54207</v>
      </c>
      <c r="R26" s="28">
        <v>54197</v>
      </c>
      <c r="S26" s="28">
        <v>54196</v>
      </c>
      <c r="T26" s="28">
        <v>54217</v>
      </c>
      <c r="U26" s="28">
        <v>54217</v>
      </c>
      <c r="V26" s="29">
        <v>54215</v>
      </c>
      <c r="X26" s="93"/>
      <c r="Y26" s="96"/>
      <c r="Z26" s="5">
        <v>0.75</v>
      </c>
      <c r="AA26" s="18">
        <f t="shared" si="2"/>
        <v>1.7253924744580114</v>
      </c>
      <c r="AB26" s="12">
        <f t="shared" si="2"/>
        <v>1.9427677950958007</v>
      </c>
      <c r="AC26" s="12">
        <f t="shared" si="2"/>
        <v>1.9399365928567891</v>
      </c>
      <c r="AD26" s="12">
        <f t="shared" si="3"/>
        <v>1.9328759686096442</v>
      </c>
      <c r="AE26" s="12">
        <f t="shared" si="3"/>
        <v>1.9266738820288287</v>
      </c>
      <c r="AF26" s="12">
        <f t="shared" si="3"/>
        <v>1.9229711479435236</v>
      </c>
      <c r="AG26" s="12">
        <f t="shared" si="3"/>
        <v>1.9428277483833039</v>
      </c>
      <c r="AH26" s="12">
        <f t="shared" si="3"/>
        <v>1.9462418380872895</v>
      </c>
      <c r="AI26" s="19">
        <f t="shared" si="3"/>
        <v>1.9480197412036242</v>
      </c>
      <c r="AJ26" s="18">
        <f t="shared" si="3"/>
        <v>1.4801650719155219</v>
      </c>
      <c r="AK26" s="12">
        <f t="shared" si="3"/>
        <v>1.7800388852883993</v>
      </c>
      <c r="AL26" s="12">
        <f t="shared" si="3"/>
        <v>1.7670478610758154</v>
      </c>
      <c r="AM26" s="12">
        <f t="shared" si="3"/>
        <v>1.7716162119283487</v>
      </c>
      <c r="AN26" s="12">
        <f t="shared" si="3"/>
        <v>1.7736775098252671</v>
      </c>
      <c r="AO26" s="12">
        <f t="shared" si="3"/>
        <v>1.7719757915713337</v>
      </c>
      <c r="AP26" s="12">
        <f t="shared" si="3"/>
        <v>1.7683383440618257</v>
      </c>
      <c r="AQ26" s="12">
        <f t="shared" si="3"/>
        <v>1.769887673607909</v>
      </c>
      <c r="AR26" s="19">
        <f t="shared" si="3"/>
        <v>1.7694549478926496</v>
      </c>
    </row>
    <row r="27" spans="2:44" ht="15" customHeight="1" thickBot="1">
      <c r="B27" s="94"/>
      <c r="C27" s="97"/>
      <c r="D27" s="6">
        <v>1</v>
      </c>
      <c r="E27" s="30">
        <v>42051</v>
      </c>
      <c r="F27" s="31">
        <v>42178</v>
      </c>
      <c r="G27" s="31">
        <v>42166</v>
      </c>
      <c r="H27" s="31">
        <v>42157</v>
      </c>
      <c r="I27" s="31">
        <v>42170</v>
      </c>
      <c r="J27" s="31">
        <v>42159</v>
      </c>
      <c r="K27" s="31">
        <v>42156</v>
      </c>
      <c r="L27" s="31">
        <v>42165</v>
      </c>
      <c r="M27" s="32">
        <v>42072</v>
      </c>
      <c r="N27" s="30">
        <v>54089</v>
      </c>
      <c r="O27" s="31">
        <v>54237</v>
      </c>
      <c r="P27" s="31">
        <v>54162</v>
      </c>
      <c r="Q27" s="31">
        <v>54260</v>
      </c>
      <c r="R27" s="31">
        <v>54361</v>
      </c>
      <c r="S27" s="31">
        <v>54205</v>
      </c>
      <c r="T27" s="31">
        <v>54112</v>
      </c>
      <c r="U27" s="31">
        <v>54220</v>
      </c>
      <c r="V27" s="32">
        <v>54158</v>
      </c>
      <c r="X27" s="94"/>
      <c r="Y27" s="97"/>
      <c r="Z27" s="6">
        <v>1</v>
      </c>
      <c r="AA27" s="20">
        <f t="shared" si="2"/>
        <v>2.1517918717747495</v>
      </c>
      <c r="AB27" s="21">
        <f t="shared" si="2"/>
        <v>2.1498648584570157</v>
      </c>
      <c r="AC27" s="21">
        <f t="shared" si="2"/>
        <v>2.1444528767253237</v>
      </c>
      <c r="AD27" s="21">
        <f t="shared" si="3"/>
        <v>2.1484925397917309</v>
      </c>
      <c r="AE27" s="21">
        <f t="shared" si="3"/>
        <v>2.1468105288119514</v>
      </c>
      <c r="AF27" s="21">
        <f t="shared" si="3"/>
        <v>2.1449749756872789</v>
      </c>
      <c r="AG27" s="21">
        <f t="shared" si="3"/>
        <v>2.1483774551665245</v>
      </c>
      <c r="AH27" s="21">
        <f t="shared" si="3"/>
        <v>2.1471362504446816</v>
      </c>
      <c r="AI27" s="22">
        <f t="shared" si="3"/>
        <v>2.1503137478608099</v>
      </c>
      <c r="AJ27" s="20">
        <f t="shared" si="3"/>
        <v>1.680304683022426</v>
      </c>
      <c r="AK27" s="21">
        <f t="shared" si="3"/>
        <v>1.6757195272599885</v>
      </c>
      <c r="AL27" s="21">
        <f t="shared" si="3"/>
        <v>1.6780399542114397</v>
      </c>
      <c r="AM27" s="21">
        <f t="shared" si="3"/>
        <v>1.6750092148912643</v>
      </c>
      <c r="AN27" s="21">
        <f t="shared" si="3"/>
        <v>1.6718971321351703</v>
      </c>
      <c r="AO27" s="21">
        <f t="shared" si="3"/>
        <v>1.6767087907019647</v>
      </c>
      <c r="AP27" s="21">
        <f t="shared" si="3"/>
        <v>1.679590479006505</v>
      </c>
      <c r="AQ27" s="21">
        <f t="shared" si="3"/>
        <v>1.6762264846919956</v>
      </c>
      <c r="AR27" s="22">
        <f t="shared" si="3"/>
        <v>1.678126961852358</v>
      </c>
    </row>
    <row r="28" spans="2:44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44" ht="15" customHeight="1" thickBot="1">
      <c r="B29" s="112" t="s">
        <v>69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4"/>
      <c r="M29" s="85"/>
      <c r="N29" s="83" t="s">
        <v>24</v>
      </c>
      <c r="O29" s="84"/>
      <c r="P29" s="84"/>
      <c r="Q29" s="84"/>
      <c r="R29" s="84"/>
      <c r="S29" s="84"/>
      <c r="T29" s="84"/>
      <c r="U29" s="84"/>
      <c r="V29" s="85"/>
      <c r="X29" s="13" t="s">
        <v>20</v>
      </c>
      <c r="Y29" s="14">
        <f>(COUNTIF(AA4:AR11,"&lt;1.1")+COUNTIF(AA16:AR23,"&lt;1.1"))/(COUNT(AA4:AR11)+COUNT(AA16:AR23))</f>
        <v>0.97916666666666663</v>
      </c>
      <c r="Z29" s="109" t="s">
        <v>19</v>
      </c>
      <c r="AA29" s="110"/>
      <c r="AB29" s="110"/>
      <c r="AC29" s="110"/>
      <c r="AD29" s="111"/>
    </row>
    <row r="30" spans="2:44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2" t="s">
        <v>23</v>
      </c>
      <c r="M30" s="3" t="s">
        <v>17</v>
      </c>
      <c r="N30" s="1" t="s">
        <v>0</v>
      </c>
      <c r="O30" s="2" t="s">
        <v>1</v>
      </c>
      <c r="P30" s="2" t="s">
        <v>2</v>
      </c>
      <c r="Q30" s="2" t="s">
        <v>3</v>
      </c>
      <c r="R30" s="2" t="s">
        <v>4</v>
      </c>
      <c r="S30" s="2" t="s">
        <v>18</v>
      </c>
      <c r="T30" s="2" t="s">
        <v>16</v>
      </c>
      <c r="U30" s="2" t="s">
        <v>23</v>
      </c>
      <c r="V30" s="3" t="s">
        <v>17</v>
      </c>
      <c r="X30" s="13" t="s">
        <v>21</v>
      </c>
      <c r="Y30" s="23">
        <f>(COUNTIF(AA4:AR11,"&lt;1.1"))/(COUNT(AA4:AR11))</f>
        <v>0.98611111111111116</v>
      </c>
      <c r="Z30" s="109" t="s">
        <v>19</v>
      </c>
      <c r="AA30" s="110"/>
      <c r="AB30" s="110"/>
      <c r="AC30" s="110"/>
      <c r="AD30" s="111"/>
    </row>
    <row r="31" spans="2:44" ht="15" customHeight="1" thickBot="1">
      <c r="B31" s="92" t="s">
        <v>5</v>
      </c>
      <c r="C31" s="98" t="s">
        <v>6</v>
      </c>
      <c r="D31" s="4">
        <v>0.25</v>
      </c>
      <c r="E31" s="36">
        <v>382</v>
      </c>
      <c r="F31" s="37">
        <v>418</v>
      </c>
      <c r="G31" s="37">
        <v>434</v>
      </c>
      <c r="H31" s="37">
        <v>442</v>
      </c>
      <c r="I31" s="37">
        <v>446</v>
      </c>
      <c r="J31" s="37">
        <v>446</v>
      </c>
      <c r="K31" s="37">
        <v>1688</v>
      </c>
      <c r="L31" s="37">
        <v>8096</v>
      </c>
      <c r="M31" s="38">
        <v>22400</v>
      </c>
      <c r="N31" s="36">
        <v>490</v>
      </c>
      <c r="O31" s="37">
        <v>556</v>
      </c>
      <c r="P31" s="37">
        <v>596</v>
      </c>
      <c r="Q31" s="37">
        <v>620</v>
      </c>
      <c r="R31" s="37">
        <v>628</v>
      </c>
      <c r="S31" s="37">
        <v>636</v>
      </c>
      <c r="T31" s="37">
        <v>636</v>
      </c>
      <c r="U31" s="37">
        <v>7136</v>
      </c>
      <c r="V31" s="38">
        <v>19840</v>
      </c>
      <c r="X31" s="13" t="s">
        <v>22</v>
      </c>
      <c r="Y31" s="23">
        <f>COUNTIF(AA16:AR23,"&lt;1.1")/+COUNT(AA16:AR23)</f>
        <v>0.97222222222222221</v>
      </c>
      <c r="Z31" s="109" t="s">
        <v>19</v>
      </c>
      <c r="AA31" s="110"/>
      <c r="AB31" s="110"/>
      <c r="AC31" s="110"/>
      <c r="AD31" s="111"/>
    </row>
    <row r="32" spans="2:44" ht="15" customHeight="1">
      <c r="B32" s="93"/>
      <c r="C32" s="96"/>
      <c r="D32" s="5">
        <v>0.5</v>
      </c>
      <c r="E32" s="39">
        <v>310</v>
      </c>
      <c r="F32" s="40">
        <v>378</v>
      </c>
      <c r="G32" s="40">
        <v>438</v>
      </c>
      <c r="H32" s="40">
        <v>450</v>
      </c>
      <c r="I32" s="40">
        <v>454</v>
      </c>
      <c r="J32" s="40">
        <v>454</v>
      </c>
      <c r="K32" s="40">
        <v>1752</v>
      </c>
      <c r="L32" s="40">
        <v>6624</v>
      </c>
      <c r="M32" s="41">
        <v>17536</v>
      </c>
      <c r="N32" s="39">
        <v>366</v>
      </c>
      <c r="O32" s="40">
        <v>466</v>
      </c>
      <c r="P32" s="40">
        <v>572</v>
      </c>
      <c r="Q32" s="40">
        <v>652</v>
      </c>
      <c r="R32" s="40">
        <v>756</v>
      </c>
      <c r="S32" s="40">
        <v>876</v>
      </c>
      <c r="T32" s="40">
        <v>940</v>
      </c>
      <c r="U32" s="40">
        <v>5536</v>
      </c>
      <c r="V32" s="41">
        <v>17024</v>
      </c>
    </row>
    <row r="33" spans="2:31" ht="15" customHeight="1">
      <c r="B33" s="93"/>
      <c r="C33" s="96"/>
      <c r="D33" s="5">
        <v>0.75</v>
      </c>
      <c r="E33" s="39">
        <v>258</v>
      </c>
      <c r="F33" s="40">
        <v>314</v>
      </c>
      <c r="G33" s="40">
        <v>398</v>
      </c>
      <c r="H33" s="40">
        <v>532</v>
      </c>
      <c r="I33" s="40">
        <v>796</v>
      </c>
      <c r="J33" s="40">
        <v>1304</v>
      </c>
      <c r="K33" s="40">
        <v>2288</v>
      </c>
      <c r="L33" s="40">
        <v>6752</v>
      </c>
      <c r="M33" s="41">
        <v>15424</v>
      </c>
      <c r="N33" s="39">
        <v>270</v>
      </c>
      <c r="O33" s="40">
        <v>346</v>
      </c>
      <c r="P33" s="40">
        <v>446</v>
      </c>
      <c r="Q33" s="40">
        <v>588</v>
      </c>
      <c r="R33" s="40">
        <v>852</v>
      </c>
      <c r="S33" s="40">
        <v>1288</v>
      </c>
      <c r="T33" s="40">
        <v>2064</v>
      </c>
      <c r="U33" s="40">
        <v>5280</v>
      </c>
      <c r="V33" s="41">
        <v>11328</v>
      </c>
    </row>
    <row r="34" spans="2:31" ht="15" customHeight="1" thickBot="1">
      <c r="B34" s="93"/>
      <c r="C34" s="97"/>
      <c r="D34" s="6">
        <v>1</v>
      </c>
      <c r="E34" s="42">
        <v>106</v>
      </c>
      <c r="F34" s="43">
        <v>120</v>
      </c>
      <c r="G34" s="43">
        <v>159</v>
      </c>
      <c r="H34" s="43">
        <v>243</v>
      </c>
      <c r="I34" s="43">
        <v>446</v>
      </c>
      <c r="J34" s="43">
        <v>900</v>
      </c>
      <c r="K34" s="43">
        <v>1704</v>
      </c>
      <c r="L34" s="43">
        <v>2864</v>
      </c>
      <c r="M34" s="44">
        <v>6432</v>
      </c>
      <c r="N34" s="42">
        <v>98</v>
      </c>
      <c r="O34" s="43">
        <v>108</v>
      </c>
      <c r="P34" s="43">
        <v>125</v>
      </c>
      <c r="Q34" s="43">
        <v>165</v>
      </c>
      <c r="R34" s="43">
        <v>258</v>
      </c>
      <c r="S34" s="43">
        <v>486</v>
      </c>
      <c r="T34" s="43">
        <v>908</v>
      </c>
      <c r="U34" s="43">
        <v>1752</v>
      </c>
      <c r="V34" s="44">
        <v>3952</v>
      </c>
    </row>
    <row r="35" spans="2:31" ht="15" customHeight="1">
      <c r="B35" s="93"/>
      <c r="C35" s="98" t="s">
        <v>7</v>
      </c>
      <c r="D35" s="4">
        <v>0.25</v>
      </c>
      <c r="E35" s="36">
        <v>884</v>
      </c>
      <c r="F35" s="37">
        <v>924</v>
      </c>
      <c r="G35" s="37">
        <v>956</v>
      </c>
      <c r="H35" s="37">
        <v>972</v>
      </c>
      <c r="I35" s="37">
        <v>972</v>
      </c>
      <c r="J35" s="37">
        <v>980</v>
      </c>
      <c r="K35" s="37">
        <v>1960</v>
      </c>
      <c r="L35" s="37">
        <v>10432</v>
      </c>
      <c r="M35" s="38">
        <v>29568</v>
      </c>
      <c r="N35" s="36">
        <v>884</v>
      </c>
      <c r="O35" s="37">
        <v>948</v>
      </c>
      <c r="P35" s="37">
        <v>996</v>
      </c>
      <c r="Q35" s="37">
        <v>1032</v>
      </c>
      <c r="R35" s="37">
        <v>1064</v>
      </c>
      <c r="S35" s="37">
        <v>1064</v>
      </c>
      <c r="T35" s="37">
        <v>1080</v>
      </c>
      <c r="U35" s="37">
        <v>9792</v>
      </c>
      <c r="V35" s="38">
        <v>25728</v>
      </c>
    </row>
    <row r="36" spans="2:31" ht="15" customHeight="1">
      <c r="B36" s="93"/>
      <c r="C36" s="96"/>
      <c r="D36" s="5">
        <v>0.5</v>
      </c>
      <c r="E36" s="39">
        <v>844</v>
      </c>
      <c r="F36" s="40">
        <v>884</v>
      </c>
      <c r="G36" s="40">
        <v>924</v>
      </c>
      <c r="H36" s="40">
        <v>1032</v>
      </c>
      <c r="I36" s="40">
        <v>1176</v>
      </c>
      <c r="J36" s="40">
        <v>1160</v>
      </c>
      <c r="K36" s="40">
        <v>2352</v>
      </c>
      <c r="L36" s="40">
        <v>8768</v>
      </c>
      <c r="M36" s="41">
        <v>23168</v>
      </c>
      <c r="N36" s="39">
        <v>796</v>
      </c>
      <c r="O36" s="40">
        <v>884</v>
      </c>
      <c r="P36" s="40">
        <v>972</v>
      </c>
      <c r="Q36" s="40">
        <v>1112</v>
      </c>
      <c r="R36" s="40">
        <v>1256</v>
      </c>
      <c r="S36" s="40">
        <v>1496</v>
      </c>
      <c r="T36" s="40">
        <v>1912</v>
      </c>
      <c r="U36" s="40">
        <v>7392</v>
      </c>
      <c r="V36" s="41">
        <v>21120</v>
      </c>
    </row>
    <row r="37" spans="2:31" ht="15" customHeight="1">
      <c r="B37" s="93"/>
      <c r="C37" s="96"/>
      <c r="D37" s="5">
        <v>0.75</v>
      </c>
      <c r="E37" s="39">
        <v>556</v>
      </c>
      <c r="F37" s="40">
        <v>740</v>
      </c>
      <c r="G37" s="40">
        <v>876</v>
      </c>
      <c r="H37" s="40">
        <v>980</v>
      </c>
      <c r="I37" s="40">
        <v>1336</v>
      </c>
      <c r="J37" s="40">
        <v>2096</v>
      </c>
      <c r="K37" s="40">
        <v>3088</v>
      </c>
      <c r="L37" s="40">
        <v>8256</v>
      </c>
      <c r="M37" s="41">
        <v>19584</v>
      </c>
      <c r="N37" s="39">
        <v>740</v>
      </c>
      <c r="O37" s="40">
        <v>772</v>
      </c>
      <c r="P37" s="40">
        <v>876</v>
      </c>
      <c r="Q37" s="40">
        <v>1064</v>
      </c>
      <c r="R37" s="40">
        <v>1384</v>
      </c>
      <c r="S37" s="40">
        <v>1864</v>
      </c>
      <c r="T37" s="40">
        <v>2672</v>
      </c>
      <c r="U37" s="40">
        <v>6560</v>
      </c>
      <c r="V37" s="41">
        <v>15680</v>
      </c>
    </row>
    <row r="38" spans="2:31" ht="15" customHeight="1" thickBot="1">
      <c r="B38" s="93"/>
      <c r="C38" s="97"/>
      <c r="D38" s="6">
        <v>1</v>
      </c>
      <c r="E38" s="42">
        <v>153</v>
      </c>
      <c r="F38" s="43">
        <v>193</v>
      </c>
      <c r="G38" s="43">
        <v>266</v>
      </c>
      <c r="H38" s="43">
        <v>442</v>
      </c>
      <c r="I38" s="43">
        <v>812</v>
      </c>
      <c r="J38" s="43">
        <v>1640</v>
      </c>
      <c r="K38" s="46">
        <v>3024</v>
      </c>
      <c r="L38" s="43">
        <v>4320</v>
      </c>
      <c r="M38" s="44">
        <v>7968</v>
      </c>
      <c r="N38" s="42">
        <v>139</v>
      </c>
      <c r="O38" s="43">
        <v>161</v>
      </c>
      <c r="P38" s="43">
        <v>203</v>
      </c>
      <c r="Q38" s="43">
        <v>282</v>
      </c>
      <c r="R38" s="43">
        <v>478</v>
      </c>
      <c r="S38" s="43">
        <v>916</v>
      </c>
      <c r="T38" s="46">
        <v>1656</v>
      </c>
      <c r="U38" s="43">
        <v>2576</v>
      </c>
      <c r="V38" s="44">
        <v>4832</v>
      </c>
    </row>
    <row r="39" spans="2:31" ht="15" customHeight="1">
      <c r="B39" s="93"/>
      <c r="C39" s="98" t="s">
        <v>8</v>
      </c>
      <c r="D39" s="4">
        <v>0.25</v>
      </c>
      <c r="E39" s="36">
        <v>23082</v>
      </c>
      <c r="F39" s="37">
        <v>26092</v>
      </c>
      <c r="G39" s="37">
        <v>26116</v>
      </c>
      <c r="H39" s="37">
        <v>26106</v>
      </c>
      <c r="I39" s="37">
        <v>26118</v>
      </c>
      <c r="J39" s="37">
        <v>26114</v>
      </c>
      <c r="K39" s="37">
        <v>26435</v>
      </c>
      <c r="L39" s="37">
        <v>26429</v>
      </c>
      <c r="M39" s="38">
        <v>26434</v>
      </c>
      <c r="N39" s="36">
        <v>24390</v>
      </c>
      <c r="O39" s="37">
        <v>32048</v>
      </c>
      <c r="P39" s="37">
        <v>31979</v>
      </c>
      <c r="Q39" s="37">
        <v>32014</v>
      </c>
      <c r="R39" s="37">
        <v>32045</v>
      </c>
      <c r="S39" s="37">
        <v>32020</v>
      </c>
      <c r="T39" s="37">
        <v>31957</v>
      </c>
      <c r="U39" s="37">
        <v>31985</v>
      </c>
      <c r="V39" s="38">
        <v>31974</v>
      </c>
    </row>
    <row r="40" spans="2:31" ht="15" customHeight="1">
      <c r="B40" s="93"/>
      <c r="C40" s="96"/>
      <c r="D40" s="5">
        <v>0.5</v>
      </c>
      <c r="E40" s="39">
        <v>37330</v>
      </c>
      <c r="F40" s="40">
        <v>54952</v>
      </c>
      <c r="G40" s="40">
        <v>63631</v>
      </c>
      <c r="H40" s="40">
        <v>63657</v>
      </c>
      <c r="I40" s="40">
        <v>63656</v>
      </c>
      <c r="J40" s="40">
        <v>63614</v>
      </c>
      <c r="K40" s="40">
        <v>67493</v>
      </c>
      <c r="L40" s="40">
        <v>67422</v>
      </c>
      <c r="M40" s="41">
        <v>67420</v>
      </c>
      <c r="N40" s="39">
        <v>39317</v>
      </c>
      <c r="O40" s="40">
        <v>61676</v>
      </c>
      <c r="P40" s="40">
        <v>82199</v>
      </c>
      <c r="Q40" s="40">
        <v>81467</v>
      </c>
      <c r="R40" s="40">
        <v>81463</v>
      </c>
      <c r="S40" s="40">
        <v>81503</v>
      </c>
      <c r="T40" s="40">
        <v>81472</v>
      </c>
      <c r="U40" s="40">
        <v>81540</v>
      </c>
      <c r="V40" s="41">
        <v>81487</v>
      </c>
    </row>
    <row r="41" spans="2:31" ht="15" customHeight="1">
      <c r="B41" s="93"/>
      <c r="C41" s="96"/>
      <c r="D41" s="5">
        <v>0.75</v>
      </c>
      <c r="E41" s="39">
        <v>48664</v>
      </c>
      <c r="F41" s="40">
        <v>82054</v>
      </c>
      <c r="G41" s="40">
        <v>115651</v>
      </c>
      <c r="H41" s="40">
        <v>132003</v>
      </c>
      <c r="I41" s="40">
        <v>131883</v>
      </c>
      <c r="J41" s="40">
        <v>132014</v>
      </c>
      <c r="K41" s="40">
        <v>131929</v>
      </c>
      <c r="L41" s="40">
        <v>131904</v>
      </c>
      <c r="M41" s="41">
        <v>132072</v>
      </c>
      <c r="N41" s="39">
        <v>50293</v>
      </c>
      <c r="O41" s="40">
        <v>88747</v>
      </c>
      <c r="P41" s="40">
        <v>138204</v>
      </c>
      <c r="Q41" s="40">
        <v>178127</v>
      </c>
      <c r="R41" s="40">
        <v>178804</v>
      </c>
      <c r="S41" s="40">
        <v>178253</v>
      </c>
      <c r="T41" s="40">
        <v>178461</v>
      </c>
      <c r="U41" s="40">
        <v>178569</v>
      </c>
      <c r="V41" s="41">
        <v>178366</v>
      </c>
    </row>
    <row r="42" spans="2:31" ht="15" customHeight="1" thickBot="1">
      <c r="B42" s="94"/>
      <c r="C42" s="97"/>
      <c r="D42" s="6">
        <v>1</v>
      </c>
      <c r="E42" s="42">
        <v>60771</v>
      </c>
      <c r="F42" s="43">
        <v>115695</v>
      </c>
      <c r="G42" s="43">
        <v>209266</v>
      </c>
      <c r="H42" s="43">
        <v>338704</v>
      </c>
      <c r="I42" s="43">
        <v>460733</v>
      </c>
      <c r="J42" s="43">
        <v>536368</v>
      </c>
      <c r="K42" s="43">
        <v>570289</v>
      </c>
      <c r="L42" s="43">
        <v>570445</v>
      </c>
      <c r="M42" s="44">
        <v>570416</v>
      </c>
      <c r="N42" s="42">
        <v>61795</v>
      </c>
      <c r="O42" s="43">
        <v>120053</v>
      </c>
      <c r="P42" s="43">
        <v>226734</v>
      </c>
      <c r="Q42" s="43">
        <v>401436</v>
      </c>
      <c r="R42" s="43">
        <v>628380</v>
      </c>
      <c r="S42" s="43">
        <v>821523</v>
      </c>
      <c r="T42" s="43">
        <v>851325</v>
      </c>
      <c r="U42" s="43">
        <v>851114</v>
      </c>
      <c r="V42" s="44">
        <v>856323</v>
      </c>
    </row>
    <row r="43" spans="2:31" ht="15" customHeight="1">
      <c r="B43" s="83" t="s">
        <v>9</v>
      </c>
      <c r="C43" s="98" t="s">
        <v>6</v>
      </c>
      <c r="D43" s="4">
        <v>0.25</v>
      </c>
      <c r="E43" s="36">
        <v>13</v>
      </c>
      <c r="F43" s="37">
        <v>14</v>
      </c>
      <c r="G43" s="37">
        <v>16</v>
      </c>
      <c r="H43" s="37">
        <v>98</v>
      </c>
      <c r="I43" s="37">
        <v>119</v>
      </c>
      <c r="J43" s="37">
        <v>111</v>
      </c>
      <c r="K43" s="37">
        <v>119</v>
      </c>
      <c r="L43" s="37">
        <v>4768</v>
      </c>
      <c r="M43" s="38">
        <v>13504</v>
      </c>
      <c r="N43" s="36">
        <v>13</v>
      </c>
      <c r="O43" s="37">
        <v>14</v>
      </c>
      <c r="P43" s="37">
        <v>16</v>
      </c>
      <c r="Q43" s="37">
        <v>18</v>
      </c>
      <c r="R43" s="37">
        <v>17</v>
      </c>
      <c r="S43" s="37">
        <v>18</v>
      </c>
      <c r="T43" s="37">
        <v>18</v>
      </c>
      <c r="U43" s="37">
        <v>3792</v>
      </c>
      <c r="V43" s="38">
        <v>9920</v>
      </c>
    </row>
    <row r="44" spans="2:31" ht="15" customHeight="1">
      <c r="B44" s="93"/>
      <c r="C44" s="96"/>
      <c r="D44" s="5">
        <v>0.5</v>
      </c>
      <c r="E44" s="39">
        <v>13</v>
      </c>
      <c r="F44" s="40">
        <v>15</v>
      </c>
      <c r="G44" s="40">
        <v>173</v>
      </c>
      <c r="H44" s="40">
        <v>478</v>
      </c>
      <c r="I44" s="40">
        <v>1080</v>
      </c>
      <c r="J44" s="40">
        <v>2256</v>
      </c>
      <c r="K44" s="40">
        <v>3696</v>
      </c>
      <c r="L44" s="40">
        <v>9152</v>
      </c>
      <c r="M44" s="41">
        <v>20096</v>
      </c>
      <c r="N44" s="39">
        <v>13</v>
      </c>
      <c r="O44" s="40">
        <v>15</v>
      </c>
      <c r="P44" s="40">
        <v>135</v>
      </c>
      <c r="Q44" s="40">
        <v>478</v>
      </c>
      <c r="R44" s="40">
        <v>1032</v>
      </c>
      <c r="S44" s="40">
        <v>2128</v>
      </c>
      <c r="T44" s="40">
        <v>4256</v>
      </c>
      <c r="U44" s="40">
        <v>8384</v>
      </c>
      <c r="V44" s="41">
        <v>19584</v>
      </c>
    </row>
    <row r="45" spans="2:31" ht="15" customHeight="1">
      <c r="B45" s="93"/>
      <c r="C45" s="96"/>
      <c r="D45" s="5">
        <v>0.75</v>
      </c>
      <c r="E45" s="39">
        <v>13</v>
      </c>
      <c r="F45" s="40">
        <v>121</v>
      </c>
      <c r="G45" s="40">
        <v>245</v>
      </c>
      <c r="H45" s="40">
        <v>490</v>
      </c>
      <c r="I45" s="40">
        <v>980</v>
      </c>
      <c r="J45" s="40">
        <v>1960</v>
      </c>
      <c r="K45" s="40">
        <v>3856</v>
      </c>
      <c r="L45" s="40">
        <v>10688</v>
      </c>
      <c r="M45" s="41">
        <v>25216</v>
      </c>
      <c r="N45" s="39">
        <v>13</v>
      </c>
      <c r="O45" s="40">
        <v>118</v>
      </c>
      <c r="P45" s="40">
        <v>270</v>
      </c>
      <c r="Q45" s="40">
        <v>540</v>
      </c>
      <c r="R45" s="40">
        <v>1080</v>
      </c>
      <c r="S45" s="40">
        <v>2192</v>
      </c>
      <c r="T45" s="40">
        <v>4320</v>
      </c>
      <c r="U45" s="40">
        <v>9664</v>
      </c>
      <c r="V45" s="41">
        <v>22400</v>
      </c>
      <c r="AE45" s="11" t="s">
        <v>64</v>
      </c>
    </row>
    <row r="46" spans="2:31" ht="15" customHeight="1" thickBot="1">
      <c r="B46" s="93"/>
      <c r="C46" s="97"/>
      <c r="D46" s="6">
        <v>1</v>
      </c>
      <c r="E46" s="42">
        <v>60</v>
      </c>
      <c r="F46" s="43">
        <v>122</v>
      </c>
      <c r="G46" s="43">
        <v>245</v>
      </c>
      <c r="H46" s="43">
        <v>490</v>
      </c>
      <c r="I46" s="43">
        <v>988</v>
      </c>
      <c r="J46" s="43">
        <v>1976</v>
      </c>
      <c r="K46" s="43">
        <v>3888</v>
      </c>
      <c r="L46" s="43">
        <v>11840</v>
      </c>
      <c r="M46" s="44">
        <v>29568</v>
      </c>
      <c r="N46" s="42">
        <v>43</v>
      </c>
      <c r="O46" s="43">
        <v>87</v>
      </c>
      <c r="P46" s="43">
        <v>175</v>
      </c>
      <c r="Q46" s="43">
        <v>350</v>
      </c>
      <c r="R46" s="43">
        <v>700</v>
      </c>
      <c r="S46" s="43">
        <v>1400</v>
      </c>
      <c r="T46" s="43">
        <v>2832</v>
      </c>
      <c r="U46" s="43">
        <v>5664</v>
      </c>
      <c r="V46" s="44">
        <v>11456</v>
      </c>
    </row>
    <row r="47" spans="2:31" ht="15" customHeight="1">
      <c r="B47" s="93"/>
      <c r="C47" s="98" t="s">
        <v>7</v>
      </c>
      <c r="D47" s="4">
        <v>0.25</v>
      </c>
      <c r="E47" s="36">
        <v>18</v>
      </c>
      <c r="F47" s="37">
        <v>19</v>
      </c>
      <c r="G47" s="37">
        <v>21</v>
      </c>
      <c r="H47" s="37">
        <v>183</v>
      </c>
      <c r="I47" s="37">
        <v>229</v>
      </c>
      <c r="J47" s="37">
        <v>213</v>
      </c>
      <c r="K47" s="37">
        <v>229</v>
      </c>
      <c r="L47" s="37">
        <v>6240</v>
      </c>
      <c r="M47" s="38">
        <v>17536</v>
      </c>
      <c r="N47" s="36">
        <v>25</v>
      </c>
      <c r="O47" s="37">
        <v>19</v>
      </c>
      <c r="P47" s="37">
        <v>21</v>
      </c>
      <c r="Q47" s="37">
        <v>26</v>
      </c>
      <c r="R47" s="37">
        <v>100</v>
      </c>
      <c r="S47" s="37">
        <v>167</v>
      </c>
      <c r="T47" s="37">
        <v>161</v>
      </c>
      <c r="U47" s="37">
        <v>4960</v>
      </c>
      <c r="V47" s="38">
        <v>14272</v>
      </c>
    </row>
    <row r="48" spans="2:31" ht="15" customHeight="1">
      <c r="B48" s="93"/>
      <c r="C48" s="96"/>
      <c r="D48" s="5">
        <v>0.5</v>
      </c>
      <c r="E48" s="39">
        <v>18</v>
      </c>
      <c r="F48" s="40">
        <v>19</v>
      </c>
      <c r="G48" s="40">
        <v>227</v>
      </c>
      <c r="H48" s="40">
        <v>604</v>
      </c>
      <c r="I48" s="40">
        <v>1288</v>
      </c>
      <c r="J48" s="40">
        <v>2640</v>
      </c>
      <c r="K48" s="40">
        <v>3888</v>
      </c>
      <c r="L48" s="40">
        <v>11200</v>
      </c>
      <c r="M48" s="41">
        <v>25984</v>
      </c>
      <c r="N48" s="39">
        <v>25</v>
      </c>
      <c r="O48" s="40">
        <v>19</v>
      </c>
      <c r="P48" s="40">
        <v>239</v>
      </c>
      <c r="Q48" s="40">
        <v>532</v>
      </c>
      <c r="R48" s="40">
        <v>1080</v>
      </c>
      <c r="S48" s="40">
        <v>2160</v>
      </c>
      <c r="T48" s="40">
        <v>4384</v>
      </c>
      <c r="U48" s="40">
        <v>10560</v>
      </c>
      <c r="V48" s="41">
        <v>24448</v>
      </c>
    </row>
    <row r="49" spans="2:22" ht="15" customHeight="1">
      <c r="B49" s="93"/>
      <c r="C49" s="96"/>
      <c r="D49" s="5">
        <v>0.75</v>
      </c>
      <c r="E49" s="39">
        <v>18</v>
      </c>
      <c r="F49" s="40">
        <v>123</v>
      </c>
      <c r="G49" s="40">
        <v>247</v>
      </c>
      <c r="H49" s="40">
        <v>494</v>
      </c>
      <c r="I49" s="40">
        <v>988</v>
      </c>
      <c r="J49" s="40">
        <v>1976</v>
      </c>
      <c r="K49" s="40">
        <v>3920</v>
      </c>
      <c r="L49" s="40">
        <v>13120</v>
      </c>
      <c r="M49" s="41">
        <v>32384</v>
      </c>
      <c r="N49" s="39">
        <v>27</v>
      </c>
      <c r="O49" s="40">
        <v>137</v>
      </c>
      <c r="P49" s="40">
        <v>274</v>
      </c>
      <c r="Q49" s="40">
        <v>548</v>
      </c>
      <c r="R49" s="40">
        <v>1096</v>
      </c>
      <c r="S49" s="40">
        <v>2192</v>
      </c>
      <c r="T49" s="40">
        <v>4320</v>
      </c>
      <c r="U49" s="40">
        <v>12736</v>
      </c>
      <c r="V49" s="41">
        <v>28288</v>
      </c>
    </row>
    <row r="50" spans="2:22" ht="15" customHeight="1" thickBot="1">
      <c r="B50" s="93"/>
      <c r="C50" s="97"/>
      <c r="D50" s="6">
        <v>1</v>
      </c>
      <c r="E50" s="42">
        <v>63</v>
      </c>
      <c r="F50" s="43">
        <v>126</v>
      </c>
      <c r="G50" s="43">
        <v>249</v>
      </c>
      <c r="H50" s="43">
        <v>498</v>
      </c>
      <c r="I50" s="43">
        <v>988</v>
      </c>
      <c r="J50" s="43">
        <v>1992</v>
      </c>
      <c r="K50" s="43">
        <v>3888</v>
      </c>
      <c r="L50" s="43">
        <v>15552</v>
      </c>
      <c r="M50" s="44">
        <v>39680</v>
      </c>
      <c r="N50" s="42">
        <v>45</v>
      </c>
      <c r="O50" s="43">
        <v>89</v>
      </c>
      <c r="P50" s="43">
        <v>177</v>
      </c>
      <c r="Q50" s="43">
        <v>354</v>
      </c>
      <c r="R50" s="43">
        <v>708</v>
      </c>
      <c r="S50" s="43">
        <v>1416</v>
      </c>
      <c r="T50" s="43">
        <v>2832</v>
      </c>
      <c r="U50" s="43">
        <v>6368</v>
      </c>
      <c r="V50" s="44">
        <v>17024</v>
      </c>
    </row>
    <row r="51" spans="2:22" ht="15" customHeight="1">
      <c r="B51" s="93"/>
      <c r="C51" s="98" t="s">
        <v>8</v>
      </c>
      <c r="D51" s="4">
        <v>0.25</v>
      </c>
      <c r="E51" s="24">
        <v>16226</v>
      </c>
      <c r="F51" s="25">
        <v>27348</v>
      </c>
      <c r="G51" s="25">
        <v>38560</v>
      </c>
      <c r="H51" s="25">
        <v>44006</v>
      </c>
      <c r="I51" s="25">
        <v>43960</v>
      </c>
      <c r="J51" s="25">
        <v>44004</v>
      </c>
      <c r="K51" s="25">
        <v>43993</v>
      </c>
      <c r="L51" s="25">
        <v>43969</v>
      </c>
      <c r="M51" s="26">
        <v>44015</v>
      </c>
      <c r="N51" s="24">
        <v>16760</v>
      </c>
      <c r="O51" s="25">
        <v>29578</v>
      </c>
      <c r="P51" s="25">
        <v>46060</v>
      </c>
      <c r="Q51" s="25">
        <v>59378</v>
      </c>
      <c r="R51" s="25">
        <v>59609</v>
      </c>
      <c r="S51" s="25">
        <v>59434</v>
      </c>
      <c r="T51" s="25">
        <v>59490</v>
      </c>
      <c r="U51" s="25">
        <v>59521</v>
      </c>
      <c r="V51" s="26">
        <v>59464</v>
      </c>
    </row>
    <row r="52" spans="2:22" ht="15" customHeight="1">
      <c r="B52" s="93"/>
      <c r="C52" s="96"/>
      <c r="D52" s="5">
        <v>0.5</v>
      </c>
      <c r="E52" s="27">
        <v>37320</v>
      </c>
      <c r="F52" s="28">
        <v>54938</v>
      </c>
      <c r="G52" s="28">
        <v>63622</v>
      </c>
      <c r="H52" s="28">
        <v>63636</v>
      </c>
      <c r="I52" s="28">
        <v>63656</v>
      </c>
      <c r="J52" s="28">
        <v>63611</v>
      </c>
      <c r="K52" s="28">
        <v>67513</v>
      </c>
      <c r="L52" s="28">
        <v>67457</v>
      </c>
      <c r="M52" s="29">
        <v>67425</v>
      </c>
      <c r="N52" s="27">
        <v>39316</v>
      </c>
      <c r="O52" s="28">
        <v>61670</v>
      </c>
      <c r="P52" s="28">
        <v>82201</v>
      </c>
      <c r="Q52" s="28">
        <v>81466</v>
      </c>
      <c r="R52" s="28">
        <v>81445</v>
      </c>
      <c r="S52" s="28">
        <v>81507</v>
      </c>
      <c r="T52" s="28">
        <v>81474</v>
      </c>
      <c r="U52" s="28">
        <v>81526</v>
      </c>
      <c r="V52" s="29">
        <v>81481</v>
      </c>
    </row>
    <row r="53" spans="2:22" ht="15" customHeight="1">
      <c r="B53" s="93"/>
      <c r="C53" s="96"/>
      <c r="D53" s="5">
        <v>0.75</v>
      </c>
      <c r="E53" s="27">
        <v>69240</v>
      </c>
      <c r="F53" s="28">
        <v>78278</v>
      </c>
      <c r="G53" s="28">
        <v>78323</v>
      </c>
      <c r="H53" s="28">
        <v>78324</v>
      </c>
      <c r="I53" s="28">
        <v>78327</v>
      </c>
      <c r="J53" s="28">
        <v>78313</v>
      </c>
      <c r="K53" s="28">
        <v>79314</v>
      </c>
      <c r="L53" s="28">
        <v>79286</v>
      </c>
      <c r="M53" s="29">
        <v>79337</v>
      </c>
      <c r="N53" s="27">
        <v>73169</v>
      </c>
      <c r="O53" s="28">
        <v>96131</v>
      </c>
      <c r="P53" s="28">
        <v>95956</v>
      </c>
      <c r="Q53" s="28">
        <v>96034</v>
      </c>
      <c r="R53" s="28">
        <v>96128</v>
      </c>
      <c r="S53" s="28">
        <v>96034</v>
      </c>
      <c r="T53" s="28">
        <v>95874</v>
      </c>
      <c r="U53" s="28">
        <v>95958</v>
      </c>
      <c r="V53" s="29">
        <v>95931</v>
      </c>
    </row>
    <row r="54" spans="2:22" ht="15" customHeight="1" thickBot="1">
      <c r="B54" s="94"/>
      <c r="C54" s="97"/>
      <c r="D54" s="6">
        <v>1</v>
      </c>
      <c r="E54" s="30">
        <v>90485</v>
      </c>
      <c r="F54" s="31">
        <v>90677</v>
      </c>
      <c r="G54" s="31">
        <v>90423</v>
      </c>
      <c r="H54" s="31">
        <v>90574</v>
      </c>
      <c r="I54" s="31">
        <v>90531</v>
      </c>
      <c r="J54" s="31">
        <v>90430</v>
      </c>
      <c r="K54" s="31">
        <v>90567</v>
      </c>
      <c r="L54" s="31">
        <v>90534</v>
      </c>
      <c r="M54" s="32">
        <v>90468</v>
      </c>
      <c r="N54" s="30">
        <v>90886</v>
      </c>
      <c r="O54" s="31">
        <v>90886</v>
      </c>
      <c r="P54" s="31">
        <v>90886</v>
      </c>
      <c r="Q54" s="31">
        <v>90886</v>
      </c>
      <c r="R54" s="31">
        <v>90886</v>
      </c>
      <c r="S54" s="31">
        <v>90886</v>
      </c>
      <c r="T54" s="31">
        <v>90886</v>
      </c>
      <c r="U54" s="31">
        <v>90885</v>
      </c>
      <c r="V54" s="32">
        <v>90884</v>
      </c>
    </row>
  </sheetData>
  <mergeCells count="36">
    <mergeCell ref="AJ2:AR2"/>
    <mergeCell ref="B2:D3"/>
    <mergeCell ref="E2:M2"/>
    <mergeCell ref="N2:V2"/>
    <mergeCell ref="X2:Z3"/>
    <mergeCell ref="AA2:AI2"/>
    <mergeCell ref="B4:B15"/>
    <mergeCell ref="C4:C7"/>
    <mergeCell ref="X4:X15"/>
    <mergeCell ref="Y4:Y7"/>
    <mergeCell ref="C8:C11"/>
    <mergeCell ref="Y8:Y11"/>
    <mergeCell ref="C12:C15"/>
    <mergeCell ref="Y12:Y15"/>
    <mergeCell ref="B16:B27"/>
    <mergeCell ref="C16:C19"/>
    <mergeCell ref="X16:X27"/>
    <mergeCell ref="Y16:Y19"/>
    <mergeCell ref="C20:C23"/>
    <mergeCell ref="Y20:Y23"/>
    <mergeCell ref="C24:C27"/>
    <mergeCell ref="Y24:Y27"/>
    <mergeCell ref="E29:M29"/>
    <mergeCell ref="N29:V29"/>
    <mergeCell ref="Z29:AD29"/>
    <mergeCell ref="Z30:AD30"/>
    <mergeCell ref="B31:B42"/>
    <mergeCell ref="C31:C34"/>
    <mergeCell ref="Z31:AD31"/>
    <mergeCell ref="C35:C38"/>
    <mergeCell ref="C39:C42"/>
    <mergeCell ref="B43:B54"/>
    <mergeCell ref="C43:C46"/>
    <mergeCell ref="C47:C50"/>
    <mergeCell ref="C51:C54"/>
    <mergeCell ref="B29:D30"/>
  </mergeCells>
  <phoneticPr fontId="1" type="noConversion"/>
  <conditionalFormatting sqref="Y29">
    <cfRule type="cellIs" dxfId="115" priority="16" operator="lessThan">
      <formula>0.8</formula>
    </cfRule>
  </conditionalFormatting>
  <conditionalFormatting sqref="Y30:Y31">
    <cfRule type="cellIs" dxfId="114" priority="15" operator="lessThan">
      <formula>0.8</formula>
    </cfRule>
  </conditionalFormatting>
  <conditionalFormatting sqref="T16:T23">
    <cfRule type="expression" dxfId="113" priority="13">
      <formula>AO16&gt;1.1</formula>
    </cfRule>
  </conditionalFormatting>
  <conditionalFormatting sqref="U16:V23 N16:S23 E16:J19 E23:J23 F22:J22 E21:J21 E20 G20:J20">
    <cfRule type="expression" dxfId="112" priority="14">
      <formula>AA16&gt;1.1</formula>
    </cfRule>
  </conditionalFormatting>
  <conditionalFormatting sqref="K16:K23">
    <cfRule type="expression" dxfId="111" priority="11">
      <formula>AF16&gt;1.1</formula>
    </cfRule>
  </conditionalFormatting>
  <conditionalFormatting sqref="L16:M23">
    <cfRule type="expression" dxfId="110" priority="12">
      <formula>AH16&gt;1.1</formula>
    </cfRule>
  </conditionalFormatting>
  <conditionalFormatting sqref="N31:V38 N43:V50 E43:M45 E50:M50 F49:M49 E48:M48 E46:E47 G46:M47">
    <cfRule type="expression" dxfId="109" priority="10">
      <formula>AA4&gt;1.1</formula>
    </cfRule>
  </conditionalFormatting>
  <conditionalFormatting sqref="E31:M38">
    <cfRule type="expression" dxfId="108" priority="9">
      <formula>AA4&gt;1.1</formula>
    </cfRule>
  </conditionalFormatting>
  <conditionalFormatting sqref="N4:V11">
    <cfRule type="expression" dxfId="107" priority="8">
      <formula>AJ4&gt;1.1</formula>
    </cfRule>
  </conditionalFormatting>
  <conditionalFormatting sqref="T4:T11">
    <cfRule type="expression" dxfId="106" priority="7">
      <formula>AO4&gt;1.1</formula>
    </cfRule>
  </conditionalFormatting>
  <conditionalFormatting sqref="E4:M11">
    <cfRule type="expression" dxfId="105" priority="6">
      <formula>AA4&gt;1.1</formula>
    </cfRule>
  </conditionalFormatting>
  <conditionalFormatting sqref="K4:K11">
    <cfRule type="expression" dxfId="104" priority="5">
      <formula>AF4&gt;1.1</formula>
    </cfRule>
  </conditionalFormatting>
  <conditionalFormatting sqref="AA4:AR11 AA17:AR19 AA16:AB16 AD16:AR16 AA21:AR23 AA20 AD20:AR20">
    <cfRule type="cellIs" dxfId="103" priority="3" operator="lessThan">
      <formula>0.9</formula>
    </cfRule>
    <cfRule type="cellIs" dxfId="102" priority="4" operator="greaterThan">
      <formula>1.1</formula>
    </cfRule>
  </conditionalFormatting>
  <conditionalFormatting sqref="AA12:AR15 AA24:AR27">
    <cfRule type="cellIs" dxfId="101" priority="1" operator="lessThan">
      <formula>0.95</formula>
    </cfRule>
    <cfRule type="cellIs" dxfId="100" priority="2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N54"/>
  <sheetViews>
    <sheetView showGridLines="0" zoomScale="70" zoomScaleNormal="70" workbookViewId="0">
      <selection activeCell="B2" sqref="B2:AN54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9.69921875" style="11" customWidth="1"/>
    <col min="5" max="20" width="6.59765625" style="11" customWidth="1"/>
    <col min="21" max="21" width="3.09765625" style="11" customWidth="1"/>
    <col min="22" max="22" width="13.09765625" style="11" customWidth="1"/>
    <col min="23" max="23" width="11" style="11" bestFit="1" customWidth="1"/>
    <col min="24" max="24" width="8.09765625" style="11" customWidth="1"/>
    <col min="25" max="40" width="7.5" style="11" customWidth="1"/>
    <col min="41" max="16384" width="9" style="11"/>
  </cols>
  <sheetData>
    <row r="1" spans="2:40" ht="15" customHeight="1" thickBot="1"/>
    <row r="2" spans="2:40" ht="15" customHeight="1">
      <c r="B2" s="99" t="s">
        <v>78</v>
      </c>
      <c r="C2" s="100"/>
      <c r="D2" s="101"/>
      <c r="E2" s="83" t="s">
        <v>14</v>
      </c>
      <c r="F2" s="84"/>
      <c r="G2" s="84"/>
      <c r="H2" s="84"/>
      <c r="I2" s="84"/>
      <c r="J2" s="84"/>
      <c r="K2" s="84"/>
      <c r="L2" s="85"/>
      <c r="M2" s="83" t="s">
        <v>24</v>
      </c>
      <c r="N2" s="84"/>
      <c r="O2" s="84"/>
      <c r="P2" s="84"/>
      <c r="Q2" s="84"/>
      <c r="R2" s="84"/>
      <c r="S2" s="84"/>
      <c r="T2" s="85"/>
      <c r="V2" s="105" t="str">
        <f>CONCATENATE(B2, CHAR(10), "vs ", B29)</f>
        <v>PM9A3_GDA71F2Q_20210203
vs PM9A3_GDA71F25_20210527</v>
      </c>
      <c r="W2" s="106"/>
      <c r="X2" s="106"/>
      <c r="Y2" s="83" t="s">
        <v>14</v>
      </c>
      <c r="Z2" s="84"/>
      <c r="AA2" s="84"/>
      <c r="AB2" s="84"/>
      <c r="AC2" s="84"/>
      <c r="AD2" s="84"/>
      <c r="AE2" s="84"/>
      <c r="AF2" s="85"/>
      <c r="AG2" s="83" t="s">
        <v>24</v>
      </c>
      <c r="AH2" s="84"/>
      <c r="AI2" s="84"/>
      <c r="AJ2" s="84"/>
      <c r="AK2" s="84"/>
      <c r="AL2" s="84"/>
      <c r="AM2" s="84"/>
      <c r="AN2" s="85"/>
    </row>
    <row r="3" spans="2:40" ht="20.25" customHeight="1" thickBot="1">
      <c r="B3" s="102"/>
      <c r="C3" s="103"/>
      <c r="D3" s="104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3" t="s">
        <v>17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18</v>
      </c>
      <c r="S3" s="2" t="s">
        <v>16</v>
      </c>
      <c r="T3" s="3" t="s">
        <v>17</v>
      </c>
      <c r="V3" s="107"/>
      <c r="W3" s="108"/>
      <c r="X3" s="108"/>
      <c r="Y3" s="1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18</v>
      </c>
      <c r="AE3" s="2" t="s">
        <v>16</v>
      </c>
      <c r="AF3" s="3" t="s">
        <v>17</v>
      </c>
      <c r="AG3" s="1" t="s">
        <v>0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18</v>
      </c>
      <c r="AM3" s="2" t="s">
        <v>16</v>
      </c>
      <c r="AN3" s="3" t="s">
        <v>17</v>
      </c>
    </row>
    <row r="4" spans="2:40" ht="15" customHeight="1">
      <c r="B4" s="86" t="s">
        <v>5</v>
      </c>
      <c r="C4" s="89" t="s">
        <v>6</v>
      </c>
      <c r="D4" s="4">
        <v>0.25</v>
      </c>
      <c r="E4" s="24">
        <v>266</v>
      </c>
      <c r="F4" s="25">
        <v>314</v>
      </c>
      <c r="G4" s="25">
        <v>382</v>
      </c>
      <c r="H4" s="25">
        <v>414</v>
      </c>
      <c r="I4" s="25">
        <v>430</v>
      </c>
      <c r="J4" s="25">
        <v>438</v>
      </c>
      <c r="K4" s="25">
        <v>442</v>
      </c>
      <c r="L4" s="26">
        <v>1688</v>
      </c>
      <c r="M4" s="24">
        <v>330</v>
      </c>
      <c r="N4" s="25">
        <v>398</v>
      </c>
      <c r="O4" s="25">
        <v>494</v>
      </c>
      <c r="P4" s="25">
        <v>564</v>
      </c>
      <c r="Q4" s="25">
        <v>604</v>
      </c>
      <c r="R4" s="25">
        <v>652</v>
      </c>
      <c r="S4" s="25">
        <v>692</v>
      </c>
      <c r="T4" s="26">
        <v>2040</v>
      </c>
      <c r="V4" s="92" t="s">
        <v>5</v>
      </c>
      <c r="W4" s="95" t="s">
        <v>6</v>
      </c>
      <c r="X4" s="7">
        <v>0.25</v>
      </c>
      <c r="Y4" s="15">
        <f t="shared" ref="Y4:AN19" si="0">E31/E4</f>
        <v>1</v>
      </c>
      <c r="Z4" s="16">
        <f t="shared" si="0"/>
        <v>1</v>
      </c>
      <c r="AA4" s="16">
        <f t="shared" si="0"/>
        <v>1</v>
      </c>
      <c r="AB4" s="16">
        <f t="shared" si="0"/>
        <v>1</v>
      </c>
      <c r="AC4" s="16">
        <f t="shared" si="0"/>
        <v>1.0093023255813953</v>
      </c>
      <c r="AD4" s="16">
        <f t="shared" si="0"/>
        <v>1.0091324200913243</v>
      </c>
      <c r="AE4" s="16">
        <f t="shared" si="0"/>
        <v>1</v>
      </c>
      <c r="AF4" s="17">
        <f t="shared" si="0"/>
        <v>1</v>
      </c>
      <c r="AG4" s="15">
        <f t="shared" si="0"/>
        <v>1.0121212121212122</v>
      </c>
      <c r="AH4" s="16">
        <f t="shared" si="0"/>
        <v>1.0100502512562815</v>
      </c>
      <c r="AI4" s="16">
        <f t="shared" si="0"/>
        <v>1</v>
      </c>
      <c r="AJ4" s="16">
        <f t="shared" si="0"/>
        <v>1</v>
      </c>
      <c r="AK4" s="16">
        <f t="shared" si="0"/>
        <v>1.0132450331125828</v>
      </c>
      <c r="AL4" s="16">
        <f t="shared" si="0"/>
        <v>1.0122699386503067</v>
      </c>
      <c r="AM4" s="16">
        <f t="shared" si="0"/>
        <v>1</v>
      </c>
      <c r="AN4" s="17">
        <f t="shared" si="0"/>
        <v>1.0117647058823529</v>
      </c>
    </row>
    <row r="5" spans="2:40" ht="15" customHeight="1">
      <c r="B5" s="87"/>
      <c r="C5" s="90"/>
      <c r="D5" s="5">
        <v>0.5</v>
      </c>
      <c r="E5" s="27">
        <v>211</v>
      </c>
      <c r="F5" s="28">
        <v>258</v>
      </c>
      <c r="G5" s="28">
        <v>310</v>
      </c>
      <c r="H5" s="28">
        <v>378</v>
      </c>
      <c r="I5" s="28">
        <v>438</v>
      </c>
      <c r="J5" s="28">
        <v>450</v>
      </c>
      <c r="K5" s="28">
        <v>454</v>
      </c>
      <c r="L5" s="29">
        <v>1768</v>
      </c>
      <c r="M5" s="27">
        <v>211</v>
      </c>
      <c r="N5" s="28">
        <v>302</v>
      </c>
      <c r="O5" s="28">
        <v>366</v>
      </c>
      <c r="P5" s="28">
        <v>466</v>
      </c>
      <c r="Q5" s="28">
        <v>572</v>
      </c>
      <c r="R5" s="28">
        <v>748</v>
      </c>
      <c r="S5" s="28">
        <v>1020</v>
      </c>
      <c r="T5" s="29">
        <v>3664</v>
      </c>
      <c r="V5" s="93"/>
      <c r="W5" s="96"/>
      <c r="X5" s="5">
        <v>0.5</v>
      </c>
      <c r="Y5" s="18">
        <f t="shared" si="0"/>
        <v>1</v>
      </c>
      <c r="Z5" s="12">
        <f t="shared" si="0"/>
        <v>1</v>
      </c>
      <c r="AA5" s="12">
        <f t="shared" si="0"/>
        <v>1</v>
      </c>
      <c r="AB5" s="12">
        <f t="shared" si="0"/>
        <v>1</v>
      </c>
      <c r="AC5" s="12">
        <f t="shared" si="0"/>
        <v>1.0091324200913243</v>
      </c>
      <c r="AD5" s="12">
        <f t="shared" si="0"/>
        <v>1</v>
      </c>
      <c r="AE5" s="12">
        <f t="shared" si="0"/>
        <v>1.0088105726872247</v>
      </c>
      <c r="AF5" s="19">
        <f t="shared" si="0"/>
        <v>1</v>
      </c>
      <c r="AG5" s="18">
        <f t="shared" si="0"/>
        <v>1.0094786729857821</v>
      </c>
      <c r="AH5" s="12">
        <f t="shared" si="0"/>
        <v>1.0132450331125828</v>
      </c>
      <c r="AI5" s="12">
        <f t="shared" si="0"/>
        <v>1.0109289617486339</v>
      </c>
      <c r="AJ5" s="12">
        <f t="shared" si="0"/>
        <v>1</v>
      </c>
      <c r="AK5" s="12">
        <f t="shared" si="0"/>
        <v>1</v>
      </c>
      <c r="AL5" s="12">
        <f t="shared" si="0"/>
        <v>1</v>
      </c>
      <c r="AM5" s="12">
        <f t="shared" si="0"/>
        <v>1</v>
      </c>
      <c r="AN5" s="19">
        <f t="shared" si="0"/>
        <v>0.99126637554585151</v>
      </c>
    </row>
    <row r="6" spans="2:40" ht="15" customHeight="1">
      <c r="B6" s="87"/>
      <c r="C6" s="90"/>
      <c r="D6" s="5">
        <v>0.75</v>
      </c>
      <c r="E6" s="27">
        <v>123</v>
      </c>
      <c r="F6" s="28">
        <v>197</v>
      </c>
      <c r="G6" s="28">
        <v>258</v>
      </c>
      <c r="H6" s="28">
        <v>314</v>
      </c>
      <c r="I6" s="28">
        <v>398</v>
      </c>
      <c r="J6" s="28">
        <v>532</v>
      </c>
      <c r="K6" s="28">
        <v>796</v>
      </c>
      <c r="L6" s="29">
        <v>2288</v>
      </c>
      <c r="M6" s="27">
        <v>112</v>
      </c>
      <c r="N6" s="28">
        <v>177</v>
      </c>
      <c r="O6" s="28">
        <v>270</v>
      </c>
      <c r="P6" s="28">
        <v>346</v>
      </c>
      <c r="Q6" s="28">
        <v>446</v>
      </c>
      <c r="R6" s="28">
        <v>588</v>
      </c>
      <c r="S6" s="28">
        <v>844</v>
      </c>
      <c r="T6" s="29">
        <v>2096</v>
      </c>
      <c r="V6" s="93"/>
      <c r="W6" s="96"/>
      <c r="X6" s="5">
        <v>0.75</v>
      </c>
      <c r="Y6" s="18">
        <f t="shared" si="0"/>
        <v>1.0081300813008129</v>
      </c>
      <c r="Z6" s="12">
        <f t="shared" si="0"/>
        <v>1</v>
      </c>
      <c r="AA6" s="12">
        <f t="shared" si="0"/>
        <v>1</v>
      </c>
      <c r="AB6" s="12">
        <f t="shared" si="0"/>
        <v>1</v>
      </c>
      <c r="AC6" s="12">
        <f t="shared" si="0"/>
        <v>1</v>
      </c>
      <c r="AD6" s="12">
        <f t="shared" si="0"/>
        <v>1</v>
      </c>
      <c r="AE6" s="12">
        <f t="shared" si="0"/>
        <v>1</v>
      </c>
      <c r="AF6" s="19">
        <f t="shared" si="0"/>
        <v>1</v>
      </c>
      <c r="AG6" s="18">
        <f t="shared" si="0"/>
        <v>1</v>
      </c>
      <c r="AH6" s="12">
        <f t="shared" si="0"/>
        <v>1</v>
      </c>
      <c r="AI6" s="12">
        <f t="shared" si="0"/>
        <v>1</v>
      </c>
      <c r="AJ6" s="12">
        <f t="shared" si="0"/>
        <v>1</v>
      </c>
      <c r="AK6" s="12">
        <f t="shared" si="0"/>
        <v>1.0089686098654709</v>
      </c>
      <c r="AL6" s="12">
        <f t="shared" si="0"/>
        <v>1</v>
      </c>
      <c r="AM6" s="12">
        <f t="shared" si="0"/>
        <v>1.0094786729857821</v>
      </c>
      <c r="AN6" s="19">
        <f t="shared" si="0"/>
        <v>1</v>
      </c>
    </row>
    <row r="7" spans="2:40" ht="15" customHeight="1" thickBot="1">
      <c r="B7" s="87"/>
      <c r="C7" s="91"/>
      <c r="D7" s="6">
        <v>1</v>
      </c>
      <c r="E7" s="30">
        <v>69</v>
      </c>
      <c r="F7" s="31">
        <v>89</v>
      </c>
      <c r="G7" s="31">
        <v>105</v>
      </c>
      <c r="H7" s="31">
        <v>120</v>
      </c>
      <c r="I7" s="31">
        <v>159</v>
      </c>
      <c r="J7" s="31">
        <v>241</v>
      </c>
      <c r="K7" s="31">
        <v>438</v>
      </c>
      <c r="L7" s="32">
        <v>1080</v>
      </c>
      <c r="M7" s="30">
        <v>68</v>
      </c>
      <c r="N7" s="31">
        <v>72</v>
      </c>
      <c r="O7" s="31">
        <v>97</v>
      </c>
      <c r="P7" s="31">
        <v>108</v>
      </c>
      <c r="Q7" s="31">
        <v>125</v>
      </c>
      <c r="R7" s="31">
        <v>165</v>
      </c>
      <c r="S7" s="31">
        <v>241</v>
      </c>
      <c r="T7" s="32">
        <v>588</v>
      </c>
      <c r="V7" s="93"/>
      <c r="W7" s="97"/>
      <c r="X7" s="6">
        <v>1</v>
      </c>
      <c r="Y7" s="20">
        <f t="shared" si="0"/>
        <v>1</v>
      </c>
      <c r="Z7" s="21">
        <f t="shared" si="0"/>
        <v>1</v>
      </c>
      <c r="AA7" s="21">
        <f t="shared" si="0"/>
        <v>1.0095238095238095</v>
      </c>
      <c r="AB7" s="21">
        <f t="shared" si="0"/>
        <v>1.0083333333333333</v>
      </c>
      <c r="AC7" s="21">
        <f t="shared" si="0"/>
        <v>1</v>
      </c>
      <c r="AD7" s="21">
        <f t="shared" si="0"/>
        <v>1</v>
      </c>
      <c r="AE7" s="21">
        <f t="shared" si="0"/>
        <v>1.0091324200913243</v>
      </c>
      <c r="AF7" s="22">
        <f t="shared" si="0"/>
        <v>1.0740740740740742</v>
      </c>
      <c r="AG7" s="20">
        <f t="shared" si="0"/>
        <v>1</v>
      </c>
      <c r="AH7" s="21">
        <f t="shared" si="0"/>
        <v>1</v>
      </c>
      <c r="AI7" s="21">
        <f t="shared" si="0"/>
        <v>1</v>
      </c>
      <c r="AJ7" s="21">
        <f t="shared" si="0"/>
        <v>1</v>
      </c>
      <c r="AK7" s="21">
        <f t="shared" si="0"/>
        <v>1</v>
      </c>
      <c r="AL7" s="21">
        <f t="shared" si="0"/>
        <v>1</v>
      </c>
      <c r="AM7" s="21">
        <f t="shared" si="0"/>
        <v>1</v>
      </c>
      <c r="AN7" s="22">
        <f t="shared" si="0"/>
        <v>1</v>
      </c>
    </row>
    <row r="8" spans="2:40" ht="15" customHeight="1">
      <c r="B8" s="87"/>
      <c r="C8" s="89" t="s">
        <v>7</v>
      </c>
      <c r="D8" s="4">
        <v>0.25</v>
      </c>
      <c r="E8" s="24">
        <v>572</v>
      </c>
      <c r="F8" s="25">
        <v>860</v>
      </c>
      <c r="G8" s="25">
        <v>884</v>
      </c>
      <c r="H8" s="25">
        <v>924</v>
      </c>
      <c r="I8" s="25">
        <v>964</v>
      </c>
      <c r="J8" s="25">
        <v>980</v>
      </c>
      <c r="K8" s="25">
        <v>980</v>
      </c>
      <c r="L8" s="26">
        <v>1976</v>
      </c>
      <c r="M8" s="24">
        <v>740</v>
      </c>
      <c r="N8" s="25">
        <v>820</v>
      </c>
      <c r="O8" s="25">
        <v>892</v>
      </c>
      <c r="P8" s="25">
        <v>956</v>
      </c>
      <c r="Q8" s="25">
        <v>1012</v>
      </c>
      <c r="R8" s="25">
        <v>1080</v>
      </c>
      <c r="S8" s="25">
        <v>1160</v>
      </c>
      <c r="T8" s="26">
        <v>2896</v>
      </c>
      <c r="V8" s="93"/>
      <c r="W8" s="98" t="s">
        <v>7</v>
      </c>
      <c r="X8" s="4">
        <v>0.25</v>
      </c>
      <c r="Y8" s="15">
        <f t="shared" si="0"/>
        <v>0.98601398601398604</v>
      </c>
      <c r="Z8" s="16">
        <f t="shared" si="0"/>
        <v>0.99069767441860468</v>
      </c>
      <c r="AA8" s="16">
        <f t="shared" si="0"/>
        <v>1</v>
      </c>
      <c r="AB8" s="16">
        <f t="shared" si="0"/>
        <v>1</v>
      </c>
      <c r="AC8" s="16">
        <f t="shared" si="0"/>
        <v>1</v>
      </c>
      <c r="AD8" s="16">
        <f t="shared" si="0"/>
        <v>1</v>
      </c>
      <c r="AE8" s="16">
        <f t="shared" si="0"/>
        <v>1.0081632653061225</v>
      </c>
      <c r="AF8" s="17">
        <f t="shared" si="0"/>
        <v>0.9919028340080972</v>
      </c>
      <c r="AG8" s="15">
        <f t="shared" si="0"/>
        <v>1.0108108108108107</v>
      </c>
      <c r="AH8" s="16">
        <f t="shared" si="0"/>
        <v>1.0097560975609756</v>
      </c>
      <c r="AI8" s="16">
        <f t="shared" si="0"/>
        <v>1</v>
      </c>
      <c r="AJ8" s="16">
        <f t="shared" si="0"/>
        <v>1.00836820083682</v>
      </c>
      <c r="AK8" s="16">
        <f t="shared" si="0"/>
        <v>1.0079051383399209</v>
      </c>
      <c r="AL8" s="16">
        <f t="shared" si="0"/>
        <v>1.0148148148148148</v>
      </c>
      <c r="AM8" s="16">
        <f t="shared" si="0"/>
        <v>1.0137931034482759</v>
      </c>
      <c r="AN8" s="17">
        <f t="shared" si="0"/>
        <v>1.0220994475138121</v>
      </c>
    </row>
    <row r="9" spans="2:40" ht="15" customHeight="1">
      <c r="B9" s="87"/>
      <c r="C9" s="90"/>
      <c r="D9" s="5">
        <v>0.5</v>
      </c>
      <c r="E9" s="27">
        <v>548</v>
      </c>
      <c r="F9" s="28">
        <v>564</v>
      </c>
      <c r="G9" s="28">
        <v>844</v>
      </c>
      <c r="H9" s="28">
        <v>884</v>
      </c>
      <c r="I9" s="28">
        <v>932</v>
      </c>
      <c r="J9" s="28">
        <v>1048</v>
      </c>
      <c r="K9" s="28">
        <v>1192</v>
      </c>
      <c r="L9" s="29">
        <v>2288</v>
      </c>
      <c r="M9" s="27">
        <v>732</v>
      </c>
      <c r="N9" s="28">
        <v>740</v>
      </c>
      <c r="O9" s="28">
        <v>804</v>
      </c>
      <c r="P9" s="28">
        <v>884</v>
      </c>
      <c r="Q9" s="28">
        <v>972</v>
      </c>
      <c r="R9" s="28">
        <v>1192</v>
      </c>
      <c r="S9" s="28">
        <v>1496</v>
      </c>
      <c r="T9" s="29">
        <v>4576</v>
      </c>
      <c r="V9" s="93"/>
      <c r="W9" s="96"/>
      <c r="X9" s="5">
        <v>0.5</v>
      </c>
      <c r="Y9" s="18">
        <f t="shared" si="0"/>
        <v>0.98540145985401462</v>
      </c>
      <c r="Z9" s="12">
        <f t="shared" si="0"/>
        <v>1.0141843971631206</v>
      </c>
      <c r="AA9" s="12">
        <f t="shared" si="0"/>
        <v>1</v>
      </c>
      <c r="AB9" s="12">
        <f t="shared" si="0"/>
        <v>1</v>
      </c>
      <c r="AC9" s="12">
        <f t="shared" si="0"/>
        <v>1</v>
      </c>
      <c r="AD9" s="12">
        <f t="shared" si="0"/>
        <v>1</v>
      </c>
      <c r="AE9" s="12">
        <f t="shared" si="0"/>
        <v>1</v>
      </c>
      <c r="AF9" s="19">
        <f t="shared" si="0"/>
        <v>1.06993006993007</v>
      </c>
      <c r="AG9" s="18">
        <f t="shared" si="0"/>
        <v>1</v>
      </c>
      <c r="AH9" s="12">
        <f t="shared" si="0"/>
        <v>0.98918918918918919</v>
      </c>
      <c r="AI9" s="12">
        <f t="shared" si="0"/>
        <v>1</v>
      </c>
      <c r="AJ9" s="12">
        <f t="shared" si="0"/>
        <v>1</v>
      </c>
      <c r="AK9" s="12">
        <f t="shared" si="0"/>
        <v>1.0082304526748971</v>
      </c>
      <c r="AL9" s="12">
        <f t="shared" si="0"/>
        <v>1</v>
      </c>
      <c r="AM9" s="12">
        <f t="shared" si="0"/>
        <v>1</v>
      </c>
      <c r="AN9" s="19">
        <f t="shared" si="0"/>
        <v>1</v>
      </c>
    </row>
    <row r="10" spans="2:40" ht="15" customHeight="1">
      <c r="B10" s="87"/>
      <c r="C10" s="90"/>
      <c r="D10" s="5">
        <v>0.75</v>
      </c>
      <c r="E10" s="27">
        <v>494</v>
      </c>
      <c r="F10" s="28">
        <v>524</v>
      </c>
      <c r="G10" s="28">
        <v>556</v>
      </c>
      <c r="H10" s="28">
        <v>700</v>
      </c>
      <c r="I10" s="28">
        <v>876</v>
      </c>
      <c r="J10" s="28">
        <v>980</v>
      </c>
      <c r="K10" s="28">
        <v>1336</v>
      </c>
      <c r="L10" s="29">
        <v>3120</v>
      </c>
      <c r="M10" s="27">
        <v>660</v>
      </c>
      <c r="N10" s="28">
        <v>716</v>
      </c>
      <c r="O10" s="28">
        <v>732</v>
      </c>
      <c r="P10" s="28">
        <v>764</v>
      </c>
      <c r="Q10" s="28">
        <v>884</v>
      </c>
      <c r="R10" s="28">
        <v>1064</v>
      </c>
      <c r="S10" s="28">
        <v>1384</v>
      </c>
      <c r="T10" s="29">
        <v>2704</v>
      </c>
      <c r="V10" s="93"/>
      <c r="W10" s="96"/>
      <c r="X10" s="5">
        <v>0.75</v>
      </c>
      <c r="Y10" s="18">
        <f t="shared" si="0"/>
        <v>1.0161943319838056</v>
      </c>
      <c r="Z10" s="12">
        <f t="shared" si="0"/>
        <v>1.0305343511450382</v>
      </c>
      <c r="AA10" s="12">
        <f t="shared" si="0"/>
        <v>1</v>
      </c>
      <c r="AB10" s="12">
        <f t="shared" si="0"/>
        <v>1.0228571428571429</v>
      </c>
      <c r="AC10" s="12">
        <f t="shared" si="0"/>
        <v>1</v>
      </c>
      <c r="AD10" s="12">
        <f t="shared" si="0"/>
        <v>1</v>
      </c>
      <c r="AE10" s="12">
        <f t="shared" si="0"/>
        <v>1.0119760479041917</v>
      </c>
      <c r="AF10" s="19">
        <f t="shared" si="0"/>
        <v>1</v>
      </c>
      <c r="AG10" s="18">
        <f t="shared" si="0"/>
        <v>0.96363636363636362</v>
      </c>
      <c r="AH10" s="12">
        <f t="shared" si="0"/>
        <v>0.96648044692737434</v>
      </c>
      <c r="AI10" s="12">
        <f t="shared" si="0"/>
        <v>1</v>
      </c>
      <c r="AJ10" s="12">
        <f t="shared" si="0"/>
        <v>1.0104712041884816</v>
      </c>
      <c r="AK10" s="12">
        <f t="shared" si="0"/>
        <v>1</v>
      </c>
      <c r="AL10" s="12">
        <f t="shared" si="0"/>
        <v>1</v>
      </c>
      <c r="AM10" s="12">
        <f t="shared" si="0"/>
        <v>1</v>
      </c>
      <c r="AN10" s="19">
        <f t="shared" si="0"/>
        <v>1</v>
      </c>
    </row>
    <row r="11" spans="2:40" ht="15" customHeight="1" thickBot="1">
      <c r="B11" s="87"/>
      <c r="C11" s="91"/>
      <c r="D11" s="6">
        <v>1</v>
      </c>
      <c r="E11" s="30">
        <v>90</v>
      </c>
      <c r="F11" s="31">
        <v>120</v>
      </c>
      <c r="G11" s="31">
        <v>153</v>
      </c>
      <c r="H11" s="31">
        <v>193</v>
      </c>
      <c r="I11" s="31">
        <v>266</v>
      </c>
      <c r="J11" s="31">
        <v>426</v>
      </c>
      <c r="K11" s="31">
        <v>796</v>
      </c>
      <c r="L11" s="32">
        <v>1832</v>
      </c>
      <c r="M11" s="30">
        <v>73</v>
      </c>
      <c r="N11" s="31">
        <v>117</v>
      </c>
      <c r="O11" s="31">
        <v>137</v>
      </c>
      <c r="P11" s="31">
        <v>161</v>
      </c>
      <c r="Q11" s="31">
        <v>203</v>
      </c>
      <c r="R11" s="31">
        <v>282</v>
      </c>
      <c r="S11" s="31">
        <v>426</v>
      </c>
      <c r="T11" s="32">
        <v>780</v>
      </c>
      <c r="V11" s="93"/>
      <c r="W11" s="97"/>
      <c r="X11" s="6">
        <v>1</v>
      </c>
      <c r="Y11" s="20">
        <f t="shared" si="0"/>
        <v>1.0111111111111111</v>
      </c>
      <c r="Z11" s="21">
        <f t="shared" si="0"/>
        <v>1.0083333333333333</v>
      </c>
      <c r="AA11" s="21">
        <f t="shared" si="0"/>
        <v>1</v>
      </c>
      <c r="AB11" s="21">
        <f t="shared" si="0"/>
        <v>1</v>
      </c>
      <c r="AC11" s="21">
        <f t="shared" si="0"/>
        <v>1</v>
      </c>
      <c r="AD11" s="21">
        <f t="shared" si="0"/>
        <v>1</v>
      </c>
      <c r="AE11" s="21">
        <f t="shared" si="0"/>
        <v>1</v>
      </c>
      <c r="AF11" s="22">
        <f t="shared" si="0"/>
        <v>1.1266375545851528</v>
      </c>
      <c r="AG11" s="20">
        <f t="shared" si="0"/>
        <v>1</v>
      </c>
      <c r="AH11" s="21">
        <f t="shared" si="0"/>
        <v>1</v>
      </c>
      <c r="AI11" s="21">
        <f t="shared" si="0"/>
        <v>1.0145985401459854</v>
      </c>
      <c r="AJ11" s="21">
        <f t="shared" si="0"/>
        <v>1</v>
      </c>
      <c r="AK11" s="21">
        <f t="shared" si="0"/>
        <v>1</v>
      </c>
      <c r="AL11" s="21">
        <f t="shared" si="0"/>
        <v>1</v>
      </c>
      <c r="AM11" s="21">
        <f t="shared" si="0"/>
        <v>1</v>
      </c>
      <c r="AN11" s="22">
        <f t="shared" si="0"/>
        <v>0.98974358974358978</v>
      </c>
    </row>
    <row r="12" spans="2:40" ht="15" customHeight="1">
      <c r="B12" s="87"/>
      <c r="C12" s="89" t="s">
        <v>8</v>
      </c>
      <c r="D12" s="4">
        <v>0.25</v>
      </c>
      <c r="E12" s="24">
        <v>8741</v>
      </c>
      <c r="F12" s="25">
        <v>15115</v>
      </c>
      <c r="G12" s="25">
        <v>23283</v>
      </c>
      <c r="H12" s="25">
        <v>26263</v>
      </c>
      <c r="I12" s="25">
        <v>26256</v>
      </c>
      <c r="J12" s="25">
        <v>26296</v>
      </c>
      <c r="K12" s="25">
        <v>26296</v>
      </c>
      <c r="L12" s="26">
        <v>26672</v>
      </c>
      <c r="M12" s="24">
        <v>8806</v>
      </c>
      <c r="N12" s="25">
        <v>15508</v>
      </c>
      <c r="O12" s="25">
        <v>24559</v>
      </c>
      <c r="P12" s="25">
        <v>31928</v>
      </c>
      <c r="Q12" s="25">
        <v>31775</v>
      </c>
      <c r="R12" s="25">
        <v>31816</v>
      </c>
      <c r="S12" s="25">
        <v>31846</v>
      </c>
      <c r="T12" s="26">
        <v>32588</v>
      </c>
      <c r="V12" s="93"/>
      <c r="W12" s="98" t="s">
        <v>8</v>
      </c>
      <c r="X12" s="4">
        <v>0.25</v>
      </c>
      <c r="Y12" s="15">
        <f t="shared" si="0"/>
        <v>0.99965678984097928</v>
      </c>
      <c r="Z12" s="16">
        <f t="shared" si="0"/>
        <v>1.0001323188885214</v>
      </c>
      <c r="AA12" s="16">
        <f t="shared" si="0"/>
        <v>0.99914100416612983</v>
      </c>
      <c r="AB12" s="16">
        <f t="shared" si="0"/>
        <v>1.0000380763812207</v>
      </c>
      <c r="AC12" s="16">
        <f t="shared" si="0"/>
        <v>1</v>
      </c>
      <c r="AD12" s="16">
        <f t="shared" si="0"/>
        <v>0.99942957103742014</v>
      </c>
      <c r="AE12" s="16">
        <f t="shared" si="0"/>
        <v>0.99885914207484028</v>
      </c>
      <c r="AF12" s="17">
        <f t="shared" si="0"/>
        <v>0.99883773245350926</v>
      </c>
      <c r="AG12" s="15">
        <f t="shared" si="0"/>
        <v>0.99977288212582327</v>
      </c>
      <c r="AH12" s="16">
        <f t="shared" si="0"/>
        <v>0.99832344596337375</v>
      </c>
      <c r="AI12" s="16">
        <f t="shared" si="0"/>
        <v>0.99828983264790916</v>
      </c>
      <c r="AJ12" s="16">
        <f t="shared" si="0"/>
        <v>0.99724379854673018</v>
      </c>
      <c r="AK12" s="16">
        <f t="shared" si="0"/>
        <v>1.001038552321007</v>
      </c>
      <c r="AL12" s="16">
        <f t="shared" si="0"/>
        <v>0.9981141563992959</v>
      </c>
      <c r="AM12" s="16">
        <f t="shared" si="0"/>
        <v>0.99726810274445765</v>
      </c>
      <c r="AN12" s="17">
        <f t="shared" si="0"/>
        <v>0.99941696329937402</v>
      </c>
    </row>
    <row r="13" spans="2:40" ht="15" customHeight="1">
      <c r="B13" s="87"/>
      <c r="C13" s="90"/>
      <c r="D13" s="5">
        <v>0.5</v>
      </c>
      <c r="E13" s="27">
        <v>12120</v>
      </c>
      <c r="F13" s="28">
        <v>22253</v>
      </c>
      <c r="G13" s="28">
        <v>37657</v>
      </c>
      <c r="H13" s="28">
        <v>55018</v>
      </c>
      <c r="I13" s="28">
        <v>64063</v>
      </c>
      <c r="J13" s="28">
        <v>64043</v>
      </c>
      <c r="K13" s="28">
        <v>64009</v>
      </c>
      <c r="L13" s="29">
        <v>68352</v>
      </c>
      <c r="M13" s="27">
        <v>12183</v>
      </c>
      <c r="N13" s="28">
        <v>22604</v>
      </c>
      <c r="O13" s="28">
        <v>39531</v>
      </c>
      <c r="P13" s="28">
        <v>61453</v>
      </c>
      <c r="Q13" s="28">
        <v>81893</v>
      </c>
      <c r="R13" s="28">
        <v>80695</v>
      </c>
      <c r="S13" s="28">
        <v>80548</v>
      </c>
      <c r="T13" s="29">
        <v>87032</v>
      </c>
      <c r="V13" s="93"/>
      <c r="W13" s="96"/>
      <c r="X13" s="5">
        <v>0.5</v>
      </c>
      <c r="Y13" s="18">
        <f t="shared" si="0"/>
        <v>0.99958745874587462</v>
      </c>
      <c r="Z13" s="12">
        <f t="shared" si="0"/>
        <v>0.99959556014919337</v>
      </c>
      <c r="AA13" s="12">
        <f t="shared" si="0"/>
        <v>0.99965477866001007</v>
      </c>
      <c r="AB13" s="12">
        <f t="shared" si="0"/>
        <v>0.99978188956341563</v>
      </c>
      <c r="AC13" s="12">
        <f t="shared" si="0"/>
        <v>1.0001248770741302</v>
      </c>
      <c r="AD13" s="12">
        <f t="shared" si="0"/>
        <v>0.9999219274549912</v>
      </c>
      <c r="AE13" s="12">
        <f t="shared" si="0"/>
        <v>0.99978128075739348</v>
      </c>
      <c r="AF13" s="19">
        <f t="shared" si="0"/>
        <v>0.99989758895131087</v>
      </c>
      <c r="AG13" s="18">
        <f t="shared" si="0"/>
        <v>0.9991791841090043</v>
      </c>
      <c r="AH13" s="12">
        <f t="shared" si="0"/>
        <v>0.99924792072199609</v>
      </c>
      <c r="AI13" s="12">
        <f t="shared" si="0"/>
        <v>0.99898813589334956</v>
      </c>
      <c r="AJ13" s="12">
        <f t="shared" si="0"/>
        <v>0.99939791385286314</v>
      </c>
      <c r="AK13" s="12">
        <f t="shared" si="0"/>
        <v>0.9978264320515795</v>
      </c>
      <c r="AL13" s="12">
        <f t="shared" si="0"/>
        <v>0.99747196232728175</v>
      </c>
      <c r="AM13" s="12">
        <f t="shared" si="0"/>
        <v>1.0001738094055719</v>
      </c>
      <c r="AN13" s="19">
        <f t="shared" si="0"/>
        <v>0.99761007445537275</v>
      </c>
    </row>
    <row r="14" spans="2:40" ht="15" customHeight="1">
      <c r="B14" s="87"/>
      <c r="C14" s="90"/>
      <c r="D14" s="5">
        <v>0.75</v>
      </c>
      <c r="E14" s="27">
        <v>14179</v>
      </c>
      <c r="F14" s="28">
        <v>26952</v>
      </c>
      <c r="G14" s="28">
        <v>49127</v>
      </c>
      <c r="H14" s="28">
        <v>82239</v>
      </c>
      <c r="I14" s="28">
        <v>115390</v>
      </c>
      <c r="J14" s="28">
        <v>132605</v>
      </c>
      <c r="K14" s="28">
        <v>132449</v>
      </c>
      <c r="L14" s="29">
        <v>132556</v>
      </c>
      <c r="M14" s="27">
        <v>14179</v>
      </c>
      <c r="N14" s="28">
        <v>27226</v>
      </c>
      <c r="O14" s="28">
        <v>50513</v>
      </c>
      <c r="P14" s="28">
        <v>88491</v>
      </c>
      <c r="Q14" s="28">
        <v>136777</v>
      </c>
      <c r="R14" s="28">
        <v>175893</v>
      </c>
      <c r="S14" s="28">
        <v>178588</v>
      </c>
      <c r="T14" s="29">
        <v>178508</v>
      </c>
      <c r="V14" s="93"/>
      <c r="W14" s="96"/>
      <c r="X14" s="5">
        <v>0.75</v>
      </c>
      <c r="Y14" s="18">
        <f t="shared" si="0"/>
        <v>1.0001410536709219</v>
      </c>
      <c r="Z14" s="12">
        <f t="shared" si="0"/>
        <v>1.0001113089937668</v>
      </c>
      <c r="AA14" s="12">
        <f t="shared" si="0"/>
        <v>0.99930791621715143</v>
      </c>
      <c r="AB14" s="12">
        <f t="shared" si="0"/>
        <v>0.99913666265397194</v>
      </c>
      <c r="AC14" s="12">
        <f t="shared" si="0"/>
        <v>0.99980067596845479</v>
      </c>
      <c r="AD14" s="12">
        <f t="shared" si="0"/>
        <v>0.99825798423890499</v>
      </c>
      <c r="AE14" s="12">
        <f t="shared" si="0"/>
        <v>1.0012155622164003</v>
      </c>
      <c r="AF14" s="19">
        <f t="shared" si="0"/>
        <v>0.99899665047225328</v>
      </c>
      <c r="AG14" s="18">
        <f t="shared" si="0"/>
        <v>1.0002115805063827</v>
      </c>
      <c r="AH14" s="12">
        <f t="shared" si="0"/>
        <v>0.9991552192756924</v>
      </c>
      <c r="AI14" s="12">
        <f t="shared" si="0"/>
        <v>0.99910914022132913</v>
      </c>
      <c r="AJ14" s="12">
        <f t="shared" si="0"/>
        <v>0.9994123696195093</v>
      </c>
      <c r="AK14" s="12">
        <f t="shared" si="0"/>
        <v>0.99867667809646354</v>
      </c>
      <c r="AL14" s="12">
        <f t="shared" si="0"/>
        <v>0.99846497586600946</v>
      </c>
      <c r="AM14" s="12">
        <f t="shared" si="0"/>
        <v>0.99851053822205305</v>
      </c>
      <c r="AN14" s="19">
        <f t="shared" si="0"/>
        <v>0.99777040804893902</v>
      </c>
    </row>
    <row r="15" spans="2:40" ht="15" customHeight="1" thickBot="1">
      <c r="B15" s="88"/>
      <c r="C15" s="91"/>
      <c r="D15" s="6">
        <v>1</v>
      </c>
      <c r="E15" s="30">
        <v>16003</v>
      </c>
      <c r="F15" s="31">
        <v>31618</v>
      </c>
      <c r="G15" s="31">
        <v>61499</v>
      </c>
      <c r="H15" s="31">
        <v>116536</v>
      </c>
      <c r="I15" s="31">
        <v>209256</v>
      </c>
      <c r="J15" s="31">
        <v>337740</v>
      </c>
      <c r="K15" s="31">
        <v>460060</v>
      </c>
      <c r="L15" s="32">
        <v>525681</v>
      </c>
      <c r="M15" s="30">
        <v>16057</v>
      </c>
      <c r="N15" s="31">
        <v>31845</v>
      </c>
      <c r="O15" s="31">
        <v>62585</v>
      </c>
      <c r="P15" s="31">
        <v>120959</v>
      </c>
      <c r="Q15" s="31">
        <v>226146</v>
      </c>
      <c r="R15" s="31">
        <v>395454</v>
      </c>
      <c r="S15" s="31">
        <v>545791</v>
      </c>
      <c r="T15" s="32">
        <v>557146</v>
      </c>
      <c r="V15" s="94"/>
      <c r="W15" s="97"/>
      <c r="X15" s="6">
        <v>1</v>
      </c>
      <c r="Y15" s="20">
        <f t="shared" si="0"/>
        <v>1.0002499531337874</v>
      </c>
      <c r="Z15" s="21">
        <f t="shared" si="0"/>
        <v>0.99917768359795056</v>
      </c>
      <c r="AA15" s="21">
        <f t="shared" si="0"/>
        <v>0.99938210377404513</v>
      </c>
      <c r="AB15" s="21">
        <f t="shared" si="0"/>
        <v>0.99984554129196124</v>
      </c>
      <c r="AC15" s="21">
        <f t="shared" si="0"/>
        <v>0.99968459685743782</v>
      </c>
      <c r="AD15" s="21">
        <f t="shared" si="0"/>
        <v>0.99965061881921002</v>
      </c>
      <c r="AE15" s="21">
        <f t="shared" si="0"/>
        <v>0.99967612920053905</v>
      </c>
      <c r="AF15" s="22">
        <f t="shared" si="0"/>
        <v>1.0218212185717193</v>
      </c>
      <c r="AG15" s="20">
        <f t="shared" si="0"/>
        <v>0.99912810612194058</v>
      </c>
      <c r="AH15" s="21">
        <f t="shared" si="0"/>
        <v>0.99981158737635423</v>
      </c>
      <c r="AI15" s="21">
        <f t="shared" si="0"/>
        <v>0.99964847806982504</v>
      </c>
      <c r="AJ15" s="21">
        <f t="shared" si="0"/>
        <v>0.99907406641919994</v>
      </c>
      <c r="AK15" s="21">
        <f t="shared" si="0"/>
        <v>0.99952243241092043</v>
      </c>
      <c r="AL15" s="21">
        <f t="shared" si="0"/>
        <v>0.99942344748061718</v>
      </c>
      <c r="AM15" s="21">
        <f t="shared" si="0"/>
        <v>0.99687242918992802</v>
      </c>
      <c r="AN15" s="22">
        <f t="shared" si="0"/>
        <v>0.98736776356646194</v>
      </c>
    </row>
    <row r="16" spans="2:40" ht="15" customHeight="1">
      <c r="B16" s="83" t="s">
        <v>9</v>
      </c>
      <c r="C16" s="98" t="s">
        <v>6</v>
      </c>
      <c r="D16" s="4">
        <v>0.25</v>
      </c>
      <c r="E16" s="24">
        <v>11</v>
      </c>
      <c r="F16" s="25">
        <v>13</v>
      </c>
      <c r="G16" s="25">
        <v>15</v>
      </c>
      <c r="H16" s="25">
        <v>17</v>
      </c>
      <c r="I16" s="25">
        <v>19</v>
      </c>
      <c r="J16" s="25">
        <v>21</v>
      </c>
      <c r="K16" s="25">
        <v>49</v>
      </c>
      <c r="L16" s="26">
        <v>50</v>
      </c>
      <c r="M16" s="24">
        <v>11</v>
      </c>
      <c r="N16" s="25">
        <v>13</v>
      </c>
      <c r="O16" s="25">
        <v>15</v>
      </c>
      <c r="P16" s="25">
        <v>17</v>
      </c>
      <c r="Q16" s="25">
        <v>20</v>
      </c>
      <c r="R16" s="25">
        <v>23</v>
      </c>
      <c r="S16" s="25">
        <v>22</v>
      </c>
      <c r="T16" s="26">
        <v>23</v>
      </c>
      <c r="V16" s="86" t="s">
        <v>9</v>
      </c>
      <c r="W16" s="98" t="s">
        <v>6</v>
      </c>
      <c r="X16" s="4">
        <v>0.25</v>
      </c>
      <c r="Y16" s="15">
        <f t="shared" si="0"/>
        <v>1</v>
      </c>
      <c r="Z16" s="16">
        <f t="shared" si="0"/>
        <v>1</v>
      </c>
      <c r="AA16" s="16">
        <f t="shared" si="0"/>
        <v>1</v>
      </c>
      <c r="AB16" s="16">
        <f t="shared" si="0"/>
        <v>1</v>
      </c>
      <c r="AC16" s="16">
        <f t="shared" si="0"/>
        <v>1</v>
      </c>
      <c r="AD16" s="16">
        <f t="shared" si="0"/>
        <v>1</v>
      </c>
      <c r="AE16" s="16">
        <f t="shared" si="0"/>
        <v>1</v>
      </c>
      <c r="AF16" s="17">
        <f t="shared" si="0"/>
        <v>1</v>
      </c>
      <c r="AG16" s="15">
        <f t="shared" si="0"/>
        <v>1</v>
      </c>
      <c r="AH16" s="16">
        <f t="shared" si="0"/>
        <v>1</v>
      </c>
      <c r="AI16" s="16">
        <f t="shared" si="0"/>
        <v>1</v>
      </c>
      <c r="AJ16" s="16">
        <f t="shared" si="0"/>
        <v>1</v>
      </c>
      <c r="AK16" s="16">
        <f t="shared" si="0"/>
        <v>1</v>
      </c>
      <c r="AL16" s="16">
        <f t="shared" si="0"/>
        <v>1</v>
      </c>
      <c r="AM16" s="16">
        <f t="shared" si="0"/>
        <v>1</v>
      </c>
      <c r="AN16" s="17">
        <f t="shared" si="0"/>
        <v>1</v>
      </c>
    </row>
    <row r="17" spans="2:40" ht="15" customHeight="1">
      <c r="B17" s="93"/>
      <c r="C17" s="96"/>
      <c r="D17" s="5">
        <v>0.5</v>
      </c>
      <c r="E17" s="27">
        <v>11</v>
      </c>
      <c r="F17" s="28">
        <v>13</v>
      </c>
      <c r="G17" s="28">
        <v>15</v>
      </c>
      <c r="H17" s="28">
        <v>17</v>
      </c>
      <c r="I17" s="28">
        <v>169</v>
      </c>
      <c r="J17" s="28">
        <v>462</v>
      </c>
      <c r="K17" s="28">
        <v>1048</v>
      </c>
      <c r="L17" s="29">
        <v>3632</v>
      </c>
      <c r="M17" s="27">
        <v>12</v>
      </c>
      <c r="N17" s="28">
        <v>13</v>
      </c>
      <c r="O17" s="28">
        <v>15</v>
      </c>
      <c r="P17" s="28">
        <v>18</v>
      </c>
      <c r="Q17" s="28">
        <v>20</v>
      </c>
      <c r="R17" s="28">
        <v>402</v>
      </c>
      <c r="S17" s="28">
        <v>892</v>
      </c>
      <c r="T17" s="29">
        <v>3376</v>
      </c>
      <c r="V17" s="87"/>
      <c r="W17" s="96"/>
      <c r="X17" s="5">
        <v>0.5</v>
      </c>
      <c r="Y17" s="18">
        <f t="shared" si="0"/>
        <v>1</v>
      </c>
      <c r="Z17" s="12">
        <f t="shared" si="0"/>
        <v>1</v>
      </c>
      <c r="AA17" s="12">
        <f t="shared" si="0"/>
        <v>1</v>
      </c>
      <c r="AB17" s="12">
        <f t="shared" si="0"/>
        <v>1</v>
      </c>
      <c r="AC17" s="12">
        <f t="shared" si="0"/>
        <v>1</v>
      </c>
      <c r="AD17" s="12">
        <f t="shared" si="0"/>
        <v>1.0086580086580086</v>
      </c>
      <c r="AE17" s="12">
        <f t="shared" si="0"/>
        <v>1</v>
      </c>
      <c r="AF17" s="19">
        <f t="shared" si="0"/>
        <v>1</v>
      </c>
      <c r="AG17" s="18">
        <f t="shared" si="0"/>
        <v>1</v>
      </c>
      <c r="AH17" s="12">
        <f t="shared" si="0"/>
        <v>1</v>
      </c>
      <c r="AI17" s="12">
        <f t="shared" si="0"/>
        <v>1</v>
      </c>
      <c r="AJ17" s="12">
        <f t="shared" si="0"/>
        <v>1</v>
      </c>
      <c r="AK17" s="12">
        <f t="shared" si="0"/>
        <v>1</v>
      </c>
      <c r="AL17" s="12">
        <f t="shared" si="0"/>
        <v>1</v>
      </c>
      <c r="AM17" s="12">
        <f t="shared" si="0"/>
        <v>1</v>
      </c>
      <c r="AN17" s="19">
        <f t="shared" si="0"/>
        <v>1</v>
      </c>
    </row>
    <row r="18" spans="2:40" ht="15" customHeight="1">
      <c r="B18" s="93"/>
      <c r="C18" s="96"/>
      <c r="D18" s="5">
        <v>0.75</v>
      </c>
      <c r="E18" s="27">
        <v>11</v>
      </c>
      <c r="F18" s="28">
        <v>13</v>
      </c>
      <c r="G18" s="28">
        <v>15</v>
      </c>
      <c r="H18" s="28">
        <v>120</v>
      </c>
      <c r="I18" s="28">
        <v>243</v>
      </c>
      <c r="J18" s="28">
        <v>490</v>
      </c>
      <c r="K18" s="28">
        <v>980</v>
      </c>
      <c r="L18" s="29">
        <v>3824</v>
      </c>
      <c r="M18" s="27">
        <v>14</v>
      </c>
      <c r="N18" s="28">
        <v>14</v>
      </c>
      <c r="O18" s="28">
        <v>15</v>
      </c>
      <c r="P18" s="28">
        <v>106</v>
      </c>
      <c r="Q18" s="28">
        <v>241</v>
      </c>
      <c r="R18" s="28">
        <v>486</v>
      </c>
      <c r="S18" s="28">
        <v>972</v>
      </c>
      <c r="T18" s="29">
        <v>3856</v>
      </c>
      <c r="V18" s="87"/>
      <c r="W18" s="96"/>
      <c r="X18" s="5">
        <v>0.75</v>
      </c>
      <c r="Y18" s="18">
        <f t="shared" si="0"/>
        <v>1</v>
      </c>
      <c r="Z18" s="12">
        <f t="shared" si="0"/>
        <v>1</v>
      </c>
      <c r="AA18" s="12">
        <f t="shared" si="0"/>
        <v>1</v>
      </c>
      <c r="AB18" s="12">
        <f t="shared" si="0"/>
        <v>1</v>
      </c>
      <c r="AC18" s="12">
        <f t="shared" si="0"/>
        <v>1</v>
      </c>
      <c r="AD18" s="12">
        <f t="shared" si="0"/>
        <v>1</v>
      </c>
      <c r="AE18" s="12">
        <f t="shared" si="0"/>
        <v>1</v>
      </c>
      <c r="AF18" s="19">
        <f t="shared" si="0"/>
        <v>1</v>
      </c>
      <c r="AG18" s="18">
        <f t="shared" si="0"/>
        <v>1</v>
      </c>
      <c r="AH18" s="12">
        <f t="shared" si="0"/>
        <v>1</v>
      </c>
      <c r="AI18" s="12">
        <f t="shared" si="0"/>
        <v>1</v>
      </c>
      <c r="AJ18" s="12">
        <f t="shared" si="0"/>
        <v>1</v>
      </c>
      <c r="AK18" s="12">
        <f t="shared" si="0"/>
        <v>1</v>
      </c>
      <c r="AL18" s="12">
        <f t="shared" si="0"/>
        <v>1</v>
      </c>
      <c r="AM18" s="12">
        <f t="shared" si="0"/>
        <v>1</v>
      </c>
      <c r="AN18" s="19">
        <f t="shared" si="0"/>
        <v>1</v>
      </c>
    </row>
    <row r="19" spans="2:40" ht="15" customHeight="1" thickBot="1">
      <c r="B19" s="93"/>
      <c r="C19" s="97"/>
      <c r="D19" s="6">
        <v>1</v>
      </c>
      <c r="E19" s="30">
        <v>11</v>
      </c>
      <c r="F19" s="31">
        <v>32</v>
      </c>
      <c r="G19" s="31">
        <v>64</v>
      </c>
      <c r="H19" s="31">
        <v>100</v>
      </c>
      <c r="I19" s="31">
        <v>201</v>
      </c>
      <c r="J19" s="31">
        <v>374</v>
      </c>
      <c r="K19" s="31">
        <v>748</v>
      </c>
      <c r="L19" s="32">
        <v>2928</v>
      </c>
      <c r="M19" s="30">
        <v>11</v>
      </c>
      <c r="N19" s="31">
        <v>18</v>
      </c>
      <c r="O19" s="31">
        <v>37</v>
      </c>
      <c r="P19" s="31">
        <v>75</v>
      </c>
      <c r="Q19" s="31">
        <v>151</v>
      </c>
      <c r="R19" s="31">
        <v>302</v>
      </c>
      <c r="S19" s="31">
        <v>612</v>
      </c>
      <c r="T19" s="32">
        <v>2448</v>
      </c>
      <c r="V19" s="87"/>
      <c r="W19" s="97"/>
      <c r="X19" s="6">
        <v>1</v>
      </c>
      <c r="Y19" s="20">
        <f t="shared" si="0"/>
        <v>1</v>
      </c>
      <c r="Z19" s="21">
        <f t="shared" si="0"/>
        <v>1</v>
      </c>
      <c r="AA19" s="21">
        <f t="shared" si="0"/>
        <v>1</v>
      </c>
      <c r="AB19" s="21">
        <f t="shared" si="0"/>
        <v>1</v>
      </c>
      <c r="AC19" s="21">
        <f t="shared" si="0"/>
        <v>1</v>
      </c>
      <c r="AD19" s="21">
        <f t="shared" si="0"/>
        <v>1</v>
      </c>
      <c r="AE19" s="21">
        <f t="shared" si="0"/>
        <v>1</v>
      </c>
      <c r="AF19" s="22">
        <f t="shared" si="0"/>
        <v>1</v>
      </c>
      <c r="AG19" s="20">
        <f t="shared" si="0"/>
        <v>1</v>
      </c>
      <c r="AH19" s="21">
        <f t="shared" si="0"/>
        <v>1</v>
      </c>
      <c r="AI19" s="21">
        <f t="shared" si="0"/>
        <v>1</v>
      </c>
      <c r="AJ19" s="21">
        <f t="shared" si="0"/>
        <v>1</v>
      </c>
      <c r="AK19" s="21">
        <f t="shared" si="0"/>
        <v>1</v>
      </c>
      <c r="AL19" s="21">
        <f t="shared" si="0"/>
        <v>1</v>
      </c>
      <c r="AM19" s="21">
        <f t="shared" si="0"/>
        <v>1</v>
      </c>
      <c r="AN19" s="22">
        <f t="shared" ref="AN19:AN27" si="1">T46/T19</f>
        <v>1</v>
      </c>
    </row>
    <row r="20" spans="2:40" ht="15" customHeight="1">
      <c r="B20" s="93"/>
      <c r="C20" s="98" t="s">
        <v>7</v>
      </c>
      <c r="D20" s="4">
        <v>0.25</v>
      </c>
      <c r="E20" s="24">
        <v>16</v>
      </c>
      <c r="F20" s="25">
        <v>17</v>
      </c>
      <c r="G20" s="25">
        <v>19</v>
      </c>
      <c r="H20" s="25">
        <v>23</v>
      </c>
      <c r="I20" s="25">
        <v>27</v>
      </c>
      <c r="J20" s="25">
        <v>93</v>
      </c>
      <c r="K20" s="25">
        <v>135</v>
      </c>
      <c r="L20" s="26">
        <v>135</v>
      </c>
      <c r="M20" s="24">
        <v>27</v>
      </c>
      <c r="N20" s="25">
        <v>29</v>
      </c>
      <c r="O20" s="25">
        <v>27</v>
      </c>
      <c r="P20" s="25">
        <v>23</v>
      </c>
      <c r="Q20" s="25">
        <v>28</v>
      </c>
      <c r="R20" s="25">
        <v>33</v>
      </c>
      <c r="S20" s="25">
        <v>72</v>
      </c>
      <c r="T20" s="26">
        <v>390</v>
      </c>
      <c r="V20" s="87"/>
      <c r="W20" s="98" t="s">
        <v>7</v>
      </c>
      <c r="X20" s="4">
        <v>0.25</v>
      </c>
      <c r="Y20" s="15">
        <f t="shared" ref="Y20:AM27" si="2">E47/E20</f>
        <v>1</v>
      </c>
      <c r="Z20" s="16">
        <f t="shared" si="2"/>
        <v>1</v>
      </c>
      <c r="AA20" s="16">
        <f t="shared" si="2"/>
        <v>1</v>
      </c>
      <c r="AB20" s="16">
        <f t="shared" si="2"/>
        <v>0.95652173913043481</v>
      </c>
      <c r="AC20" s="16">
        <f t="shared" si="2"/>
        <v>1</v>
      </c>
      <c r="AD20" s="16">
        <f t="shared" si="2"/>
        <v>1</v>
      </c>
      <c r="AE20" s="16">
        <f t="shared" si="2"/>
        <v>1</v>
      </c>
      <c r="AF20" s="17">
        <f t="shared" si="2"/>
        <v>1.0148148148148148</v>
      </c>
      <c r="AG20" s="15">
        <f t="shared" si="2"/>
        <v>1</v>
      </c>
      <c r="AH20" s="16">
        <f t="shared" si="2"/>
        <v>1</v>
      </c>
      <c r="AI20" s="16">
        <f t="shared" si="2"/>
        <v>1</v>
      </c>
      <c r="AJ20" s="16">
        <f t="shared" si="2"/>
        <v>1</v>
      </c>
      <c r="AK20" s="16">
        <f t="shared" si="2"/>
        <v>1</v>
      </c>
      <c r="AL20" s="16">
        <f t="shared" si="2"/>
        <v>1.0303030303030303</v>
      </c>
      <c r="AM20" s="16">
        <f t="shared" si="2"/>
        <v>1.0277777777777777</v>
      </c>
      <c r="AN20" s="17">
        <f t="shared" si="1"/>
        <v>1.0307692307692307</v>
      </c>
    </row>
    <row r="21" spans="2:40" ht="15" customHeight="1">
      <c r="B21" s="93"/>
      <c r="C21" s="96"/>
      <c r="D21" s="5">
        <v>0.5</v>
      </c>
      <c r="E21" s="27">
        <v>16</v>
      </c>
      <c r="F21" s="28">
        <v>17</v>
      </c>
      <c r="G21" s="28">
        <v>19</v>
      </c>
      <c r="H21" s="28">
        <v>23</v>
      </c>
      <c r="I21" s="28">
        <v>219</v>
      </c>
      <c r="J21" s="28">
        <v>596</v>
      </c>
      <c r="K21" s="28">
        <v>1288</v>
      </c>
      <c r="L21" s="29">
        <v>3824</v>
      </c>
      <c r="M21" s="27">
        <v>29</v>
      </c>
      <c r="N21" s="28">
        <v>33</v>
      </c>
      <c r="O21" s="28">
        <v>28</v>
      </c>
      <c r="P21" s="28">
        <v>24</v>
      </c>
      <c r="Q21" s="28">
        <v>135</v>
      </c>
      <c r="R21" s="28">
        <v>462</v>
      </c>
      <c r="S21" s="28">
        <v>956</v>
      </c>
      <c r="T21" s="29">
        <v>3856</v>
      </c>
      <c r="V21" s="87"/>
      <c r="W21" s="96"/>
      <c r="X21" s="5">
        <v>0.5</v>
      </c>
      <c r="Y21" s="18">
        <f t="shared" si="2"/>
        <v>1</v>
      </c>
      <c r="Z21" s="12">
        <f t="shared" si="2"/>
        <v>1</v>
      </c>
      <c r="AA21" s="12">
        <f t="shared" si="2"/>
        <v>1</v>
      </c>
      <c r="AB21" s="12">
        <f t="shared" si="2"/>
        <v>1</v>
      </c>
      <c r="AC21" s="12">
        <f t="shared" si="2"/>
        <v>0.9908675799086758</v>
      </c>
      <c r="AD21" s="12">
        <f t="shared" si="2"/>
        <v>1</v>
      </c>
      <c r="AE21" s="12">
        <f t="shared" si="2"/>
        <v>0.98757763975155277</v>
      </c>
      <c r="AF21" s="19">
        <f t="shared" si="2"/>
        <v>1</v>
      </c>
      <c r="AG21" s="18">
        <f t="shared" si="2"/>
        <v>1</v>
      </c>
      <c r="AH21" s="12">
        <f t="shared" si="2"/>
        <v>1</v>
      </c>
      <c r="AI21" s="12">
        <f t="shared" si="2"/>
        <v>1</v>
      </c>
      <c r="AJ21" s="12">
        <f t="shared" si="2"/>
        <v>1</v>
      </c>
      <c r="AK21" s="12">
        <f t="shared" si="2"/>
        <v>1.0148148148148148</v>
      </c>
      <c r="AL21" s="12">
        <f t="shared" si="2"/>
        <v>1.0086580086580086</v>
      </c>
      <c r="AM21" s="12">
        <f t="shared" si="2"/>
        <v>1</v>
      </c>
      <c r="AN21" s="19">
        <f t="shared" si="1"/>
        <v>1</v>
      </c>
    </row>
    <row r="22" spans="2:40" ht="15" customHeight="1">
      <c r="B22" s="93"/>
      <c r="C22" s="96"/>
      <c r="D22" s="5">
        <v>0.75</v>
      </c>
      <c r="E22" s="27">
        <v>16</v>
      </c>
      <c r="F22" s="28">
        <v>17</v>
      </c>
      <c r="G22" s="28">
        <v>20</v>
      </c>
      <c r="H22" s="28">
        <v>125</v>
      </c>
      <c r="I22" s="28">
        <v>249</v>
      </c>
      <c r="J22" s="28">
        <v>494</v>
      </c>
      <c r="K22" s="28">
        <v>988</v>
      </c>
      <c r="L22" s="29">
        <v>3888</v>
      </c>
      <c r="M22" s="27">
        <v>30</v>
      </c>
      <c r="N22" s="28">
        <v>36</v>
      </c>
      <c r="O22" s="28">
        <v>30</v>
      </c>
      <c r="P22" s="28">
        <v>124</v>
      </c>
      <c r="Q22" s="28">
        <v>249</v>
      </c>
      <c r="R22" s="28">
        <v>494</v>
      </c>
      <c r="S22" s="28">
        <v>988</v>
      </c>
      <c r="T22" s="29">
        <v>3920</v>
      </c>
      <c r="V22" s="87"/>
      <c r="W22" s="96"/>
      <c r="X22" s="5">
        <v>0.75</v>
      </c>
      <c r="Y22" s="18">
        <f t="shared" si="2"/>
        <v>1</v>
      </c>
      <c r="Z22" s="12">
        <f t="shared" si="2"/>
        <v>1</v>
      </c>
      <c r="AA22" s="12">
        <f t="shared" si="2"/>
        <v>1</v>
      </c>
      <c r="AB22" s="12">
        <f t="shared" si="2"/>
        <v>1</v>
      </c>
      <c r="AC22" s="12">
        <f t="shared" si="2"/>
        <v>1</v>
      </c>
      <c r="AD22" s="12">
        <f t="shared" si="2"/>
        <v>1</v>
      </c>
      <c r="AE22" s="12">
        <f t="shared" si="2"/>
        <v>1</v>
      </c>
      <c r="AF22" s="19">
        <f t="shared" si="2"/>
        <v>1</v>
      </c>
      <c r="AG22" s="18">
        <f t="shared" si="2"/>
        <v>1</v>
      </c>
      <c r="AH22" s="12">
        <f t="shared" si="2"/>
        <v>1</v>
      </c>
      <c r="AI22" s="12">
        <f t="shared" si="2"/>
        <v>1</v>
      </c>
      <c r="AJ22" s="12">
        <f t="shared" si="2"/>
        <v>1</v>
      </c>
      <c r="AK22" s="12">
        <f t="shared" si="2"/>
        <v>1</v>
      </c>
      <c r="AL22" s="12">
        <f t="shared" si="2"/>
        <v>1</v>
      </c>
      <c r="AM22" s="12">
        <f t="shared" si="2"/>
        <v>1</v>
      </c>
      <c r="AN22" s="19">
        <f t="shared" si="1"/>
        <v>1</v>
      </c>
    </row>
    <row r="23" spans="2:40" ht="15" customHeight="1" thickBot="1">
      <c r="B23" s="93"/>
      <c r="C23" s="97"/>
      <c r="D23" s="6">
        <v>1</v>
      </c>
      <c r="E23" s="30">
        <v>16</v>
      </c>
      <c r="F23" s="31">
        <v>33</v>
      </c>
      <c r="G23" s="31">
        <v>67</v>
      </c>
      <c r="H23" s="31">
        <v>120</v>
      </c>
      <c r="I23" s="31">
        <v>203</v>
      </c>
      <c r="J23" s="31">
        <v>386</v>
      </c>
      <c r="K23" s="31">
        <v>748</v>
      </c>
      <c r="L23" s="32">
        <v>2928</v>
      </c>
      <c r="M23" s="30">
        <v>15</v>
      </c>
      <c r="N23" s="31">
        <v>29</v>
      </c>
      <c r="O23" s="31">
        <v>60</v>
      </c>
      <c r="P23" s="31">
        <v>121</v>
      </c>
      <c r="Q23" s="31">
        <v>243</v>
      </c>
      <c r="R23" s="31">
        <v>490</v>
      </c>
      <c r="S23" s="31">
        <v>980</v>
      </c>
      <c r="T23" s="32">
        <v>3152</v>
      </c>
      <c r="V23" s="87"/>
      <c r="W23" s="97"/>
      <c r="X23" s="6">
        <v>1</v>
      </c>
      <c r="Y23" s="20">
        <f t="shared" si="2"/>
        <v>1</v>
      </c>
      <c r="Z23" s="21">
        <f t="shared" si="2"/>
        <v>1</v>
      </c>
      <c r="AA23" s="21">
        <f t="shared" si="2"/>
        <v>1</v>
      </c>
      <c r="AB23" s="21">
        <f t="shared" si="2"/>
        <v>1</v>
      </c>
      <c r="AC23" s="21">
        <f t="shared" si="2"/>
        <v>1</v>
      </c>
      <c r="AD23" s="21">
        <f t="shared" si="2"/>
        <v>1.2176165803108809</v>
      </c>
      <c r="AE23" s="21">
        <f t="shared" si="2"/>
        <v>1.0855614973262031</v>
      </c>
      <c r="AF23" s="22">
        <f t="shared" si="2"/>
        <v>1</v>
      </c>
      <c r="AG23" s="20">
        <f t="shared" si="2"/>
        <v>1.0666666666666667</v>
      </c>
      <c r="AH23" s="21">
        <f t="shared" si="2"/>
        <v>1</v>
      </c>
      <c r="AI23" s="21">
        <f t="shared" si="2"/>
        <v>1</v>
      </c>
      <c r="AJ23" s="21">
        <f t="shared" si="2"/>
        <v>1</v>
      </c>
      <c r="AK23" s="21">
        <f t="shared" si="2"/>
        <v>1</v>
      </c>
      <c r="AL23" s="21">
        <f t="shared" si="2"/>
        <v>1</v>
      </c>
      <c r="AM23" s="21">
        <f t="shared" si="2"/>
        <v>1</v>
      </c>
      <c r="AN23" s="22">
        <f t="shared" si="1"/>
        <v>1.0609137055837563</v>
      </c>
    </row>
    <row r="24" spans="2:40" ht="15" customHeight="1">
      <c r="B24" s="93"/>
      <c r="C24" s="95" t="s">
        <v>8</v>
      </c>
      <c r="D24" s="7">
        <v>0.25</v>
      </c>
      <c r="E24" s="33">
        <v>4729</v>
      </c>
      <c r="F24" s="34">
        <v>8981</v>
      </c>
      <c r="G24" s="34">
        <v>16375</v>
      </c>
      <c r="H24" s="34">
        <v>27409</v>
      </c>
      <c r="I24" s="34">
        <v>38466</v>
      </c>
      <c r="J24" s="34">
        <v>44201</v>
      </c>
      <c r="K24" s="34">
        <v>44155</v>
      </c>
      <c r="L24" s="35">
        <v>44188</v>
      </c>
      <c r="M24" s="33">
        <v>4728</v>
      </c>
      <c r="N24" s="34">
        <v>9074</v>
      </c>
      <c r="O24" s="34">
        <v>16836</v>
      </c>
      <c r="P24" s="34">
        <v>29497</v>
      </c>
      <c r="Q24" s="34">
        <v>45617</v>
      </c>
      <c r="R24" s="34">
        <v>58626</v>
      </c>
      <c r="S24" s="34">
        <v>59536</v>
      </c>
      <c r="T24" s="35">
        <v>59508</v>
      </c>
      <c r="V24" s="87"/>
      <c r="W24" s="89" t="s">
        <v>8</v>
      </c>
      <c r="X24" s="4">
        <v>0.25</v>
      </c>
      <c r="Y24" s="15">
        <f t="shared" si="2"/>
        <v>0.99978853880312968</v>
      </c>
      <c r="Z24" s="16">
        <f t="shared" si="2"/>
        <v>1.0004453847010355</v>
      </c>
      <c r="AA24" s="16">
        <f t="shared" si="2"/>
        <v>0.99914503816793898</v>
      </c>
      <c r="AB24" s="16">
        <f t="shared" si="2"/>
        <v>0.99974460943485721</v>
      </c>
      <c r="AC24" s="16">
        <f t="shared" si="2"/>
        <v>0.99966203920345242</v>
      </c>
      <c r="AD24" s="16">
        <f t="shared" si="2"/>
        <v>0.99837107757743038</v>
      </c>
      <c r="AE24" s="16">
        <f t="shared" si="2"/>
        <v>1.0009285471634017</v>
      </c>
      <c r="AF24" s="17">
        <f t="shared" si="2"/>
        <v>0.99891373223499591</v>
      </c>
      <c r="AG24" s="15">
        <f t="shared" si="2"/>
        <v>0.99873096446700504</v>
      </c>
      <c r="AH24" s="16">
        <f t="shared" si="2"/>
        <v>0.9988979501873485</v>
      </c>
      <c r="AI24" s="16">
        <f t="shared" si="2"/>
        <v>0.99928724162508908</v>
      </c>
      <c r="AJ24" s="16">
        <f t="shared" si="2"/>
        <v>0.99952537546191134</v>
      </c>
      <c r="AK24" s="16">
        <f t="shared" si="2"/>
        <v>0.99802705131858738</v>
      </c>
      <c r="AL24" s="16">
        <f t="shared" si="2"/>
        <v>0.99851601678436186</v>
      </c>
      <c r="AM24" s="16">
        <f t="shared" si="2"/>
        <v>0.99830354743348559</v>
      </c>
      <c r="AN24" s="17">
        <f t="shared" si="1"/>
        <v>0.99729448141426358</v>
      </c>
    </row>
    <row r="25" spans="2:40" ht="15" customHeight="1">
      <c r="B25" s="93"/>
      <c r="C25" s="96"/>
      <c r="D25" s="5">
        <v>0.5</v>
      </c>
      <c r="E25" s="27">
        <v>12126</v>
      </c>
      <c r="F25" s="28">
        <v>22245</v>
      </c>
      <c r="G25" s="28">
        <v>37672</v>
      </c>
      <c r="H25" s="28">
        <v>55015</v>
      </c>
      <c r="I25" s="28">
        <v>64080</v>
      </c>
      <c r="J25" s="28">
        <v>64074</v>
      </c>
      <c r="K25" s="28">
        <v>64021</v>
      </c>
      <c r="L25" s="29">
        <v>68353</v>
      </c>
      <c r="M25" s="27">
        <v>12187</v>
      </c>
      <c r="N25" s="28">
        <v>22591</v>
      </c>
      <c r="O25" s="28">
        <v>39524</v>
      </c>
      <c r="P25" s="28">
        <v>61437</v>
      </c>
      <c r="Q25" s="28">
        <v>81883</v>
      </c>
      <c r="R25" s="28">
        <v>80716</v>
      </c>
      <c r="S25" s="28">
        <v>80578</v>
      </c>
      <c r="T25" s="29">
        <v>87028</v>
      </c>
      <c r="V25" s="87"/>
      <c r="W25" s="90"/>
      <c r="X25" s="5">
        <v>0.5</v>
      </c>
      <c r="Y25" s="18">
        <f t="shared" si="2"/>
        <v>0.99983506514926601</v>
      </c>
      <c r="Z25" s="12">
        <f t="shared" si="2"/>
        <v>0.99959541469993252</v>
      </c>
      <c r="AA25" s="12">
        <f t="shared" si="2"/>
        <v>0.99888511361223187</v>
      </c>
      <c r="AB25" s="12">
        <f t="shared" si="2"/>
        <v>0.99936380987003548</v>
      </c>
      <c r="AC25" s="12">
        <f t="shared" si="2"/>
        <v>0.99989076154806489</v>
      </c>
      <c r="AD25" s="12">
        <f t="shared" si="2"/>
        <v>0.99950057745731502</v>
      </c>
      <c r="AE25" s="12">
        <f t="shared" si="2"/>
        <v>0.99984380125271399</v>
      </c>
      <c r="AF25" s="19">
        <f t="shared" si="2"/>
        <v>0.99980981083493048</v>
      </c>
      <c r="AG25" s="18">
        <f t="shared" si="2"/>
        <v>0.99868712562566664</v>
      </c>
      <c r="AH25" s="12">
        <f t="shared" si="2"/>
        <v>1.0003983887388783</v>
      </c>
      <c r="AI25" s="12">
        <f t="shared" si="2"/>
        <v>0.99921566643052318</v>
      </c>
      <c r="AJ25" s="12">
        <f t="shared" si="2"/>
        <v>0.99941403388837347</v>
      </c>
      <c r="AK25" s="12">
        <f t="shared" si="2"/>
        <v>0.99794829207527813</v>
      </c>
      <c r="AL25" s="12">
        <f t="shared" si="2"/>
        <v>0.99717528123296495</v>
      </c>
      <c r="AM25" s="12">
        <f t="shared" si="2"/>
        <v>0.99962768994018214</v>
      </c>
      <c r="AN25" s="19">
        <f t="shared" si="1"/>
        <v>0.99772487015673117</v>
      </c>
    </row>
    <row r="26" spans="2:40" ht="15" customHeight="1">
      <c r="B26" s="93"/>
      <c r="C26" s="96"/>
      <c r="D26" s="5">
        <v>0.75</v>
      </c>
      <c r="E26" s="27">
        <v>26226</v>
      </c>
      <c r="F26" s="28">
        <v>45340</v>
      </c>
      <c r="G26" s="28">
        <v>69868</v>
      </c>
      <c r="H26" s="28">
        <v>78799</v>
      </c>
      <c r="I26" s="28">
        <v>78801</v>
      </c>
      <c r="J26" s="28">
        <v>78860</v>
      </c>
      <c r="K26" s="28">
        <v>78907</v>
      </c>
      <c r="L26" s="29">
        <v>79994</v>
      </c>
      <c r="M26" s="27">
        <v>26409</v>
      </c>
      <c r="N26" s="28">
        <v>46522</v>
      </c>
      <c r="O26" s="28">
        <v>73708</v>
      </c>
      <c r="P26" s="28">
        <v>95808</v>
      </c>
      <c r="Q26" s="28">
        <v>95367</v>
      </c>
      <c r="R26" s="28">
        <v>95414</v>
      </c>
      <c r="S26" s="28">
        <v>95556</v>
      </c>
      <c r="T26" s="29">
        <v>97771</v>
      </c>
      <c r="V26" s="87"/>
      <c r="W26" s="90"/>
      <c r="X26" s="5">
        <v>0.75</v>
      </c>
      <c r="Y26" s="18">
        <f t="shared" si="2"/>
        <v>0.99950430870128881</v>
      </c>
      <c r="Z26" s="12">
        <f t="shared" si="2"/>
        <v>0.99971327745919714</v>
      </c>
      <c r="AA26" s="12">
        <f t="shared" si="2"/>
        <v>0.99884067097956142</v>
      </c>
      <c r="AB26" s="12">
        <f t="shared" si="2"/>
        <v>1.0000126905163771</v>
      </c>
      <c r="AC26" s="12">
        <f t="shared" si="2"/>
        <v>0.99989847844570501</v>
      </c>
      <c r="AD26" s="12">
        <f t="shared" si="2"/>
        <v>0.9996068983007862</v>
      </c>
      <c r="AE26" s="12">
        <f t="shared" si="2"/>
        <v>0.99865664643187546</v>
      </c>
      <c r="AF26" s="19">
        <f t="shared" si="2"/>
        <v>0.99906242968222614</v>
      </c>
      <c r="AG26" s="18">
        <f t="shared" si="2"/>
        <v>1.0006058540649021</v>
      </c>
      <c r="AH26" s="12">
        <f t="shared" si="2"/>
        <v>0.99918318215038049</v>
      </c>
      <c r="AI26" s="12">
        <f t="shared" si="2"/>
        <v>0.99805991208552669</v>
      </c>
      <c r="AJ26" s="12">
        <f t="shared" si="2"/>
        <v>0.99726536406145627</v>
      </c>
      <c r="AK26" s="12">
        <f t="shared" si="2"/>
        <v>0.99998951419254045</v>
      </c>
      <c r="AL26" s="12">
        <f t="shared" si="2"/>
        <v>0.99817636824784628</v>
      </c>
      <c r="AM26" s="12">
        <f t="shared" si="2"/>
        <v>0.9972058269496421</v>
      </c>
      <c r="AN26" s="19">
        <f t="shared" si="1"/>
        <v>0.99906925366417443</v>
      </c>
    </row>
    <row r="27" spans="2:40" ht="15" customHeight="1" thickBot="1">
      <c r="B27" s="94"/>
      <c r="C27" s="97"/>
      <c r="D27" s="6">
        <v>1</v>
      </c>
      <c r="E27" s="30">
        <v>87081</v>
      </c>
      <c r="F27" s="31">
        <v>88208</v>
      </c>
      <c r="G27" s="31">
        <v>88208</v>
      </c>
      <c r="H27" s="31">
        <v>88208</v>
      </c>
      <c r="I27" s="31">
        <v>88211</v>
      </c>
      <c r="J27" s="31">
        <v>88211</v>
      </c>
      <c r="K27" s="31">
        <v>88211</v>
      </c>
      <c r="L27" s="32">
        <v>88212</v>
      </c>
      <c r="M27" s="30">
        <v>88099</v>
      </c>
      <c r="N27" s="31">
        <v>105212</v>
      </c>
      <c r="O27" s="31">
        <v>105209</v>
      </c>
      <c r="P27" s="31">
        <v>105216</v>
      </c>
      <c r="Q27" s="31">
        <v>105222</v>
      </c>
      <c r="R27" s="31">
        <v>105213</v>
      </c>
      <c r="S27" s="31">
        <v>105216</v>
      </c>
      <c r="T27" s="32">
        <v>105227</v>
      </c>
      <c r="V27" s="88"/>
      <c r="W27" s="91"/>
      <c r="X27" s="6">
        <v>1</v>
      </c>
      <c r="Y27" s="20">
        <f t="shared" si="2"/>
        <v>0.9995062068648729</v>
      </c>
      <c r="Z27" s="21">
        <f t="shared" si="2"/>
        <v>1</v>
      </c>
      <c r="AA27" s="21">
        <f t="shared" si="2"/>
        <v>1.0000453473607835</v>
      </c>
      <c r="AB27" s="21">
        <f t="shared" si="2"/>
        <v>1.0000113368401959</v>
      </c>
      <c r="AC27" s="21">
        <f t="shared" si="2"/>
        <v>1.0000113364546372</v>
      </c>
      <c r="AD27" s="21">
        <f t="shared" si="2"/>
        <v>0.99996599063608849</v>
      </c>
      <c r="AE27" s="21">
        <f t="shared" si="2"/>
        <v>0.99998866354536287</v>
      </c>
      <c r="AF27" s="22">
        <f t="shared" si="2"/>
        <v>1</v>
      </c>
      <c r="AG27" s="20">
        <f t="shared" si="2"/>
        <v>0.99626556487587825</v>
      </c>
      <c r="AH27" s="21">
        <f t="shared" si="2"/>
        <v>1.0000570277154697</v>
      </c>
      <c r="AI27" s="21">
        <f t="shared" si="2"/>
        <v>1.0000570293415962</v>
      </c>
      <c r="AJ27" s="21">
        <f t="shared" si="2"/>
        <v>0.99999049574209242</v>
      </c>
      <c r="AK27" s="21">
        <f t="shared" si="2"/>
        <v>0.99997148885214115</v>
      </c>
      <c r="AL27" s="21">
        <f t="shared" si="2"/>
        <v>1.000019009057816</v>
      </c>
      <c r="AM27" s="21">
        <f t="shared" si="2"/>
        <v>0.99994297445255476</v>
      </c>
      <c r="AN27" s="22">
        <f t="shared" si="1"/>
        <v>0.99985745103443036</v>
      </c>
    </row>
    <row r="28" spans="2:40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2:40" ht="15" customHeight="1" thickBot="1">
      <c r="B29" s="112" t="s">
        <v>76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5"/>
      <c r="M29" s="83" t="s">
        <v>24</v>
      </c>
      <c r="N29" s="84"/>
      <c r="O29" s="84"/>
      <c r="P29" s="84"/>
      <c r="Q29" s="84"/>
      <c r="R29" s="84"/>
      <c r="S29" s="84"/>
      <c r="T29" s="85"/>
      <c r="V29" s="13" t="s">
        <v>20</v>
      </c>
      <c r="W29" s="14">
        <f>(COUNTIF(Y4:AN11,"&lt;1.1")+COUNTIF(Y16:AN23,"&lt;1.1"))/(COUNT(Y4:AN11)+COUNT(Y16:AN23))</f>
        <v>0.9921875</v>
      </c>
      <c r="X29" s="109" t="s">
        <v>19</v>
      </c>
      <c r="Y29" s="110"/>
      <c r="Z29" s="110"/>
      <c r="AA29" s="110"/>
      <c r="AB29" s="111"/>
    </row>
    <row r="30" spans="2:40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3" t="s">
        <v>17</v>
      </c>
      <c r="M30" s="1" t="s">
        <v>0</v>
      </c>
      <c r="N30" s="2" t="s">
        <v>1</v>
      </c>
      <c r="O30" s="2" t="s">
        <v>2</v>
      </c>
      <c r="P30" s="2" t="s">
        <v>3</v>
      </c>
      <c r="Q30" s="2" t="s">
        <v>4</v>
      </c>
      <c r="R30" s="2" t="s">
        <v>18</v>
      </c>
      <c r="S30" s="2" t="s">
        <v>16</v>
      </c>
      <c r="T30" s="3" t="s">
        <v>17</v>
      </c>
      <c r="V30" s="13" t="s">
        <v>21</v>
      </c>
      <c r="W30" s="23">
        <f>(COUNTIF(Y4:AN11,"&lt;1.1"))/(COUNT(Y4:AN11))</f>
        <v>0.9921875</v>
      </c>
      <c r="X30" s="109" t="s">
        <v>19</v>
      </c>
      <c r="Y30" s="110"/>
      <c r="Z30" s="110"/>
      <c r="AA30" s="110"/>
      <c r="AB30" s="111"/>
    </row>
    <row r="31" spans="2:40" ht="15" customHeight="1" thickBot="1">
      <c r="B31" s="92" t="s">
        <v>5</v>
      </c>
      <c r="C31" s="98" t="s">
        <v>6</v>
      </c>
      <c r="D31" s="4">
        <v>0.25</v>
      </c>
      <c r="E31" s="36">
        <v>266</v>
      </c>
      <c r="F31" s="37">
        <v>314</v>
      </c>
      <c r="G31" s="37">
        <v>382</v>
      </c>
      <c r="H31" s="37">
        <v>414</v>
      </c>
      <c r="I31" s="37">
        <v>434</v>
      </c>
      <c r="J31" s="37">
        <v>442</v>
      </c>
      <c r="K31" s="37">
        <v>442</v>
      </c>
      <c r="L31" s="38">
        <v>1688</v>
      </c>
      <c r="M31" s="36">
        <v>334</v>
      </c>
      <c r="N31" s="37">
        <v>402</v>
      </c>
      <c r="O31" s="37">
        <v>494</v>
      </c>
      <c r="P31" s="37">
        <v>564</v>
      </c>
      <c r="Q31" s="37">
        <v>612</v>
      </c>
      <c r="R31" s="37">
        <v>660</v>
      </c>
      <c r="S31" s="37">
        <v>692</v>
      </c>
      <c r="T31" s="38">
        <v>2064</v>
      </c>
      <c r="V31" s="13" t="s">
        <v>22</v>
      </c>
      <c r="W31" s="23">
        <f>COUNTIF(Y16:AN23,"&lt;1.1")/+COUNT(Y16:AN23)</f>
        <v>0.9921875</v>
      </c>
      <c r="X31" s="109" t="s">
        <v>19</v>
      </c>
      <c r="Y31" s="110"/>
      <c r="Z31" s="110"/>
      <c r="AA31" s="110"/>
      <c r="AB31" s="111"/>
    </row>
    <row r="32" spans="2:40" ht="15" customHeight="1">
      <c r="B32" s="93"/>
      <c r="C32" s="96"/>
      <c r="D32" s="5">
        <v>0.5</v>
      </c>
      <c r="E32" s="39">
        <v>211</v>
      </c>
      <c r="F32" s="40">
        <v>258</v>
      </c>
      <c r="G32" s="40">
        <v>310</v>
      </c>
      <c r="H32" s="40">
        <v>378</v>
      </c>
      <c r="I32" s="40">
        <v>442</v>
      </c>
      <c r="J32" s="40">
        <v>450</v>
      </c>
      <c r="K32" s="40">
        <v>458</v>
      </c>
      <c r="L32" s="41">
        <v>1768</v>
      </c>
      <c r="M32" s="39">
        <v>213</v>
      </c>
      <c r="N32" s="40">
        <v>306</v>
      </c>
      <c r="O32" s="40">
        <v>370</v>
      </c>
      <c r="P32" s="40">
        <v>466</v>
      </c>
      <c r="Q32" s="40">
        <v>572</v>
      </c>
      <c r="R32" s="40">
        <v>748</v>
      </c>
      <c r="S32" s="40">
        <v>1020</v>
      </c>
      <c r="T32" s="41">
        <v>3632</v>
      </c>
    </row>
    <row r="33" spans="2:20" ht="15" customHeight="1">
      <c r="B33" s="93"/>
      <c r="C33" s="96"/>
      <c r="D33" s="5">
        <v>0.75</v>
      </c>
      <c r="E33" s="39">
        <v>124</v>
      </c>
      <c r="F33" s="40">
        <v>197</v>
      </c>
      <c r="G33" s="40">
        <v>258</v>
      </c>
      <c r="H33" s="40">
        <v>314</v>
      </c>
      <c r="I33" s="40">
        <v>398</v>
      </c>
      <c r="J33" s="40">
        <v>532</v>
      </c>
      <c r="K33" s="40">
        <v>796</v>
      </c>
      <c r="L33" s="41">
        <v>2288</v>
      </c>
      <c r="M33" s="39">
        <v>112</v>
      </c>
      <c r="N33" s="40">
        <v>177</v>
      </c>
      <c r="O33" s="40">
        <v>270</v>
      </c>
      <c r="P33" s="40">
        <v>346</v>
      </c>
      <c r="Q33" s="40">
        <v>450</v>
      </c>
      <c r="R33" s="40">
        <v>588</v>
      </c>
      <c r="S33" s="40">
        <v>852</v>
      </c>
      <c r="T33" s="41">
        <v>2096</v>
      </c>
    </row>
    <row r="34" spans="2:20" ht="15" customHeight="1" thickBot="1">
      <c r="B34" s="93"/>
      <c r="C34" s="97"/>
      <c r="D34" s="6">
        <v>1</v>
      </c>
      <c r="E34" s="42">
        <v>69</v>
      </c>
      <c r="F34" s="43">
        <v>89</v>
      </c>
      <c r="G34" s="43">
        <v>106</v>
      </c>
      <c r="H34" s="43">
        <v>121</v>
      </c>
      <c r="I34" s="43">
        <v>159</v>
      </c>
      <c r="J34" s="43">
        <v>241</v>
      </c>
      <c r="K34" s="43">
        <v>442</v>
      </c>
      <c r="L34" s="44">
        <v>1160</v>
      </c>
      <c r="M34" s="42">
        <v>68</v>
      </c>
      <c r="N34" s="43">
        <v>72</v>
      </c>
      <c r="O34" s="43">
        <v>97</v>
      </c>
      <c r="P34" s="43">
        <v>108</v>
      </c>
      <c r="Q34" s="43">
        <v>125</v>
      </c>
      <c r="R34" s="43">
        <v>165</v>
      </c>
      <c r="S34" s="43">
        <v>241</v>
      </c>
      <c r="T34" s="44">
        <v>588</v>
      </c>
    </row>
    <row r="35" spans="2:20" ht="15" customHeight="1">
      <c r="B35" s="93"/>
      <c r="C35" s="98" t="s">
        <v>7</v>
      </c>
      <c r="D35" s="4">
        <v>0.25</v>
      </c>
      <c r="E35" s="36">
        <v>564</v>
      </c>
      <c r="F35" s="37">
        <v>852</v>
      </c>
      <c r="G35" s="37">
        <v>884</v>
      </c>
      <c r="H35" s="37">
        <v>924</v>
      </c>
      <c r="I35" s="37">
        <v>964</v>
      </c>
      <c r="J35" s="37">
        <v>980</v>
      </c>
      <c r="K35" s="37">
        <v>988</v>
      </c>
      <c r="L35" s="38">
        <v>1960</v>
      </c>
      <c r="M35" s="36">
        <v>748</v>
      </c>
      <c r="N35" s="37">
        <v>828</v>
      </c>
      <c r="O35" s="37">
        <v>892</v>
      </c>
      <c r="P35" s="37">
        <v>964</v>
      </c>
      <c r="Q35" s="37">
        <v>1020</v>
      </c>
      <c r="R35" s="37">
        <v>1096</v>
      </c>
      <c r="S35" s="37">
        <v>1176</v>
      </c>
      <c r="T35" s="38">
        <v>2960</v>
      </c>
    </row>
    <row r="36" spans="2:20" ht="15" customHeight="1">
      <c r="B36" s="93"/>
      <c r="C36" s="96"/>
      <c r="D36" s="5">
        <v>0.5</v>
      </c>
      <c r="E36" s="39">
        <v>540</v>
      </c>
      <c r="F36" s="40">
        <v>572</v>
      </c>
      <c r="G36" s="40">
        <v>844</v>
      </c>
      <c r="H36" s="40">
        <v>884</v>
      </c>
      <c r="I36" s="40">
        <v>932</v>
      </c>
      <c r="J36" s="40">
        <v>1048</v>
      </c>
      <c r="K36" s="40">
        <v>1192</v>
      </c>
      <c r="L36" s="41">
        <v>2448</v>
      </c>
      <c r="M36" s="39">
        <v>732</v>
      </c>
      <c r="N36" s="40">
        <v>732</v>
      </c>
      <c r="O36" s="40">
        <v>804</v>
      </c>
      <c r="P36" s="40">
        <v>884</v>
      </c>
      <c r="Q36" s="40">
        <v>980</v>
      </c>
      <c r="R36" s="40">
        <v>1192</v>
      </c>
      <c r="S36" s="40">
        <v>1496</v>
      </c>
      <c r="T36" s="41">
        <v>4576</v>
      </c>
    </row>
    <row r="37" spans="2:20" ht="15" customHeight="1">
      <c r="B37" s="93"/>
      <c r="C37" s="96"/>
      <c r="D37" s="5">
        <v>0.75</v>
      </c>
      <c r="E37" s="39">
        <v>502</v>
      </c>
      <c r="F37" s="40">
        <v>540</v>
      </c>
      <c r="G37" s="40">
        <v>556</v>
      </c>
      <c r="H37" s="40">
        <v>716</v>
      </c>
      <c r="I37" s="40">
        <v>876</v>
      </c>
      <c r="J37" s="40">
        <v>980</v>
      </c>
      <c r="K37" s="40">
        <v>1352</v>
      </c>
      <c r="L37" s="41">
        <v>3120</v>
      </c>
      <c r="M37" s="39">
        <v>636</v>
      </c>
      <c r="N37" s="40">
        <v>692</v>
      </c>
      <c r="O37" s="40">
        <v>732</v>
      </c>
      <c r="P37" s="40">
        <v>772</v>
      </c>
      <c r="Q37" s="40">
        <v>884</v>
      </c>
      <c r="R37" s="40">
        <v>1064</v>
      </c>
      <c r="S37" s="40">
        <v>1384</v>
      </c>
      <c r="T37" s="41">
        <v>2704</v>
      </c>
    </row>
    <row r="38" spans="2:20" ht="15" customHeight="1" thickBot="1">
      <c r="B38" s="93"/>
      <c r="C38" s="97"/>
      <c r="D38" s="6">
        <v>1</v>
      </c>
      <c r="E38" s="42">
        <v>91</v>
      </c>
      <c r="F38" s="43">
        <v>121</v>
      </c>
      <c r="G38" s="43">
        <v>153</v>
      </c>
      <c r="H38" s="43">
        <v>193</v>
      </c>
      <c r="I38" s="43">
        <v>266</v>
      </c>
      <c r="J38" s="43">
        <v>426</v>
      </c>
      <c r="K38" s="43">
        <v>796</v>
      </c>
      <c r="L38" s="44">
        <v>2064</v>
      </c>
      <c r="M38" s="42">
        <v>73</v>
      </c>
      <c r="N38" s="43">
        <v>117</v>
      </c>
      <c r="O38" s="43">
        <v>139</v>
      </c>
      <c r="P38" s="43">
        <v>161</v>
      </c>
      <c r="Q38" s="43">
        <v>203</v>
      </c>
      <c r="R38" s="43">
        <v>282</v>
      </c>
      <c r="S38" s="43">
        <v>426</v>
      </c>
      <c r="T38" s="44">
        <v>772</v>
      </c>
    </row>
    <row r="39" spans="2:20" ht="15" customHeight="1">
      <c r="B39" s="93"/>
      <c r="C39" s="98" t="s">
        <v>8</v>
      </c>
      <c r="D39" s="4">
        <v>0.25</v>
      </c>
      <c r="E39" s="36">
        <v>8738</v>
      </c>
      <c r="F39" s="37">
        <v>15117</v>
      </c>
      <c r="G39" s="37">
        <v>23263</v>
      </c>
      <c r="H39" s="37">
        <v>26264</v>
      </c>
      <c r="I39" s="37">
        <v>26256</v>
      </c>
      <c r="J39" s="37">
        <v>26281</v>
      </c>
      <c r="K39" s="37">
        <v>26266</v>
      </c>
      <c r="L39" s="38">
        <v>26641</v>
      </c>
      <c r="M39" s="36">
        <v>8804</v>
      </c>
      <c r="N39" s="37">
        <v>15482</v>
      </c>
      <c r="O39" s="37">
        <v>24517</v>
      </c>
      <c r="P39" s="37">
        <v>31840</v>
      </c>
      <c r="Q39" s="37">
        <v>31808</v>
      </c>
      <c r="R39" s="37">
        <v>31756</v>
      </c>
      <c r="S39" s="37">
        <v>31759</v>
      </c>
      <c r="T39" s="38">
        <v>32569</v>
      </c>
    </row>
    <row r="40" spans="2:20" ht="15" customHeight="1">
      <c r="B40" s="93"/>
      <c r="C40" s="96"/>
      <c r="D40" s="5">
        <v>0.5</v>
      </c>
      <c r="E40" s="39">
        <v>12115</v>
      </c>
      <c r="F40" s="40">
        <v>22244</v>
      </c>
      <c r="G40" s="40">
        <v>37644</v>
      </c>
      <c r="H40" s="40">
        <v>55006</v>
      </c>
      <c r="I40" s="40">
        <v>64071</v>
      </c>
      <c r="J40" s="40">
        <v>64038</v>
      </c>
      <c r="K40" s="40">
        <v>63995</v>
      </c>
      <c r="L40" s="41">
        <v>68345</v>
      </c>
      <c r="M40" s="39">
        <v>12173</v>
      </c>
      <c r="N40" s="40">
        <v>22587</v>
      </c>
      <c r="O40" s="40">
        <v>39491</v>
      </c>
      <c r="P40" s="40">
        <v>61416</v>
      </c>
      <c r="Q40" s="40">
        <v>81715</v>
      </c>
      <c r="R40" s="40">
        <v>80491</v>
      </c>
      <c r="S40" s="40">
        <v>80562</v>
      </c>
      <c r="T40" s="41">
        <v>86824</v>
      </c>
    </row>
    <row r="41" spans="2:20" ht="15" customHeight="1">
      <c r="B41" s="93"/>
      <c r="C41" s="96"/>
      <c r="D41" s="5">
        <v>0.75</v>
      </c>
      <c r="E41" s="39">
        <v>14181</v>
      </c>
      <c r="F41" s="40">
        <v>26955</v>
      </c>
      <c r="G41" s="40">
        <v>49093</v>
      </c>
      <c r="H41" s="40">
        <v>82168</v>
      </c>
      <c r="I41" s="40">
        <v>115367</v>
      </c>
      <c r="J41" s="40">
        <v>132374</v>
      </c>
      <c r="K41" s="40">
        <v>132610</v>
      </c>
      <c r="L41" s="41">
        <v>132423</v>
      </c>
      <c r="M41" s="39">
        <v>14182</v>
      </c>
      <c r="N41" s="40">
        <v>27203</v>
      </c>
      <c r="O41" s="40">
        <v>50468</v>
      </c>
      <c r="P41" s="40">
        <v>88439</v>
      </c>
      <c r="Q41" s="40">
        <v>136596</v>
      </c>
      <c r="R41" s="40">
        <v>175623</v>
      </c>
      <c r="S41" s="40">
        <v>178322</v>
      </c>
      <c r="T41" s="41">
        <v>178110</v>
      </c>
    </row>
    <row r="42" spans="2:20" ht="15" customHeight="1" thickBot="1">
      <c r="B42" s="94"/>
      <c r="C42" s="97"/>
      <c r="D42" s="6">
        <v>1</v>
      </c>
      <c r="E42" s="42">
        <v>16007</v>
      </c>
      <c r="F42" s="43">
        <v>31592</v>
      </c>
      <c r="G42" s="43">
        <v>61461</v>
      </c>
      <c r="H42" s="43">
        <v>116518</v>
      </c>
      <c r="I42" s="43">
        <v>209190</v>
      </c>
      <c r="J42" s="43">
        <v>337622</v>
      </c>
      <c r="K42" s="43">
        <v>459911</v>
      </c>
      <c r="L42" s="44">
        <v>537152</v>
      </c>
      <c r="M42" s="42">
        <v>16043</v>
      </c>
      <c r="N42" s="43">
        <v>31839</v>
      </c>
      <c r="O42" s="43">
        <v>62563</v>
      </c>
      <c r="P42" s="43">
        <v>120847</v>
      </c>
      <c r="Q42" s="43">
        <v>226038</v>
      </c>
      <c r="R42" s="43">
        <v>395226</v>
      </c>
      <c r="S42" s="43">
        <v>544084</v>
      </c>
      <c r="T42" s="44">
        <v>550108</v>
      </c>
    </row>
    <row r="43" spans="2:20" ht="15" customHeight="1">
      <c r="B43" s="83" t="s">
        <v>9</v>
      </c>
      <c r="C43" s="98" t="s">
        <v>6</v>
      </c>
      <c r="D43" s="4">
        <v>0.25</v>
      </c>
      <c r="E43" s="36">
        <v>11</v>
      </c>
      <c r="F43" s="37">
        <v>13</v>
      </c>
      <c r="G43" s="37">
        <v>15</v>
      </c>
      <c r="H43" s="37">
        <v>17</v>
      </c>
      <c r="I43" s="37">
        <v>19</v>
      </c>
      <c r="J43" s="37">
        <v>21</v>
      </c>
      <c r="K43" s="37">
        <v>49</v>
      </c>
      <c r="L43" s="38">
        <v>50</v>
      </c>
      <c r="M43" s="36">
        <v>11</v>
      </c>
      <c r="N43" s="37">
        <v>13</v>
      </c>
      <c r="O43" s="37">
        <v>15</v>
      </c>
      <c r="P43" s="37">
        <v>17</v>
      </c>
      <c r="Q43" s="37">
        <v>20</v>
      </c>
      <c r="R43" s="37">
        <v>23</v>
      </c>
      <c r="S43" s="37">
        <v>22</v>
      </c>
      <c r="T43" s="38">
        <v>23</v>
      </c>
    </row>
    <row r="44" spans="2:20" ht="15" customHeight="1">
      <c r="B44" s="93"/>
      <c r="C44" s="96"/>
      <c r="D44" s="5">
        <v>0.5</v>
      </c>
      <c r="E44" s="39">
        <v>11</v>
      </c>
      <c r="F44" s="40">
        <v>13</v>
      </c>
      <c r="G44" s="40">
        <v>15</v>
      </c>
      <c r="H44" s="40">
        <v>17</v>
      </c>
      <c r="I44" s="40">
        <v>169</v>
      </c>
      <c r="J44" s="40">
        <v>466</v>
      </c>
      <c r="K44" s="40">
        <v>1048</v>
      </c>
      <c r="L44" s="41">
        <v>3632</v>
      </c>
      <c r="M44" s="39">
        <v>12</v>
      </c>
      <c r="N44" s="40">
        <v>13</v>
      </c>
      <c r="O44" s="40">
        <v>15</v>
      </c>
      <c r="P44" s="40">
        <v>18</v>
      </c>
      <c r="Q44" s="40">
        <v>20</v>
      </c>
      <c r="R44" s="40">
        <v>402</v>
      </c>
      <c r="S44" s="40">
        <v>892</v>
      </c>
      <c r="T44" s="41">
        <v>3376</v>
      </c>
    </row>
    <row r="45" spans="2:20" ht="15" customHeight="1">
      <c r="B45" s="93"/>
      <c r="C45" s="96"/>
      <c r="D45" s="5">
        <v>0.75</v>
      </c>
      <c r="E45" s="39">
        <v>11</v>
      </c>
      <c r="F45" s="40">
        <v>13</v>
      </c>
      <c r="G45" s="40">
        <v>15</v>
      </c>
      <c r="H45" s="40">
        <v>120</v>
      </c>
      <c r="I45" s="40">
        <v>243</v>
      </c>
      <c r="J45" s="40">
        <v>490</v>
      </c>
      <c r="K45" s="40">
        <v>980</v>
      </c>
      <c r="L45" s="41">
        <v>3824</v>
      </c>
      <c r="M45" s="39">
        <v>14</v>
      </c>
      <c r="N45" s="40">
        <v>14</v>
      </c>
      <c r="O45" s="40">
        <v>15</v>
      </c>
      <c r="P45" s="40">
        <v>106</v>
      </c>
      <c r="Q45" s="40">
        <v>241</v>
      </c>
      <c r="R45" s="40">
        <v>486</v>
      </c>
      <c r="S45" s="40">
        <v>972</v>
      </c>
      <c r="T45" s="41">
        <v>3856</v>
      </c>
    </row>
    <row r="46" spans="2:20" ht="15" customHeight="1" thickBot="1">
      <c r="B46" s="93"/>
      <c r="C46" s="97"/>
      <c r="D46" s="6">
        <v>1</v>
      </c>
      <c r="E46" s="42">
        <v>11</v>
      </c>
      <c r="F46" s="43">
        <v>32</v>
      </c>
      <c r="G46" s="43">
        <v>64</v>
      </c>
      <c r="H46" s="43">
        <v>100</v>
      </c>
      <c r="I46" s="43">
        <v>201</v>
      </c>
      <c r="J46" s="43">
        <v>374</v>
      </c>
      <c r="K46" s="43">
        <v>748</v>
      </c>
      <c r="L46" s="44">
        <v>2928</v>
      </c>
      <c r="M46" s="42">
        <v>11</v>
      </c>
      <c r="N46" s="43">
        <v>18</v>
      </c>
      <c r="O46" s="43">
        <v>37</v>
      </c>
      <c r="P46" s="43">
        <v>75</v>
      </c>
      <c r="Q46" s="43">
        <v>151</v>
      </c>
      <c r="R46" s="43">
        <v>302</v>
      </c>
      <c r="S46" s="43">
        <v>612</v>
      </c>
      <c r="T46" s="44">
        <v>2448</v>
      </c>
    </row>
    <row r="47" spans="2:20" ht="15" customHeight="1">
      <c r="B47" s="93"/>
      <c r="C47" s="98" t="s">
        <v>7</v>
      </c>
      <c r="D47" s="4">
        <v>0.25</v>
      </c>
      <c r="E47" s="36">
        <v>16</v>
      </c>
      <c r="F47" s="37">
        <v>17</v>
      </c>
      <c r="G47" s="37">
        <v>19</v>
      </c>
      <c r="H47" s="37">
        <v>22</v>
      </c>
      <c r="I47" s="37">
        <v>27</v>
      </c>
      <c r="J47" s="37">
        <v>93</v>
      </c>
      <c r="K47" s="37">
        <v>135</v>
      </c>
      <c r="L47" s="38">
        <v>137</v>
      </c>
      <c r="M47" s="36">
        <v>27</v>
      </c>
      <c r="N47" s="37">
        <v>29</v>
      </c>
      <c r="O47" s="37">
        <v>27</v>
      </c>
      <c r="P47" s="37">
        <v>23</v>
      </c>
      <c r="Q47" s="37">
        <v>28</v>
      </c>
      <c r="R47" s="37">
        <v>34</v>
      </c>
      <c r="S47" s="37">
        <v>74</v>
      </c>
      <c r="T47" s="38">
        <v>402</v>
      </c>
    </row>
    <row r="48" spans="2:20" ht="15" customHeight="1">
      <c r="B48" s="93"/>
      <c r="C48" s="96"/>
      <c r="D48" s="5">
        <v>0.5</v>
      </c>
      <c r="E48" s="39">
        <v>16</v>
      </c>
      <c r="F48" s="40">
        <v>17</v>
      </c>
      <c r="G48" s="40">
        <v>19</v>
      </c>
      <c r="H48" s="40">
        <v>23</v>
      </c>
      <c r="I48" s="40">
        <v>217</v>
      </c>
      <c r="J48" s="40">
        <v>596</v>
      </c>
      <c r="K48" s="40">
        <v>1272</v>
      </c>
      <c r="L48" s="41">
        <v>3824</v>
      </c>
      <c r="M48" s="39">
        <v>29</v>
      </c>
      <c r="N48" s="40">
        <v>33</v>
      </c>
      <c r="O48" s="40">
        <v>28</v>
      </c>
      <c r="P48" s="40">
        <v>24</v>
      </c>
      <c r="Q48" s="40">
        <v>137</v>
      </c>
      <c r="R48" s="40">
        <v>466</v>
      </c>
      <c r="S48" s="40">
        <v>956</v>
      </c>
      <c r="T48" s="41">
        <v>3856</v>
      </c>
    </row>
    <row r="49" spans="2:20" ht="15" customHeight="1">
      <c r="B49" s="93"/>
      <c r="C49" s="96"/>
      <c r="D49" s="5">
        <v>0.75</v>
      </c>
      <c r="E49" s="39">
        <v>16</v>
      </c>
      <c r="F49" s="40">
        <v>17</v>
      </c>
      <c r="G49" s="40">
        <v>20</v>
      </c>
      <c r="H49" s="40">
        <v>125</v>
      </c>
      <c r="I49" s="40">
        <v>249</v>
      </c>
      <c r="J49" s="40">
        <v>494</v>
      </c>
      <c r="K49" s="40">
        <v>988</v>
      </c>
      <c r="L49" s="41">
        <v>3888</v>
      </c>
      <c r="M49" s="39">
        <v>30</v>
      </c>
      <c r="N49" s="40">
        <v>36</v>
      </c>
      <c r="O49" s="40">
        <v>30</v>
      </c>
      <c r="P49" s="40">
        <v>124</v>
      </c>
      <c r="Q49" s="40">
        <v>249</v>
      </c>
      <c r="R49" s="40">
        <v>494</v>
      </c>
      <c r="S49" s="40">
        <v>988</v>
      </c>
      <c r="T49" s="41">
        <v>3920</v>
      </c>
    </row>
    <row r="50" spans="2:20" ht="15" customHeight="1" thickBot="1">
      <c r="B50" s="93"/>
      <c r="C50" s="97"/>
      <c r="D50" s="6">
        <v>1</v>
      </c>
      <c r="E50" s="42">
        <v>16</v>
      </c>
      <c r="F50" s="43">
        <v>33</v>
      </c>
      <c r="G50" s="43">
        <v>67</v>
      </c>
      <c r="H50" s="43">
        <v>120</v>
      </c>
      <c r="I50" s="43">
        <v>203</v>
      </c>
      <c r="J50" s="43">
        <v>470</v>
      </c>
      <c r="K50" s="43">
        <v>812</v>
      </c>
      <c r="L50" s="44">
        <v>2928</v>
      </c>
      <c r="M50" s="42">
        <v>16</v>
      </c>
      <c r="N50" s="43">
        <v>29</v>
      </c>
      <c r="O50" s="43">
        <v>60</v>
      </c>
      <c r="P50" s="43">
        <v>121</v>
      </c>
      <c r="Q50" s="43">
        <v>243</v>
      </c>
      <c r="R50" s="43">
        <v>490</v>
      </c>
      <c r="S50" s="43">
        <v>980</v>
      </c>
      <c r="T50" s="44">
        <v>3344</v>
      </c>
    </row>
    <row r="51" spans="2:20" ht="15" customHeight="1">
      <c r="B51" s="93"/>
      <c r="C51" s="98" t="s">
        <v>8</v>
      </c>
      <c r="D51" s="4">
        <v>0.25</v>
      </c>
      <c r="E51" s="24">
        <v>4728</v>
      </c>
      <c r="F51" s="25">
        <v>8985</v>
      </c>
      <c r="G51" s="25">
        <v>16361</v>
      </c>
      <c r="H51" s="25">
        <v>27402</v>
      </c>
      <c r="I51" s="25">
        <v>38453</v>
      </c>
      <c r="J51" s="25">
        <v>44129</v>
      </c>
      <c r="K51" s="25">
        <v>44196</v>
      </c>
      <c r="L51" s="26">
        <v>44140</v>
      </c>
      <c r="M51" s="24">
        <v>4722</v>
      </c>
      <c r="N51" s="25">
        <v>9064</v>
      </c>
      <c r="O51" s="25">
        <v>16824</v>
      </c>
      <c r="P51" s="25">
        <v>29483</v>
      </c>
      <c r="Q51" s="25">
        <v>45527</v>
      </c>
      <c r="R51" s="25">
        <v>58539</v>
      </c>
      <c r="S51" s="25">
        <v>59435</v>
      </c>
      <c r="T51" s="26">
        <v>59347</v>
      </c>
    </row>
    <row r="52" spans="2:20" ht="15" customHeight="1">
      <c r="B52" s="93"/>
      <c r="C52" s="96"/>
      <c r="D52" s="5">
        <v>0.5</v>
      </c>
      <c r="E52" s="27">
        <v>12124</v>
      </c>
      <c r="F52" s="28">
        <v>22236</v>
      </c>
      <c r="G52" s="28">
        <v>37630</v>
      </c>
      <c r="H52" s="28">
        <v>54980</v>
      </c>
      <c r="I52" s="28">
        <v>64073</v>
      </c>
      <c r="J52" s="28">
        <v>64042</v>
      </c>
      <c r="K52" s="28">
        <v>64011</v>
      </c>
      <c r="L52" s="29">
        <v>68340</v>
      </c>
      <c r="M52" s="27">
        <v>12171</v>
      </c>
      <c r="N52" s="28">
        <v>22600</v>
      </c>
      <c r="O52" s="28">
        <v>39493</v>
      </c>
      <c r="P52" s="28">
        <v>61401</v>
      </c>
      <c r="Q52" s="28">
        <v>81715</v>
      </c>
      <c r="R52" s="28">
        <v>80488</v>
      </c>
      <c r="S52" s="28">
        <v>80548</v>
      </c>
      <c r="T52" s="29">
        <v>86830</v>
      </c>
    </row>
    <row r="53" spans="2:20" ht="15" customHeight="1">
      <c r="B53" s="93"/>
      <c r="C53" s="96"/>
      <c r="D53" s="5">
        <v>0.75</v>
      </c>
      <c r="E53" s="27">
        <v>26213</v>
      </c>
      <c r="F53" s="28">
        <v>45327</v>
      </c>
      <c r="G53" s="28">
        <v>69787</v>
      </c>
      <c r="H53" s="28">
        <v>78800</v>
      </c>
      <c r="I53" s="28">
        <v>78793</v>
      </c>
      <c r="J53" s="28">
        <v>78829</v>
      </c>
      <c r="K53" s="28">
        <v>78801</v>
      </c>
      <c r="L53" s="29">
        <v>79919</v>
      </c>
      <c r="M53" s="27">
        <v>26425</v>
      </c>
      <c r="N53" s="28">
        <v>46484</v>
      </c>
      <c r="O53" s="28">
        <v>73565</v>
      </c>
      <c r="P53" s="28">
        <v>95546</v>
      </c>
      <c r="Q53" s="28">
        <v>95366</v>
      </c>
      <c r="R53" s="28">
        <v>95240</v>
      </c>
      <c r="S53" s="28">
        <v>95289</v>
      </c>
      <c r="T53" s="29">
        <v>97680</v>
      </c>
    </row>
    <row r="54" spans="2:20" ht="15" customHeight="1" thickBot="1">
      <c r="B54" s="94"/>
      <c r="C54" s="97"/>
      <c r="D54" s="6">
        <v>1</v>
      </c>
      <c r="E54" s="30">
        <v>87038</v>
      </c>
      <c r="F54" s="31">
        <v>88208</v>
      </c>
      <c r="G54" s="31">
        <v>88212</v>
      </c>
      <c r="H54" s="31">
        <v>88209</v>
      </c>
      <c r="I54" s="31">
        <v>88212</v>
      </c>
      <c r="J54" s="31">
        <v>88208</v>
      </c>
      <c r="K54" s="31">
        <v>88210</v>
      </c>
      <c r="L54" s="32">
        <v>88212</v>
      </c>
      <c r="M54" s="30">
        <v>87770</v>
      </c>
      <c r="N54" s="31">
        <v>105218</v>
      </c>
      <c r="O54" s="31">
        <v>105215</v>
      </c>
      <c r="P54" s="31">
        <v>105215</v>
      </c>
      <c r="Q54" s="31">
        <v>105219</v>
      </c>
      <c r="R54" s="31">
        <v>105215</v>
      </c>
      <c r="S54" s="31">
        <v>105210</v>
      </c>
      <c r="T54" s="32">
        <v>105212</v>
      </c>
    </row>
  </sheetData>
  <mergeCells count="36">
    <mergeCell ref="B43:B54"/>
    <mergeCell ref="C43:C46"/>
    <mergeCell ref="C47:C50"/>
    <mergeCell ref="C51:C54"/>
    <mergeCell ref="B29:D30"/>
    <mergeCell ref="E29:L29"/>
    <mergeCell ref="M29:T29"/>
    <mergeCell ref="X29:AB29"/>
    <mergeCell ref="X30:AB30"/>
    <mergeCell ref="B31:B42"/>
    <mergeCell ref="C31:C34"/>
    <mergeCell ref="X31:AB31"/>
    <mergeCell ref="C35:C38"/>
    <mergeCell ref="C39:C42"/>
    <mergeCell ref="B16:B27"/>
    <mergeCell ref="C16:C19"/>
    <mergeCell ref="V16:V27"/>
    <mergeCell ref="W16:W19"/>
    <mergeCell ref="C20:C23"/>
    <mergeCell ref="W20:W23"/>
    <mergeCell ref="C24:C27"/>
    <mergeCell ref="W24:W27"/>
    <mergeCell ref="B4:B15"/>
    <mergeCell ref="C4:C7"/>
    <mergeCell ref="V4:V15"/>
    <mergeCell ref="W4:W7"/>
    <mergeCell ref="C8:C11"/>
    <mergeCell ref="W8:W11"/>
    <mergeCell ref="C12:C15"/>
    <mergeCell ref="W12:W15"/>
    <mergeCell ref="AG2:AN2"/>
    <mergeCell ref="B2:D3"/>
    <mergeCell ref="E2:L2"/>
    <mergeCell ref="M2:T2"/>
    <mergeCell ref="V2:X3"/>
    <mergeCell ref="Y2:AF2"/>
  </mergeCells>
  <phoneticPr fontId="1" type="noConversion"/>
  <conditionalFormatting sqref="W29">
    <cfRule type="cellIs" dxfId="99" priority="9" operator="lessThan">
      <formula>0.8</formula>
    </cfRule>
  </conditionalFormatting>
  <conditionalFormatting sqref="W30:W31">
    <cfRule type="cellIs" dxfId="98" priority="8" operator="lessThan">
      <formula>0.8</formula>
    </cfRule>
  </conditionalFormatting>
  <conditionalFormatting sqref="E4:T11">
    <cfRule type="expression" dxfId="97" priority="6">
      <formula>Y4&gt;1.1</formula>
    </cfRule>
  </conditionalFormatting>
  <conditionalFormatting sqref="E16:T23">
    <cfRule type="expression" dxfId="96" priority="7">
      <formula>Y16&gt;1.1</formula>
    </cfRule>
  </conditionalFormatting>
  <conditionalFormatting sqref="E31:T38">
    <cfRule type="expression" dxfId="95" priority="5">
      <formula>Y4&gt;1.1</formula>
    </cfRule>
  </conditionalFormatting>
  <conditionalFormatting sqref="E43:T50">
    <cfRule type="expression" dxfId="94" priority="4">
      <formula>Y16&gt;1.1</formula>
    </cfRule>
  </conditionalFormatting>
  <conditionalFormatting sqref="Y4:AN11 Y19:AN19 AD16:AH16 AC17:AH17 Y16:Z18 AB18:AN18 Y23:AN23 AD20:AG20 AL20:AN20 Y20:Z21 AK21:AN21 AL16:AN16 AK17:AN17 AB21:AF21 Y22:AF22 AJ22:AN22">
    <cfRule type="cellIs" dxfId="93" priority="2" operator="lessThan">
      <formula>0.9</formula>
    </cfRule>
    <cfRule type="cellIs" dxfId="92" priority="3" operator="greaterThan">
      <formula>1.1</formula>
    </cfRule>
  </conditionalFormatting>
  <conditionalFormatting sqref="Y12:AN15 Y24:AN27">
    <cfRule type="cellIs" dxfId="91" priority="1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R54"/>
  <sheetViews>
    <sheetView showGridLines="0" zoomScale="70" zoomScaleNormal="70" workbookViewId="0">
      <selection activeCell="B2" sqref="B2:AN54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1.69921875" style="11" customWidth="1"/>
    <col min="5" max="22" width="6.59765625" style="11" customWidth="1"/>
    <col min="23" max="23" width="3.09765625" style="11" customWidth="1"/>
    <col min="24" max="24" width="13.09765625" style="11" customWidth="1"/>
    <col min="25" max="25" width="11" style="11" bestFit="1" customWidth="1"/>
    <col min="26" max="26" width="11.5" style="11" customWidth="1"/>
    <col min="27" max="44" width="6.59765625" style="11" customWidth="1"/>
    <col min="45" max="16384" width="9" style="11"/>
  </cols>
  <sheetData>
    <row r="1" spans="2:44" ht="15" customHeight="1" thickBot="1"/>
    <row r="2" spans="2:44" ht="15" customHeight="1">
      <c r="B2" s="99" t="s">
        <v>79</v>
      </c>
      <c r="C2" s="118"/>
      <c r="D2" s="119"/>
      <c r="E2" s="83" t="s">
        <v>14</v>
      </c>
      <c r="F2" s="84"/>
      <c r="G2" s="84"/>
      <c r="H2" s="84"/>
      <c r="I2" s="84"/>
      <c r="J2" s="84"/>
      <c r="K2" s="84"/>
      <c r="L2" s="84"/>
      <c r="M2" s="85"/>
      <c r="N2" s="83" t="s">
        <v>24</v>
      </c>
      <c r="O2" s="84"/>
      <c r="P2" s="84"/>
      <c r="Q2" s="84"/>
      <c r="R2" s="84"/>
      <c r="S2" s="84"/>
      <c r="T2" s="84"/>
      <c r="U2" s="84"/>
      <c r="V2" s="85"/>
      <c r="X2" s="105" t="str">
        <f>CONCATENATE(B2, CHAR(10), "vs ", B29)</f>
        <v>PM9A3_GDA71F2Q_20210203_TH4
vs PM9A3_GDA71F25_20210527_TH4</v>
      </c>
      <c r="Y2" s="106"/>
      <c r="Z2" s="106"/>
      <c r="AA2" s="83" t="s">
        <v>14</v>
      </c>
      <c r="AB2" s="84"/>
      <c r="AC2" s="84"/>
      <c r="AD2" s="84"/>
      <c r="AE2" s="84"/>
      <c r="AF2" s="84"/>
      <c r="AG2" s="84"/>
      <c r="AH2" s="84"/>
      <c r="AI2" s="85"/>
      <c r="AJ2" s="83" t="s">
        <v>24</v>
      </c>
      <c r="AK2" s="84"/>
      <c r="AL2" s="84"/>
      <c r="AM2" s="84"/>
      <c r="AN2" s="84"/>
      <c r="AO2" s="84"/>
      <c r="AP2" s="84"/>
      <c r="AQ2" s="84"/>
      <c r="AR2" s="85"/>
    </row>
    <row r="3" spans="2:44" ht="20.25" customHeight="1" thickBot="1">
      <c r="B3" s="120"/>
      <c r="C3" s="121"/>
      <c r="D3" s="122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2" t="s">
        <v>23</v>
      </c>
      <c r="M3" s="3" t="s">
        <v>17</v>
      </c>
      <c r="N3" s="1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18</v>
      </c>
      <c r="T3" s="2" t="s">
        <v>16</v>
      </c>
      <c r="U3" s="2" t="s">
        <v>23</v>
      </c>
      <c r="V3" s="3" t="s">
        <v>17</v>
      </c>
      <c r="X3" s="107"/>
      <c r="Y3" s="108"/>
      <c r="Z3" s="108"/>
      <c r="AA3" s="1" t="s">
        <v>0</v>
      </c>
      <c r="AB3" s="2" t="s">
        <v>1</v>
      </c>
      <c r="AC3" s="2" t="s">
        <v>2</v>
      </c>
      <c r="AD3" s="2" t="s">
        <v>3</v>
      </c>
      <c r="AE3" s="2" t="s">
        <v>4</v>
      </c>
      <c r="AF3" s="2" t="s">
        <v>18</v>
      </c>
      <c r="AG3" s="2" t="s">
        <v>16</v>
      </c>
      <c r="AH3" s="2" t="s">
        <v>23</v>
      </c>
      <c r="AI3" s="3" t="s">
        <v>17</v>
      </c>
      <c r="AJ3" s="1" t="s">
        <v>0</v>
      </c>
      <c r="AK3" s="2" t="s">
        <v>1</v>
      </c>
      <c r="AL3" s="2" t="s">
        <v>2</v>
      </c>
      <c r="AM3" s="2" t="s">
        <v>3</v>
      </c>
      <c r="AN3" s="2" t="s">
        <v>4</v>
      </c>
      <c r="AO3" s="2" t="s">
        <v>18</v>
      </c>
      <c r="AP3" s="2" t="s">
        <v>16</v>
      </c>
      <c r="AQ3" s="2" t="s">
        <v>23</v>
      </c>
      <c r="AR3" s="3" t="s">
        <v>17</v>
      </c>
    </row>
    <row r="4" spans="2:44" ht="15" customHeight="1">
      <c r="B4" s="92" t="s">
        <v>5</v>
      </c>
      <c r="C4" s="98" t="s">
        <v>6</v>
      </c>
      <c r="D4" s="4">
        <v>0.25</v>
      </c>
      <c r="E4" s="24">
        <v>382</v>
      </c>
      <c r="F4" s="25">
        <v>414</v>
      </c>
      <c r="G4" s="25">
        <v>430</v>
      </c>
      <c r="H4" s="25">
        <v>438</v>
      </c>
      <c r="I4" s="25">
        <v>442</v>
      </c>
      <c r="J4" s="25">
        <v>442</v>
      </c>
      <c r="K4" s="25">
        <v>1688</v>
      </c>
      <c r="L4" s="25">
        <v>7904</v>
      </c>
      <c r="M4" s="26">
        <v>22656</v>
      </c>
      <c r="N4" s="24">
        <v>494</v>
      </c>
      <c r="O4" s="25">
        <v>564</v>
      </c>
      <c r="P4" s="25">
        <v>604</v>
      </c>
      <c r="Q4" s="25">
        <v>660</v>
      </c>
      <c r="R4" s="25">
        <v>700</v>
      </c>
      <c r="S4" s="25">
        <v>740</v>
      </c>
      <c r="T4" s="25">
        <v>2064</v>
      </c>
      <c r="U4" s="25">
        <v>7008</v>
      </c>
      <c r="V4" s="26">
        <v>20096</v>
      </c>
      <c r="X4" s="92" t="s">
        <v>5</v>
      </c>
      <c r="Y4" s="95" t="s">
        <v>6</v>
      </c>
      <c r="Z4" s="7">
        <v>0.25</v>
      </c>
      <c r="AA4" s="15">
        <f t="shared" ref="AA4:AP19" si="0">E31/E4</f>
        <v>1</v>
      </c>
      <c r="AB4" s="16">
        <f t="shared" si="0"/>
        <v>1</v>
      </c>
      <c r="AC4" s="16">
        <f t="shared" si="0"/>
        <v>1</v>
      </c>
      <c r="AD4" s="16">
        <f t="shared" si="0"/>
        <v>1.0091324200913243</v>
      </c>
      <c r="AE4" s="16">
        <f t="shared" si="0"/>
        <v>1</v>
      </c>
      <c r="AF4" s="16">
        <f t="shared" si="0"/>
        <v>1.0090497737556561</v>
      </c>
      <c r="AG4" s="16">
        <f t="shared" si="0"/>
        <v>1</v>
      </c>
      <c r="AH4" s="16">
        <f t="shared" si="0"/>
        <v>1.0161943319838056</v>
      </c>
      <c r="AI4" s="17">
        <f t="shared" si="0"/>
        <v>0.98870056497175141</v>
      </c>
      <c r="AJ4" s="15">
        <f t="shared" si="0"/>
        <v>1</v>
      </c>
      <c r="AK4" s="16">
        <f t="shared" si="0"/>
        <v>1</v>
      </c>
      <c r="AL4" s="16">
        <f t="shared" si="0"/>
        <v>1.0132450331125828</v>
      </c>
      <c r="AM4" s="16">
        <f t="shared" si="0"/>
        <v>1</v>
      </c>
      <c r="AN4" s="16">
        <f t="shared" si="0"/>
        <v>1.0114285714285713</v>
      </c>
      <c r="AO4" s="16">
        <f t="shared" si="0"/>
        <v>1</v>
      </c>
      <c r="AP4" s="16">
        <f t="shared" si="0"/>
        <v>1</v>
      </c>
      <c r="AQ4" s="16">
        <f t="shared" ref="AD4:AR19" si="1">U31/U4</f>
        <v>1.0091324200913243</v>
      </c>
      <c r="AR4" s="17">
        <f t="shared" si="1"/>
        <v>1</v>
      </c>
    </row>
    <row r="5" spans="2:44" ht="15" customHeight="1">
      <c r="B5" s="93"/>
      <c r="C5" s="96"/>
      <c r="D5" s="5">
        <v>0.5</v>
      </c>
      <c r="E5" s="27">
        <v>310</v>
      </c>
      <c r="F5" s="28">
        <v>378</v>
      </c>
      <c r="G5" s="28">
        <v>438</v>
      </c>
      <c r="H5" s="28">
        <v>450</v>
      </c>
      <c r="I5" s="28">
        <v>458</v>
      </c>
      <c r="J5" s="28">
        <v>462</v>
      </c>
      <c r="K5" s="28">
        <v>1768</v>
      </c>
      <c r="L5" s="28">
        <v>6432</v>
      </c>
      <c r="M5" s="29">
        <v>18304</v>
      </c>
      <c r="N5" s="27">
        <v>366</v>
      </c>
      <c r="O5" s="28">
        <v>462</v>
      </c>
      <c r="P5" s="28">
        <v>572</v>
      </c>
      <c r="Q5" s="28">
        <v>748</v>
      </c>
      <c r="R5" s="28">
        <v>1020</v>
      </c>
      <c r="S5" s="28">
        <v>1480</v>
      </c>
      <c r="T5" s="28">
        <v>3664</v>
      </c>
      <c r="U5" s="28">
        <v>6304</v>
      </c>
      <c r="V5" s="29">
        <v>15296</v>
      </c>
      <c r="X5" s="93"/>
      <c r="Y5" s="96"/>
      <c r="Z5" s="5">
        <v>0.5</v>
      </c>
      <c r="AA5" s="18">
        <f t="shared" si="0"/>
        <v>1</v>
      </c>
      <c r="AB5" s="12">
        <f t="shared" si="0"/>
        <v>1</v>
      </c>
      <c r="AC5" s="12">
        <f t="shared" si="0"/>
        <v>1.0091324200913243</v>
      </c>
      <c r="AD5" s="12">
        <f t="shared" si="0"/>
        <v>1</v>
      </c>
      <c r="AE5" s="12">
        <f t="shared" si="0"/>
        <v>1</v>
      </c>
      <c r="AF5" s="12">
        <f t="shared" si="0"/>
        <v>1</v>
      </c>
      <c r="AG5" s="12">
        <f t="shared" si="0"/>
        <v>1</v>
      </c>
      <c r="AH5" s="12">
        <f t="shared" si="0"/>
        <v>1.0597014925373134</v>
      </c>
      <c r="AI5" s="19">
        <f t="shared" si="0"/>
        <v>0.97202797202797198</v>
      </c>
      <c r="AJ5" s="18">
        <f t="shared" si="0"/>
        <v>1.0109289617486339</v>
      </c>
      <c r="AK5" s="12">
        <f t="shared" si="0"/>
        <v>1.0086580086580086</v>
      </c>
      <c r="AL5" s="12">
        <f t="shared" si="0"/>
        <v>1</v>
      </c>
      <c r="AM5" s="12">
        <f t="shared" si="0"/>
        <v>1</v>
      </c>
      <c r="AN5" s="12">
        <f t="shared" si="0"/>
        <v>1</v>
      </c>
      <c r="AO5" s="12">
        <f t="shared" si="0"/>
        <v>0.98918918918918919</v>
      </c>
      <c r="AP5" s="12">
        <f t="shared" si="0"/>
        <v>0.99126637554585151</v>
      </c>
      <c r="AQ5" s="12">
        <f t="shared" si="1"/>
        <v>1.0609137055837563</v>
      </c>
      <c r="AR5" s="19">
        <f t="shared" si="1"/>
        <v>1.0669456066945606</v>
      </c>
    </row>
    <row r="6" spans="2:44" ht="15" customHeight="1">
      <c r="B6" s="93"/>
      <c r="C6" s="96"/>
      <c r="D6" s="5">
        <v>0.75</v>
      </c>
      <c r="E6" s="27">
        <v>258</v>
      </c>
      <c r="F6" s="28">
        <v>314</v>
      </c>
      <c r="G6" s="28">
        <v>398</v>
      </c>
      <c r="H6" s="28">
        <v>532</v>
      </c>
      <c r="I6" s="28">
        <v>796</v>
      </c>
      <c r="J6" s="28">
        <v>1304</v>
      </c>
      <c r="K6" s="28">
        <v>2288</v>
      </c>
      <c r="L6" s="28">
        <v>6816</v>
      </c>
      <c r="M6" s="29">
        <v>15680</v>
      </c>
      <c r="N6" s="27">
        <v>270</v>
      </c>
      <c r="O6" s="28">
        <v>346</v>
      </c>
      <c r="P6" s="28">
        <v>446</v>
      </c>
      <c r="Q6" s="28">
        <v>588</v>
      </c>
      <c r="R6" s="28">
        <v>844</v>
      </c>
      <c r="S6" s="28">
        <v>1288</v>
      </c>
      <c r="T6" s="28">
        <v>2096</v>
      </c>
      <c r="U6" s="28">
        <v>5088</v>
      </c>
      <c r="V6" s="29">
        <v>12352</v>
      </c>
      <c r="X6" s="93"/>
      <c r="Y6" s="96"/>
      <c r="Z6" s="5">
        <v>0.75</v>
      </c>
      <c r="AA6" s="18">
        <f t="shared" si="0"/>
        <v>1</v>
      </c>
      <c r="AB6" s="12">
        <f t="shared" si="0"/>
        <v>1</v>
      </c>
      <c r="AC6" s="12">
        <f t="shared" si="0"/>
        <v>1</v>
      </c>
      <c r="AD6" s="12">
        <f t="shared" si="0"/>
        <v>1</v>
      </c>
      <c r="AE6" s="12">
        <f t="shared" si="0"/>
        <v>1</v>
      </c>
      <c r="AF6" s="12">
        <f t="shared" si="0"/>
        <v>1</v>
      </c>
      <c r="AG6" s="12">
        <f t="shared" si="0"/>
        <v>1</v>
      </c>
      <c r="AH6" s="12">
        <f t="shared" si="0"/>
        <v>0.99061032863849763</v>
      </c>
      <c r="AI6" s="19">
        <f t="shared" si="0"/>
        <v>0.98367346938775513</v>
      </c>
      <c r="AJ6" s="18">
        <f t="shared" si="0"/>
        <v>1</v>
      </c>
      <c r="AK6" s="12">
        <f t="shared" si="0"/>
        <v>1</v>
      </c>
      <c r="AL6" s="12">
        <f t="shared" si="0"/>
        <v>1.0089686098654709</v>
      </c>
      <c r="AM6" s="12">
        <f t="shared" si="0"/>
        <v>1</v>
      </c>
      <c r="AN6" s="12">
        <f t="shared" si="0"/>
        <v>1.0094786729857821</v>
      </c>
      <c r="AO6" s="12">
        <f t="shared" si="0"/>
        <v>1.0124223602484472</v>
      </c>
      <c r="AP6" s="12">
        <f t="shared" si="0"/>
        <v>1</v>
      </c>
      <c r="AQ6" s="12">
        <f t="shared" si="1"/>
        <v>1.0125786163522013</v>
      </c>
      <c r="AR6" s="19">
        <f t="shared" si="1"/>
        <v>0.95854922279792742</v>
      </c>
    </row>
    <row r="7" spans="2:44" ht="15" customHeight="1" thickBot="1">
      <c r="B7" s="93"/>
      <c r="C7" s="97"/>
      <c r="D7" s="6">
        <v>1</v>
      </c>
      <c r="E7" s="30">
        <v>106</v>
      </c>
      <c r="F7" s="31">
        <v>120</v>
      </c>
      <c r="G7" s="31">
        <v>157</v>
      </c>
      <c r="H7" s="31">
        <v>241</v>
      </c>
      <c r="I7" s="31">
        <v>442</v>
      </c>
      <c r="J7" s="31">
        <v>900</v>
      </c>
      <c r="K7" s="31">
        <v>1704</v>
      </c>
      <c r="L7" s="31">
        <v>2736</v>
      </c>
      <c r="M7" s="32">
        <v>6624</v>
      </c>
      <c r="N7" s="30">
        <v>98</v>
      </c>
      <c r="O7" s="31">
        <v>108</v>
      </c>
      <c r="P7" s="31">
        <v>125</v>
      </c>
      <c r="Q7" s="31">
        <v>165</v>
      </c>
      <c r="R7" s="31">
        <v>258</v>
      </c>
      <c r="S7" s="31">
        <v>486</v>
      </c>
      <c r="T7" s="31">
        <v>908</v>
      </c>
      <c r="U7" s="31">
        <v>1752</v>
      </c>
      <c r="V7" s="32">
        <v>4016</v>
      </c>
      <c r="X7" s="93"/>
      <c r="Y7" s="97"/>
      <c r="Z7" s="6">
        <v>1</v>
      </c>
      <c r="AA7" s="20">
        <f t="shared" si="0"/>
        <v>1</v>
      </c>
      <c r="AB7" s="21">
        <f t="shared" si="0"/>
        <v>1</v>
      </c>
      <c r="AC7" s="21">
        <f t="shared" si="0"/>
        <v>1</v>
      </c>
      <c r="AD7" s="21">
        <f t="shared" si="0"/>
        <v>1</v>
      </c>
      <c r="AE7" s="21">
        <f t="shared" si="0"/>
        <v>1</v>
      </c>
      <c r="AF7" s="21">
        <f t="shared" si="0"/>
        <v>1</v>
      </c>
      <c r="AG7" s="21">
        <f t="shared" si="0"/>
        <v>1.0093896713615023</v>
      </c>
      <c r="AH7" s="21">
        <f t="shared" si="0"/>
        <v>1.0350877192982457</v>
      </c>
      <c r="AI7" s="22">
        <f t="shared" si="0"/>
        <v>0.99033816425120769</v>
      </c>
      <c r="AJ7" s="20">
        <f t="shared" si="0"/>
        <v>1</v>
      </c>
      <c r="AK7" s="21">
        <f t="shared" si="0"/>
        <v>1</v>
      </c>
      <c r="AL7" s="21">
        <f t="shared" si="0"/>
        <v>1</v>
      </c>
      <c r="AM7" s="21">
        <f t="shared" si="0"/>
        <v>1</v>
      </c>
      <c r="AN7" s="21">
        <f t="shared" si="0"/>
        <v>1</v>
      </c>
      <c r="AO7" s="21">
        <f t="shared" si="0"/>
        <v>1</v>
      </c>
      <c r="AP7" s="21">
        <f t="shared" si="0"/>
        <v>0.99118942731277537</v>
      </c>
      <c r="AQ7" s="21">
        <f t="shared" si="1"/>
        <v>1</v>
      </c>
      <c r="AR7" s="22">
        <f t="shared" si="1"/>
        <v>1.0159362549800797</v>
      </c>
    </row>
    <row r="8" spans="2:44" ht="15" customHeight="1">
      <c r="B8" s="93"/>
      <c r="C8" s="98" t="s">
        <v>7</v>
      </c>
      <c r="D8" s="4">
        <v>0.25</v>
      </c>
      <c r="E8" s="24">
        <v>884</v>
      </c>
      <c r="F8" s="25">
        <v>924</v>
      </c>
      <c r="G8" s="25">
        <v>964</v>
      </c>
      <c r="H8" s="25">
        <v>980</v>
      </c>
      <c r="I8" s="25">
        <v>988</v>
      </c>
      <c r="J8" s="25">
        <v>988</v>
      </c>
      <c r="K8" s="25">
        <v>1976</v>
      </c>
      <c r="L8" s="25">
        <v>10432</v>
      </c>
      <c r="M8" s="26">
        <v>29824</v>
      </c>
      <c r="N8" s="24">
        <v>892</v>
      </c>
      <c r="O8" s="25">
        <v>956</v>
      </c>
      <c r="P8" s="25">
        <v>1012</v>
      </c>
      <c r="Q8" s="25">
        <v>1096</v>
      </c>
      <c r="R8" s="25">
        <v>1208</v>
      </c>
      <c r="S8" s="25">
        <v>1608</v>
      </c>
      <c r="T8" s="25">
        <v>3216</v>
      </c>
      <c r="U8" s="25">
        <v>9792</v>
      </c>
      <c r="V8" s="26">
        <v>26240</v>
      </c>
      <c r="X8" s="93"/>
      <c r="Y8" s="98" t="s">
        <v>7</v>
      </c>
      <c r="Z8" s="4">
        <v>0.25</v>
      </c>
      <c r="AA8" s="15">
        <f t="shared" si="0"/>
        <v>1</v>
      </c>
      <c r="AB8" s="16">
        <f t="shared" si="0"/>
        <v>1</v>
      </c>
      <c r="AC8" s="16">
        <f t="shared" si="0"/>
        <v>1</v>
      </c>
      <c r="AD8" s="16">
        <f t="shared" si="0"/>
        <v>1</v>
      </c>
      <c r="AE8" s="16">
        <f t="shared" si="0"/>
        <v>1</v>
      </c>
      <c r="AF8" s="16">
        <f t="shared" si="0"/>
        <v>1</v>
      </c>
      <c r="AG8" s="16">
        <f t="shared" si="0"/>
        <v>1</v>
      </c>
      <c r="AH8" s="16">
        <f t="shared" si="0"/>
        <v>1</v>
      </c>
      <c r="AI8" s="17">
        <f t="shared" si="0"/>
        <v>0.98283261802575106</v>
      </c>
      <c r="AJ8" s="15">
        <f t="shared" si="0"/>
        <v>1</v>
      </c>
      <c r="AK8" s="16">
        <f t="shared" si="0"/>
        <v>1.00836820083682</v>
      </c>
      <c r="AL8" s="16">
        <f t="shared" si="0"/>
        <v>1.0079051383399209</v>
      </c>
      <c r="AM8" s="16">
        <f t="shared" si="0"/>
        <v>1</v>
      </c>
      <c r="AN8" s="16">
        <f t="shared" si="0"/>
        <v>1</v>
      </c>
      <c r="AO8" s="16">
        <f t="shared" si="0"/>
        <v>0.91044776119402981</v>
      </c>
      <c r="AP8" s="16">
        <f t="shared" si="0"/>
        <v>0.98009950248756217</v>
      </c>
      <c r="AQ8" s="16">
        <f t="shared" si="1"/>
        <v>1.0130718954248366</v>
      </c>
      <c r="AR8" s="17">
        <f t="shared" si="1"/>
        <v>1.0097560975609756</v>
      </c>
    </row>
    <row r="9" spans="2:44" ht="15" customHeight="1">
      <c r="B9" s="93"/>
      <c r="C9" s="96"/>
      <c r="D9" s="5">
        <v>0.5</v>
      </c>
      <c r="E9" s="27">
        <v>844</v>
      </c>
      <c r="F9" s="28">
        <v>884</v>
      </c>
      <c r="G9" s="28">
        <v>932</v>
      </c>
      <c r="H9" s="28">
        <v>1048</v>
      </c>
      <c r="I9" s="28">
        <v>1208</v>
      </c>
      <c r="J9" s="28">
        <v>1272</v>
      </c>
      <c r="K9" s="28">
        <v>2416</v>
      </c>
      <c r="L9" s="28">
        <v>8512</v>
      </c>
      <c r="M9" s="29">
        <v>22912</v>
      </c>
      <c r="N9" s="27">
        <v>796</v>
      </c>
      <c r="O9" s="28">
        <v>884</v>
      </c>
      <c r="P9" s="28">
        <v>980</v>
      </c>
      <c r="Q9" s="28">
        <v>1192</v>
      </c>
      <c r="R9" s="28">
        <v>1496</v>
      </c>
      <c r="S9" s="28">
        <v>2064</v>
      </c>
      <c r="T9" s="28">
        <v>4576</v>
      </c>
      <c r="U9" s="28">
        <v>8640</v>
      </c>
      <c r="V9" s="29">
        <v>19584</v>
      </c>
      <c r="X9" s="93"/>
      <c r="Y9" s="96"/>
      <c r="Z9" s="5">
        <v>0.5</v>
      </c>
      <c r="AA9" s="18">
        <f t="shared" si="0"/>
        <v>1</v>
      </c>
      <c r="AB9" s="12">
        <f t="shared" si="0"/>
        <v>1</v>
      </c>
      <c r="AC9" s="12">
        <f t="shared" si="0"/>
        <v>1</v>
      </c>
      <c r="AD9" s="12">
        <f t="shared" si="0"/>
        <v>1</v>
      </c>
      <c r="AE9" s="12">
        <f t="shared" si="0"/>
        <v>0.98675496688741726</v>
      </c>
      <c r="AF9" s="12">
        <f t="shared" si="0"/>
        <v>0.97484276729559749</v>
      </c>
      <c r="AG9" s="12">
        <f t="shared" si="0"/>
        <v>0.94701986754966883</v>
      </c>
      <c r="AH9" s="12">
        <f t="shared" si="0"/>
        <v>1.0902255639097744</v>
      </c>
      <c r="AI9" s="19">
        <f t="shared" si="0"/>
        <v>0.98882681564245811</v>
      </c>
      <c r="AJ9" s="18">
        <f t="shared" si="0"/>
        <v>1.0100502512562815</v>
      </c>
      <c r="AK9" s="12">
        <f t="shared" si="0"/>
        <v>1</v>
      </c>
      <c r="AL9" s="12">
        <f t="shared" si="0"/>
        <v>1</v>
      </c>
      <c r="AM9" s="12">
        <f t="shared" si="0"/>
        <v>1</v>
      </c>
      <c r="AN9" s="12">
        <f t="shared" si="0"/>
        <v>1</v>
      </c>
      <c r="AO9" s="12">
        <f t="shared" si="0"/>
        <v>1</v>
      </c>
      <c r="AP9" s="12">
        <f t="shared" si="0"/>
        <v>1</v>
      </c>
      <c r="AQ9" s="12">
        <f t="shared" si="1"/>
        <v>1.0148148148148148</v>
      </c>
      <c r="AR9" s="19">
        <f t="shared" si="1"/>
        <v>1.0261437908496731</v>
      </c>
    </row>
    <row r="10" spans="2:44" ht="15" customHeight="1">
      <c r="B10" s="93"/>
      <c r="C10" s="96"/>
      <c r="D10" s="5">
        <v>0.75</v>
      </c>
      <c r="E10" s="27">
        <v>556</v>
      </c>
      <c r="F10" s="28">
        <v>708</v>
      </c>
      <c r="G10" s="28">
        <v>876</v>
      </c>
      <c r="H10" s="28">
        <v>980</v>
      </c>
      <c r="I10" s="28">
        <v>1352</v>
      </c>
      <c r="J10" s="28">
        <v>2096</v>
      </c>
      <c r="K10" s="28">
        <v>3120</v>
      </c>
      <c r="L10" s="28">
        <v>8256</v>
      </c>
      <c r="M10" s="29">
        <v>20096</v>
      </c>
      <c r="N10" s="27">
        <v>732</v>
      </c>
      <c r="O10" s="28">
        <v>780</v>
      </c>
      <c r="P10" s="28">
        <v>884</v>
      </c>
      <c r="Q10" s="28">
        <v>1048</v>
      </c>
      <c r="R10" s="28">
        <v>1384</v>
      </c>
      <c r="S10" s="28">
        <v>1864</v>
      </c>
      <c r="T10" s="28">
        <v>2704</v>
      </c>
      <c r="U10" s="28">
        <v>6624</v>
      </c>
      <c r="V10" s="29">
        <v>16192</v>
      </c>
      <c r="X10" s="93"/>
      <c r="Y10" s="96"/>
      <c r="Z10" s="5">
        <v>0.75</v>
      </c>
      <c r="AA10" s="18">
        <f t="shared" si="0"/>
        <v>1</v>
      </c>
      <c r="AB10" s="12">
        <f t="shared" si="0"/>
        <v>0.97740112994350281</v>
      </c>
      <c r="AC10" s="12">
        <f t="shared" si="0"/>
        <v>1</v>
      </c>
      <c r="AD10" s="12">
        <f t="shared" si="0"/>
        <v>1</v>
      </c>
      <c r="AE10" s="12">
        <f t="shared" si="0"/>
        <v>0.98816568047337283</v>
      </c>
      <c r="AF10" s="12">
        <f t="shared" si="0"/>
        <v>0.98473282442748089</v>
      </c>
      <c r="AG10" s="12">
        <f t="shared" si="0"/>
        <v>1</v>
      </c>
      <c r="AH10" s="12">
        <f t="shared" si="0"/>
        <v>1.0155038759689923</v>
      </c>
      <c r="AI10" s="19">
        <f t="shared" si="0"/>
        <v>0.97452229299363058</v>
      </c>
      <c r="AJ10" s="18">
        <f t="shared" si="0"/>
        <v>1.0109289617486339</v>
      </c>
      <c r="AK10" s="12">
        <f t="shared" si="0"/>
        <v>0.98974358974358978</v>
      </c>
      <c r="AL10" s="12">
        <f t="shared" si="0"/>
        <v>1</v>
      </c>
      <c r="AM10" s="12">
        <f t="shared" si="0"/>
        <v>1.0152671755725191</v>
      </c>
      <c r="AN10" s="12">
        <f t="shared" si="0"/>
        <v>1</v>
      </c>
      <c r="AO10" s="12">
        <f t="shared" si="0"/>
        <v>0.99141630901287559</v>
      </c>
      <c r="AP10" s="12">
        <f t="shared" si="0"/>
        <v>1</v>
      </c>
      <c r="AQ10" s="12">
        <f t="shared" si="1"/>
        <v>0.96135265700483097</v>
      </c>
      <c r="AR10" s="19">
        <f t="shared" si="1"/>
        <v>1</v>
      </c>
    </row>
    <row r="11" spans="2:44" ht="15" customHeight="1" thickBot="1">
      <c r="B11" s="93"/>
      <c r="C11" s="97"/>
      <c r="D11" s="6">
        <v>1</v>
      </c>
      <c r="E11" s="30">
        <v>153</v>
      </c>
      <c r="F11" s="31">
        <v>193</v>
      </c>
      <c r="G11" s="31">
        <v>262</v>
      </c>
      <c r="H11" s="31">
        <v>430</v>
      </c>
      <c r="I11" s="31">
        <v>796</v>
      </c>
      <c r="J11" s="31">
        <v>1624</v>
      </c>
      <c r="K11" s="63">
        <v>2992</v>
      </c>
      <c r="L11" s="31">
        <v>4192</v>
      </c>
      <c r="M11" s="32">
        <v>8096</v>
      </c>
      <c r="N11" s="30">
        <v>139</v>
      </c>
      <c r="O11" s="31">
        <v>161</v>
      </c>
      <c r="P11" s="31">
        <v>203</v>
      </c>
      <c r="Q11" s="31">
        <v>286</v>
      </c>
      <c r="R11" s="31">
        <v>478</v>
      </c>
      <c r="S11" s="31">
        <v>916</v>
      </c>
      <c r="T11" s="63">
        <v>1656</v>
      </c>
      <c r="U11" s="31">
        <v>2576</v>
      </c>
      <c r="V11" s="32">
        <v>4896</v>
      </c>
      <c r="X11" s="93"/>
      <c r="Y11" s="97"/>
      <c r="Z11" s="6">
        <v>1</v>
      </c>
      <c r="AA11" s="20">
        <f t="shared" si="0"/>
        <v>1</v>
      </c>
      <c r="AB11" s="21">
        <f t="shared" si="0"/>
        <v>0.98963730569948183</v>
      </c>
      <c r="AC11" s="21">
        <f t="shared" si="0"/>
        <v>1.0152671755725191</v>
      </c>
      <c r="AD11" s="21">
        <f t="shared" si="0"/>
        <v>1</v>
      </c>
      <c r="AE11" s="21">
        <f t="shared" si="0"/>
        <v>1.0100502512562815</v>
      </c>
      <c r="AF11" s="21">
        <f t="shared" si="0"/>
        <v>1.0098522167487685</v>
      </c>
      <c r="AG11" s="21">
        <f t="shared" si="0"/>
        <v>1.0213903743315509</v>
      </c>
      <c r="AH11" s="21">
        <f t="shared" si="0"/>
        <v>1.0152671755725191</v>
      </c>
      <c r="AI11" s="22">
        <f t="shared" si="0"/>
        <v>0.9920948616600791</v>
      </c>
      <c r="AJ11" s="20">
        <f t="shared" si="0"/>
        <v>1</v>
      </c>
      <c r="AK11" s="21">
        <f t="shared" si="0"/>
        <v>1</v>
      </c>
      <c r="AL11" s="21">
        <f t="shared" si="0"/>
        <v>1</v>
      </c>
      <c r="AM11" s="21">
        <f t="shared" si="0"/>
        <v>1</v>
      </c>
      <c r="AN11" s="21">
        <f t="shared" si="0"/>
        <v>0.99163179916317989</v>
      </c>
      <c r="AO11" s="21">
        <f t="shared" si="0"/>
        <v>1</v>
      </c>
      <c r="AP11" s="21">
        <f t="shared" si="0"/>
        <v>1</v>
      </c>
      <c r="AQ11" s="21">
        <f t="shared" si="1"/>
        <v>1</v>
      </c>
      <c r="AR11" s="22">
        <f t="shared" si="1"/>
        <v>1.0130718954248366</v>
      </c>
    </row>
    <row r="12" spans="2:44" ht="15" customHeight="1">
      <c r="B12" s="93"/>
      <c r="C12" s="98" t="s">
        <v>8</v>
      </c>
      <c r="D12" s="4">
        <v>0.25</v>
      </c>
      <c r="E12" s="24">
        <v>23060</v>
      </c>
      <c r="F12" s="25">
        <v>26260</v>
      </c>
      <c r="G12" s="25">
        <v>26285</v>
      </c>
      <c r="H12" s="25">
        <v>25529</v>
      </c>
      <c r="I12" s="25">
        <v>25980</v>
      </c>
      <c r="J12" s="25">
        <v>25776</v>
      </c>
      <c r="K12" s="25">
        <v>26275</v>
      </c>
      <c r="L12" s="25">
        <v>26744</v>
      </c>
      <c r="M12" s="26">
        <v>26672</v>
      </c>
      <c r="N12" s="24">
        <v>24272</v>
      </c>
      <c r="O12" s="25">
        <v>31957</v>
      </c>
      <c r="P12" s="25">
        <v>31799</v>
      </c>
      <c r="Q12" s="25">
        <v>31815</v>
      </c>
      <c r="R12" s="25">
        <v>31826</v>
      </c>
      <c r="S12" s="25">
        <v>31781</v>
      </c>
      <c r="T12" s="25">
        <v>32644</v>
      </c>
      <c r="U12" s="25">
        <v>32629</v>
      </c>
      <c r="V12" s="26">
        <v>32593</v>
      </c>
      <c r="X12" s="93"/>
      <c r="Y12" s="98" t="s">
        <v>8</v>
      </c>
      <c r="Z12" s="4">
        <v>0.25</v>
      </c>
      <c r="AA12" s="15">
        <f t="shared" si="0"/>
        <v>0.99865568083261058</v>
      </c>
      <c r="AB12" s="16">
        <f t="shared" si="0"/>
        <v>0.97048743335872045</v>
      </c>
      <c r="AC12" s="16">
        <f t="shared" si="0"/>
        <v>0.9874072665018071</v>
      </c>
      <c r="AD12" s="16">
        <f t="shared" si="0"/>
        <v>1.0085393082376906</v>
      </c>
      <c r="AE12" s="16">
        <f t="shared" si="0"/>
        <v>0.99934565050038493</v>
      </c>
      <c r="AF12" s="16">
        <f t="shared" si="0"/>
        <v>1.0210661080074488</v>
      </c>
      <c r="AG12" s="16">
        <f t="shared" si="0"/>
        <v>1.0140437678401522</v>
      </c>
      <c r="AH12" s="16">
        <f t="shared" si="0"/>
        <v>0.99577475321567455</v>
      </c>
      <c r="AI12" s="17">
        <f t="shared" si="0"/>
        <v>0.99985002999400119</v>
      </c>
      <c r="AJ12" s="15">
        <f t="shared" si="0"/>
        <v>0.99843441001977584</v>
      </c>
      <c r="AK12" s="16">
        <f t="shared" si="0"/>
        <v>0.99805989298119346</v>
      </c>
      <c r="AL12" s="16">
        <f t="shared" si="0"/>
        <v>0.99893078398691781</v>
      </c>
      <c r="AM12" s="16">
        <f t="shared" si="0"/>
        <v>0.99883702655979889</v>
      </c>
      <c r="AN12" s="16">
        <f t="shared" si="0"/>
        <v>0.9993087412807139</v>
      </c>
      <c r="AO12" s="16">
        <f t="shared" si="0"/>
        <v>0.9992448318177527</v>
      </c>
      <c r="AP12" s="16">
        <f t="shared" si="0"/>
        <v>0.99739615243229995</v>
      </c>
      <c r="AQ12" s="16">
        <f t="shared" si="1"/>
        <v>0.99831438291090746</v>
      </c>
      <c r="AR12" s="17">
        <f t="shared" si="1"/>
        <v>0.99791366244285584</v>
      </c>
    </row>
    <row r="13" spans="2:44" ht="15" customHeight="1">
      <c r="B13" s="93"/>
      <c r="C13" s="96"/>
      <c r="D13" s="5">
        <v>0.5</v>
      </c>
      <c r="E13" s="27">
        <v>37301</v>
      </c>
      <c r="F13" s="28">
        <v>54877</v>
      </c>
      <c r="G13" s="28">
        <v>64095</v>
      </c>
      <c r="H13" s="28">
        <v>64045</v>
      </c>
      <c r="I13" s="28">
        <v>64148</v>
      </c>
      <c r="J13" s="28">
        <v>64066</v>
      </c>
      <c r="K13" s="28">
        <v>68394</v>
      </c>
      <c r="L13" s="28">
        <v>68368</v>
      </c>
      <c r="M13" s="29">
        <v>68385</v>
      </c>
      <c r="N13" s="27">
        <v>39076</v>
      </c>
      <c r="O13" s="28">
        <v>61318</v>
      </c>
      <c r="P13" s="28">
        <v>82004</v>
      </c>
      <c r="Q13" s="28">
        <v>80728</v>
      </c>
      <c r="R13" s="28">
        <v>80593</v>
      </c>
      <c r="S13" s="28">
        <v>80577</v>
      </c>
      <c r="T13" s="28">
        <v>87034</v>
      </c>
      <c r="U13" s="28">
        <v>86968</v>
      </c>
      <c r="V13" s="29">
        <v>87072</v>
      </c>
      <c r="X13" s="93"/>
      <c r="Y13" s="96"/>
      <c r="Z13" s="5">
        <v>0.5</v>
      </c>
      <c r="AA13" s="18">
        <f t="shared" si="0"/>
        <v>0.99911530521969916</v>
      </c>
      <c r="AB13" s="12">
        <f t="shared" si="0"/>
        <v>0.99923465204001671</v>
      </c>
      <c r="AC13" s="12">
        <f t="shared" si="0"/>
        <v>0.99993759263593107</v>
      </c>
      <c r="AD13" s="12">
        <f t="shared" si="0"/>
        <v>0.99932859708017796</v>
      </c>
      <c r="AE13" s="12">
        <f t="shared" si="0"/>
        <v>0.9982852154392966</v>
      </c>
      <c r="AF13" s="12">
        <f t="shared" si="0"/>
        <v>0.99929759935066964</v>
      </c>
      <c r="AG13" s="12">
        <f t="shared" si="0"/>
        <v>0.99843553528087259</v>
      </c>
      <c r="AH13" s="12">
        <f t="shared" si="0"/>
        <v>0.99963433185115846</v>
      </c>
      <c r="AI13" s="19">
        <f t="shared" si="0"/>
        <v>0.99855231410397016</v>
      </c>
      <c r="AJ13" s="18">
        <f t="shared" si="0"/>
        <v>0.99869485105947386</v>
      </c>
      <c r="AK13" s="12">
        <f t="shared" si="0"/>
        <v>0.99890733552953459</v>
      </c>
      <c r="AL13" s="12">
        <f t="shared" si="0"/>
        <v>0.9960855568021072</v>
      </c>
      <c r="AM13" s="12">
        <f t="shared" si="0"/>
        <v>0.99883559607571104</v>
      </c>
      <c r="AN13" s="12">
        <f t="shared" si="0"/>
        <v>0.999131438214237</v>
      </c>
      <c r="AO13" s="12">
        <f t="shared" si="0"/>
        <v>0.99735656576938825</v>
      </c>
      <c r="AP13" s="12">
        <f t="shared" si="0"/>
        <v>0.99911528827814422</v>
      </c>
      <c r="AQ13" s="12">
        <f t="shared" si="1"/>
        <v>0.9998390212491951</v>
      </c>
      <c r="AR13" s="19">
        <f t="shared" si="1"/>
        <v>0.99771453509739072</v>
      </c>
    </row>
    <row r="14" spans="2:44" ht="15" customHeight="1">
      <c r="B14" s="93"/>
      <c r="C14" s="96"/>
      <c r="D14" s="5">
        <v>0.75</v>
      </c>
      <c r="E14" s="27">
        <v>48619</v>
      </c>
      <c r="F14" s="28">
        <v>81856</v>
      </c>
      <c r="G14" s="28">
        <v>115466</v>
      </c>
      <c r="H14" s="28">
        <v>132577</v>
      </c>
      <c r="I14" s="28">
        <v>132509</v>
      </c>
      <c r="J14" s="28">
        <v>132526</v>
      </c>
      <c r="K14" s="28">
        <v>132607</v>
      </c>
      <c r="L14" s="28">
        <v>132482</v>
      </c>
      <c r="M14" s="29">
        <v>132529</v>
      </c>
      <c r="N14" s="27">
        <v>49888</v>
      </c>
      <c r="O14" s="28">
        <v>88090</v>
      </c>
      <c r="P14" s="28">
        <v>137074</v>
      </c>
      <c r="Q14" s="28">
        <v>176223</v>
      </c>
      <c r="R14" s="28">
        <v>178699</v>
      </c>
      <c r="S14" s="28">
        <v>178341</v>
      </c>
      <c r="T14" s="28">
        <v>178176</v>
      </c>
      <c r="U14" s="28">
        <v>178401</v>
      </c>
      <c r="V14" s="29">
        <v>178396</v>
      </c>
      <c r="X14" s="93"/>
      <c r="Y14" s="96"/>
      <c r="Z14" s="5">
        <v>0.75</v>
      </c>
      <c r="AA14" s="18">
        <f t="shared" si="0"/>
        <v>0.99913614019210595</v>
      </c>
      <c r="AB14" s="12">
        <f t="shared" si="0"/>
        <v>1.0004520132916341</v>
      </c>
      <c r="AC14" s="12">
        <f t="shared" si="0"/>
        <v>0.9990819808428455</v>
      </c>
      <c r="AD14" s="12">
        <f t="shared" si="0"/>
        <v>0.99885349645866173</v>
      </c>
      <c r="AE14" s="12">
        <f t="shared" si="0"/>
        <v>0.99963776045400687</v>
      </c>
      <c r="AF14" s="12">
        <f t="shared" si="0"/>
        <v>0.99904169747823068</v>
      </c>
      <c r="AG14" s="12">
        <f t="shared" si="0"/>
        <v>0.99877080395454232</v>
      </c>
      <c r="AH14" s="12">
        <f t="shared" si="0"/>
        <v>0.99996225902386737</v>
      </c>
      <c r="AI14" s="19">
        <f t="shared" si="0"/>
        <v>0.99972836133978227</v>
      </c>
      <c r="AJ14" s="18">
        <f t="shared" si="0"/>
        <v>0.99987973059653623</v>
      </c>
      <c r="AK14" s="12">
        <f t="shared" si="0"/>
        <v>0.99901237370870699</v>
      </c>
      <c r="AL14" s="12">
        <f t="shared" si="0"/>
        <v>0.99902972117250533</v>
      </c>
      <c r="AM14" s="12">
        <f t="shared" si="0"/>
        <v>0.99919987742803151</v>
      </c>
      <c r="AN14" s="12">
        <f t="shared" si="0"/>
        <v>0.9972579589141517</v>
      </c>
      <c r="AO14" s="12">
        <f t="shared" si="0"/>
        <v>0.99878883711541377</v>
      </c>
      <c r="AP14" s="12">
        <f t="shared" si="0"/>
        <v>0.99989336386494254</v>
      </c>
      <c r="AQ14" s="12">
        <f t="shared" si="1"/>
        <v>0.99816705063312428</v>
      </c>
      <c r="AR14" s="19">
        <f t="shared" si="1"/>
        <v>0.99784748536962709</v>
      </c>
    </row>
    <row r="15" spans="2:44" ht="15" customHeight="1" thickBot="1">
      <c r="B15" s="94"/>
      <c r="C15" s="97"/>
      <c r="D15" s="6">
        <v>1</v>
      </c>
      <c r="E15" s="30">
        <v>60817</v>
      </c>
      <c r="F15" s="31">
        <v>115833</v>
      </c>
      <c r="G15" s="31">
        <v>209468</v>
      </c>
      <c r="H15" s="31">
        <v>339115</v>
      </c>
      <c r="I15" s="31">
        <v>461530</v>
      </c>
      <c r="J15" s="31">
        <v>537263</v>
      </c>
      <c r="K15" s="31">
        <v>571071</v>
      </c>
      <c r="L15" s="31">
        <v>571159</v>
      </c>
      <c r="M15" s="32">
        <v>571168</v>
      </c>
      <c r="N15" s="30">
        <v>61819</v>
      </c>
      <c r="O15" s="31">
        <v>120083</v>
      </c>
      <c r="P15" s="31">
        <v>226771</v>
      </c>
      <c r="Q15" s="31">
        <v>402187</v>
      </c>
      <c r="R15" s="31">
        <v>629197</v>
      </c>
      <c r="S15" s="31">
        <v>822233</v>
      </c>
      <c r="T15" s="31">
        <v>851237</v>
      </c>
      <c r="U15" s="31">
        <v>851150</v>
      </c>
      <c r="V15" s="32">
        <v>853152</v>
      </c>
      <c r="X15" s="94"/>
      <c r="Y15" s="97"/>
      <c r="Z15" s="6">
        <v>1</v>
      </c>
      <c r="AA15" s="20">
        <f t="shared" si="0"/>
        <v>1.0002959698768437</v>
      </c>
      <c r="AB15" s="21">
        <f t="shared" si="0"/>
        <v>1</v>
      </c>
      <c r="AC15" s="21">
        <f t="shared" si="0"/>
        <v>0.99985678003322698</v>
      </c>
      <c r="AD15" s="21">
        <f t="shared" si="0"/>
        <v>0.99985550624419439</v>
      </c>
      <c r="AE15" s="21">
        <f t="shared" si="0"/>
        <v>0.99995449916581802</v>
      </c>
      <c r="AF15" s="21">
        <f t="shared" si="0"/>
        <v>0.99949559154455081</v>
      </c>
      <c r="AG15" s="21">
        <f t="shared" si="0"/>
        <v>0.99948342675429147</v>
      </c>
      <c r="AH15" s="21">
        <f t="shared" si="0"/>
        <v>0.99939946669841495</v>
      </c>
      <c r="AI15" s="22">
        <f t="shared" si="0"/>
        <v>0.99951853044988515</v>
      </c>
      <c r="AJ15" s="20">
        <f t="shared" si="0"/>
        <v>0.99962794610071337</v>
      </c>
      <c r="AK15" s="21">
        <f t="shared" si="0"/>
        <v>0.99996668970628644</v>
      </c>
      <c r="AL15" s="21">
        <f t="shared" si="0"/>
        <v>0.99936940790489082</v>
      </c>
      <c r="AM15" s="21">
        <f t="shared" si="0"/>
        <v>0.99807800848858863</v>
      </c>
      <c r="AN15" s="21">
        <f t="shared" si="0"/>
        <v>0.99865542906275773</v>
      </c>
      <c r="AO15" s="21">
        <f t="shared" si="0"/>
        <v>0.99956460030186089</v>
      </c>
      <c r="AP15" s="21">
        <f t="shared" si="0"/>
        <v>1.0050397245420488</v>
      </c>
      <c r="AQ15" s="21">
        <f t="shared" si="1"/>
        <v>0.99991893320801273</v>
      </c>
      <c r="AR15" s="22">
        <f t="shared" si="1"/>
        <v>0.99762293237312927</v>
      </c>
    </row>
    <row r="16" spans="2:44" ht="15" customHeight="1">
      <c r="B16" s="83" t="s">
        <v>9</v>
      </c>
      <c r="C16" s="98" t="s">
        <v>6</v>
      </c>
      <c r="D16" s="4">
        <v>0.25</v>
      </c>
      <c r="E16" s="24">
        <v>13</v>
      </c>
      <c r="F16" s="25">
        <v>14</v>
      </c>
      <c r="G16" s="25">
        <v>16</v>
      </c>
      <c r="H16" s="25">
        <v>17</v>
      </c>
      <c r="I16" s="25">
        <v>49</v>
      </c>
      <c r="J16" s="25">
        <v>48</v>
      </c>
      <c r="K16" s="25">
        <v>48</v>
      </c>
      <c r="L16" s="25">
        <v>4832</v>
      </c>
      <c r="M16" s="26">
        <v>13760</v>
      </c>
      <c r="N16" s="24">
        <v>13</v>
      </c>
      <c r="O16" s="25">
        <v>14</v>
      </c>
      <c r="P16" s="25">
        <v>16</v>
      </c>
      <c r="Q16" s="25">
        <v>18</v>
      </c>
      <c r="R16" s="25">
        <v>17</v>
      </c>
      <c r="S16" s="25">
        <v>17</v>
      </c>
      <c r="T16" s="25">
        <v>17</v>
      </c>
      <c r="U16" s="25">
        <v>3600</v>
      </c>
      <c r="V16" s="26">
        <v>10816</v>
      </c>
      <c r="X16" s="83" t="s">
        <v>9</v>
      </c>
      <c r="Y16" s="98" t="s">
        <v>6</v>
      </c>
      <c r="Z16" s="4">
        <v>0.25</v>
      </c>
      <c r="AA16" s="15">
        <f t="shared" si="0"/>
        <v>1</v>
      </c>
      <c r="AB16" s="16">
        <f t="shared" si="0"/>
        <v>1</v>
      </c>
      <c r="AC16" s="16">
        <f t="shared" si="0"/>
        <v>1</v>
      </c>
      <c r="AD16" s="16">
        <f t="shared" si="0"/>
        <v>1</v>
      </c>
      <c r="AE16" s="16">
        <f t="shared" si="0"/>
        <v>1.0204081632653061</v>
      </c>
      <c r="AF16" s="16">
        <f t="shared" si="0"/>
        <v>1.0208333333333333</v>
      </c>
      <c r="AG16" s="16">
        <f t="shared" si="0"/>
        <v>1.0416666666666667</v>
      </c>
      <c r="AH16" s="16">
        <f t="shared" si="0"/>
        <v>0.98675496688741726</v>
      </c>
      <c r="AI16" s="17">
        <f t="shared" si="0"/>
        <v>0.98139534883720925</v>
      </c>
      <c r="AJ16" s="15">
        <f t="shared" si="0"/>
        <v>1</v>
      </c>
      <c r="AK16" s="16">
        <f t="shared" si="0"/>
        <v>1</v>
      </c>
      <c r="AL16" s="16">
        <f t="shared" si="0"/>
        <v>1</v>
      </c>
      <c r="AM16" s="16">
        <f t="shared" si="0"/>
        <v>1</v>
      </c>
      <c r="AN16" s="16">
        <f t="shared" si="0"/>
        <v>1</v>
      </c>
      <c r="AO16" s="16">
        <f t="shared" si="0"/>
        <v>1</v>
      </c>
      <c r="AP16" s="16">
        <f t="shared" si="0"/>
        <v>1</v>
      </c>
      <c r="AQ16" s="16">
        <f t="shared" si="1"/>
        <v>1.0088888888888889</v>
      </c>
      <c r="AR16" s="17">
        <f t="shared" si="1"/>
        <v>0.96449704142011838</v>
      </c>
    </row>
    <row r="17" spans="2:44" ht="15" customHeight="1">
      <c r="B17" s="93"/>
      <c r="C17" s="96"/>
      <c r="D17" s="5">
        <v>0.5</v>
      </c>
      <c r="E17" s="27">
        <v>13</v>
      </c>
      <c r="F17" s="28">
        <v>14</v>
      </c>
      <c r="G17" s="28">
        <v>169</v>
      </c>
      <c r="H17" s="28">
        <v>462</v>
      </c>
      <c r="I17" s="28">
        <v>1048</v>
      </c>
      <c r="J17" s="28">
        <v>2224</v>
      </c>
      <c r="K17" s="28">
        <v>3632</v>
      </c>
      <c r="L17" s="28">
        <v>9024</v>
      </c>
      <c r="M17" s="29">
        <v>20864</v>
      </c>
      <c r="N17" s="27">
        <v>13</v>
      </c>
      <c r="O17" s="28">
        <v>15</v>
      </c>
      <c r="P17" s="28">
        <v>16</v>
      </c>
      <c r="Q17" s="28">
        <v>402</v>
      </c>
      <c r="R17" s="28">
        <v>892</v>
      </c>
      <c r="S17" s="28">
        <v>1864</v>
      </c>
      <c r="T17" s="28">
        <v>3376</v>
      </c>
      <c r="U17" s="28">
        <v>6816</v>
      </c>
      <c r="V17" s="29">
        <v>15808</v>
      </c>
      <c r="X17" s="93"/>
      <c r="Y17" s="96"/>
      <c r="Z17" s="5">
        <v>0.5</v>
      </c>
      <c r="AA17" s="18">
        <f t="shared" si="0"/>
        <v>1</v>
      </c>
      <c r="AB17" s="12">
        <f t="shared" si="0"/>
        <v>1</v>
      </c>
      <c r="AC17" s="12">
        <f t="shared" si="0"/>
        <v>1</v>
      </c>
      <c r="AD17" s="12">
        <f t="shared" si="0"/>
        <v>1</v>
      </c>
      <c r="AE17" s="12">
        <f t="shared" si="0"/>
        <v>1</v>
      </c>
      <c r="AF17" s="12">
        <f t="shared" si="0"/>
        <v>1</v>
      </c>
      <c r="AG17" s="12">
        <f t="shared" si="0"/>
        <v>1</v>
      </c>
      <c r="AH17" s="12">
        <f t="shared" si="0"/>
        <v>1.0283687943262412</v>
      </c>
      <c r="AI17" s="19">
        <f t="shared" si="0"/>
        <v>0.97546012269938653</v>
      </c>
      <c r="AJ17" s="18">
        <f t="shared" si="0"/>
        <v>1</v>
      </c>
      <c r="AK17" s="12">
        <f t="shared" si="0"/>
        <v>1</v>
      </c>
      <c r="AL17" s="12">
        <f t="shared" si="0"/>
        <v>1</v>
      </c>
      <c r="AM17" s="12">
        <f t="shared" si="0"/>
        <v>1</v>
      </c>
      <c r="AN17" s="12">
        <f t="shared" si="0"/>
        <v>1</v>
      </c>
      <c r="AO17" s="12">
        <f t="shared" si="0"/>
        <v>1</v>
      </c>
      <c r="AP17" s="12">
        <f t="shared" si="0"/>
        <v>1</v>
      </c>
      <c r="AQ17" s="12">
        <f t="shared" si="1"/>
        <v>1.0657276995305165</v>
      </c>
      <c r="AR17" s="19">
        <f t="shared" si="1"/>
        <v>1.0769230769230769</v>
      </c>
    </row>
    <row r="18" spans="2:44" ht="15" customHeight="1">
      <c r="B18" s="93"/>
      <c r="C18" s="96"/>
      <c r="D18" s="5">
        <v>0.75</v>
      </c>
      <c r="E18" s="27">
        <v>13</v>
      </c>
      <c r="F18" s="28">
        <v>120</v>
      </c>
      <c r="G18" s="28">
        <v>243</v>
      </c>
      <c r="H18" s="28">
        <v>490</v>
      </c>
      <c r="I18" s="28">
        <v>980</v>
      </c>
      <c r="J18" s="28">
        <v>1960</v>
      </c>
      <c r="K18" s="28">
        <v>3856</v>
      </c>
      <c r="L18" s="28">
        <v>10432</v>
      </c>
      <c r="M18" s="29">
        <v>25216</v>
      </c>
      <c r="N18" s="27">
        <v>13</v>
      </c>
      <c r="O18" s="28">
        <v>106</v>
      </c>
      <c r="P18" s="28">
        <v>241</v>
      </c>
      <c r="Q18" s="28">
        <v>486</v>
      </c>
      <c r="R18" s="28">
        <v>964</v>
      </c>
      <c r="S18" s="28">
        <v>1960</v>
      </c>
      <c r="T18" s="28">
        <v>3856</v>
      </c>
      <c r="U18" s="28">
        <v>9152</v>
      </c>
      <c r="V18" s="29">
        <v>22144</v>
      </c>
      <c r="X18" s="93"/>
      <c r="Y18" s="96"/>
      <c r="Z18" s="5">
        <v>0.75</v>
      </c>
      <c r="AA18" s="18">
        <f t="shared" si="0"/>
        <v>1</v>
      </c>
      <c r="AB18" s="12">
        <f t="shared" si="0"/>
        <v>1.0083333333333333</v>
      </c>
      <c r="AC18" s="12">
        <f t="shared" si="0"/>
        <v>1</v>
      </c>
      <c r="AD18" s="12">
        <f t="shared" si="0"/>
        <v>1</v>
      </c>
      <c r="AE18" s="12">
        <f t="shared" si="0"/>
        <v>1</v>
      </c>
      <c r="AF18" s="12">
        <f t="shared" si="0"/>
        <v>1</v>
      </c>
      <c r="AG18" s="12">
        <f t="shared" si="0"/>
        <v>0.99170124481327804</v>
      </c>
      <c r="AH18" s="12">
        <f t="shared" si="0"/>
        <v>1.0245398773006136</v>
      </c>
      <c r="AI18" s="19">
        <f t="shared" si="0"/>
        <v>1</v>
      </c>
      <c r="AJ18" s="18">
        <f t="shared" si="0"/>
        <v>1</v>
      </c>
      <c r="AK18" s="12">
        <f t="shared" si="0"/>
        <v>1</v>
      </c>
      <c r="AL18" s="12">
        <f t="shared" si="0"/>
        <v>1</v>
      </c>
      <c r="AM18" s="12">
        <f t="shared" si="0"/>
        <v>1</v>
      </c>
      <c r="AN18" s="12">
        <f t="shared" si="0"/>
        <v>1.008298755186722</v>
      </c>
      <c r="AO18" s="12">
        <f t="shared" si="0"/>
        <v>1</v>
      </c>
      <c r="AP18" s="12">
        <f t="shared" si="0"/>
        <v>1</v>
      </c>
      <c r="AQ18" s="12">
        <f t="shared" si="1"/>
        <v>1.013986013986014</v>
      </c>
      <c r="AR18" s="19">
        <f t="shared" si="1"/>
        <v>1.0115606936416186</v>
      </c>
    </row>
    <row r="19" spans="2:44" ht="15" customHeight="1" thickBot="1">
      <c r="B19" s="93"/>
      <c r="C19" s="97"/>
      <c r="D19" s="6">
        <v>1</v>
      </c>
      <c r="E19" s="30">
        <v>66</v>
      </c>
      <c r="F19" s="31">
        <v>101</v>
      </c>
      <c r="G19" s="31">
        <v>205</v>
      </c>
      <c r="H19" s="31">
        <v>374</v>
      </c>
      <c r="I19" s="31">
        <v>748</v>
      </c>
      <c r="J19" s="31">
        <v>1464</v>
      </c>
      <c r="K19" s="31">
        <v>2928</v>
      </c>
      <c r="L19" s="31">
        <v>8512</v>
      </c>
      <c r="M19" s="32">
        <v>19328</v>
      </c>
      <c r="N19" s="30">
        <v>37</v>
      </c>
      <c r="O19" s="31">
        <v>76</v>
      </c>
      <c r="P19" s="31">
        <v>153</v>
      </c>
      <c r="Q19" s="31">
        <v>306</v>
      </c>
      <c r="R19" s="31">
        <v>612</v>
      </c>
      <c r="S19" s="31">
        <v>1224</v>
      </c>
      <c r="T19" s="31">
        <v>2448</v>
      </c>
      <c r="U19" s="31">
        <v>5152</v>
      </c>
      <c r="V19" s="32">
        <v>10304</v>
      </c>
      <c r="X19" s="93"/>
      <c r="Y19" s="97"/>
      <c r="Z19" s="6">
        <v>1</v>
      </c>
      <c r="AA19" s="20">
        <f t="shared" si="0"/>
        <v>1</v>
      </c>
      <c r="AB19" s="21">
        <f t="shared" si="0"/>
        <v>1</v>
      </c>
      <c r="AC19" s="21">
        <f t="shared" si="0"/>
        <v>1</v>
      </c>
      <c r="AD19" s="21">
        <f t="shared" si="1"/>
        <v>1</v>
      </c>
      <c r="AE19" s="21">
        <f t="shared" si="1"/>
        <v>1</v>
      </c>
      <c r="AF19" s="21">
        <f t="shared" si="1"/>
        <v>1</v>
      </c>
      <c r="AG19" s="21">
        <f t="shared" si="1"/>
        <v>1</v>
      </c>
      <c r="AH19" s="21">
        <f t="shared" si="1"/>
        <v>1</v>
      </c>
      <c r="AI19" s="22">
        <f t="shared" si="1"/>
        <v>1</v>
      </c>
      <c r="AJ19" s="20">
        <f t="shared" si="1"/>
        <v>1</v>
      </c>
      <c r="AK19" s="21">
        <f t="shared" si="1"/>
        <v>1</v>
      </c>
      <c r="AL19" s="21">
        <f t="shared" si="1"/>
        <v>1</v>
      </c>
      <c r="AM19" s="21">
        <f t="shared" si="1"/>
        <v>1</v>
      </c>
      <c r="AN19" s="21">
        <f t="shared" si="1"/>
        <v>1</v>
      </c>
      <c r="AO19" s="21">
        <f t="shared" si="1"/>
        <v>1</v>
      </c>
      <c r="AP19" s="21">
        <f t="shared" si="1"/>
        <v>1</v>
      </c>
      <c r="AQ19" s="21">
        <f t="shared" si="1"/>
        <v>1.0124223602484472</v>
      </c>
      <c r="AR19" s="22">
        <f t="shared" si="1"/>
        <v>1</v>
      </c>
    </row>
    <row r="20" spans="2:44" ht="15" customHeight="1">
      <c r="B20" s="93"/>
      <c r="C20" s="98" t="s">
        <v>7</v>
      </c>
      <c r="D20" s="4">
        <v>0.25</v>
      </c>
      <c r="E20" s="24">
        <v>17</v>
      </c>
      <c r="F20" s="25">
        <v>19</v>
      </c>
      <c r="G20" s="25">
        <v>21</v>
      </c>
      <c r="H20" s="25">
        <v>93</v>
      </c>
      <c r="I20" s="25">
        <v>137</v>
      </c>
      <c r="J20" s="25">
        <v>133</v>
      </c>
      <c r="K20" s="25">
        <v>137</v>
      </c>
      <c r="L20" s="25">
        <v>6304</v>
      </c>
      <c r="M20" s="26">
        <v>18048</v>
      </c>
      <c r="N20" s="24">
        <v>25</v>
      </c>
      <c r="O20" s="25">
        <v>19</v>
      </c>
      <c r="P20" s="25">
        <v>21</v>
      </c>
      <c r="Q20" s="25">
        <v>25</v>
      </c>
      <c r="R20" s="25">
        <v>25</v>
      </c>
      <c r="S20" s="25">
        <v>25</v>
      </c>
      <c r="T20" s="25">
        <v>25</v>
      </c>
      <c r="U20" s="25">
        <v>5024</v>
      </c>
      <c r="V20" s="26">
        <v>14656</v>
      </c>
      <c r="X20" s="93"/>
      <c r="Y20" s="98" t="s">
        <v>7</v>
      </c>
      <c r="Z20" s="4">
        <v>0.25</v>
      </c>
      <c r="AA20" s="15">
        <f t="shared" ref="AA20:AP27" si="2">E47/E20</f>
        <v>1</v>
      </c>
      <c r="AB20" s="16">
        <f t="shared" si="2"/>
        <v>1</v>
      </c>
      <c r="AC20" s="16">
        <f t="shared" si="2"/>
        <v>1</v>
      </c>
      <c r="AD20" s="16">
        <f t="shared" si="2"/>
        <v>1</v>
      </c>
      <c r="AE20" s="16">
        <f t="shared" si="2"/>
        <v>1</v>
      </c>
      <c r="AF20" s="16">
        <f t="shared" si="2"/>
        <v>1.0150375939849625</v>
      </c>
      <c r="AG20" s="16">
        <f t="shared" si="2"/>
        <v>1.0145985401459854</v>
      </c>
      <c r="AH20" s="16">
        <f t="shared" si="2"/>
        <v>1</v>
      </c>
      <c r="AI20" s="17">
        <f t="shared" si="2"/>
        <v>0.98581560283687941</v>
      </c>
      <c r="AJ20" s="15">
        <f t="shared" si="2"/>
        <v>1</v>
      </c>
      <c r="AK20" s="16">
        <f t="shared" si="2"/>
        <v>1</v>
      </c>
      <c r="AL20" s="16">
        <f t="shared" si="2"/>
        <v>1</v>
      </c>
      <c r="AM20" s="16">
        <f t="shared" si="2"/>
        <v>1</v>
      </c>
      <c r="AN20" s="16">
        <f t="shared" si="2"/>
        <v>0.96</v>
      </c>
      <c r="AO20" s="16">
        <f t="shared" si="2"/>
        <v>1.04</v>
      </c>
      <c r="AP20" s="16">
        <f t="shared" si="2"/>
        <v>1</v>
      </c>
      <c r="AQ20" s="16">
        <f t="shared" ref="AD20:AR27" si="3">U47/U20</f>
        <v>0.93630573248407645</v>
      </c>
      <c r="AR20" s="17">
        <f t="shared" si="3"/>
        <v>1.0087336244541485</v>
      </c>
    </row>
    <row r="21" spans="2:44" ht="15" customHeight="1">
      <c r="B21" s="93"/>
      <c r="C21" s="96"/>
      <c r="D21" s="5">
        <v>0.5</v>
      </c>
      <c r="E21" s="27">
        <v>18</v>
      </c>
      <c r="F21" s="28">
        <v>19</v>
      </c>
      <c r="G21" s="28">
        <v>217</v>
      </c>
      <c r="H21" s="28">
        <v>596</v>
      </c>
      <c r="I21" s="28">
        <v>1272</v>
      </c>
      <c r="J21" s="28">
        <v>2640</v>
      </c>
      <c r="K21" s="28">
        <v>3824</v>
      </c>
      <c r="L21" s="28">
        <v>10816</v>
      </c>
      <c r="M21" s="29">
        <v>25472</v>
      </c>
      <c r="N21" s="27">
        <v>26</v>
      </c>
      <c r="O21" s="28">
        <v>19</v>
      </c>
      <c r="P21" s="28">
        <v>137</v>
      </c>
      <c r="Q21" s="28">
        <v>462</v>
      </c>
      <c r="R21" s="28">
        <v>956</v>
      </c>
      <c r="S21" s="28">
        <v>1928</v>
      </c>
      <c r="T21" s="28">
        <v>3856</v>
      </c>
      <c r="U21" s="28">
        <v>9152</v>
      </c>
      <c r="V21" s="29">
        <v>20608</v>
      </c>
      <c r="X21" s="93"/>
      <c r="Y21" s="96"/>
      <c r="Z21" s="5">
        <v>0.5</v>
      </c>
      <c r="AA21" s="18">
        <f t="shared" si="2"/>
        <v>1</v>
      </c>
      <c r="AB21" s="12">
        <f t="shared" si="2"/>
        <v>1</v>
      </c>
      <c r="AC21" s="12">
        <f t="shared" si="2"/>
        <v>0.99078341013824889</v>
      </c>
      <c r="AD21" s="12">
        <f t="shared" si="3"/>
        <v>1</v>
      </c>
      <c r="AE21" s="12">
        <f t="shared" si="3"/>
        <v>1.0125786163522013</v>
      </c>
      <c r="AF21" s="12">
        <f t="shared" si="3"/>
        <v>1.0121212121212122</v>
      </c>
      <c r="AG21" s="12">
        <f t="shared" si="3"/>
        <v>1</v>
      </c>
      <c r="AH21" s="12">
        <f t="shared" si="3"/>
        <v>1.0710059171597632</v>
      </c>
      <c r="AI21" s="19">
        <f t="shared" si="3"/>
        <v>0.97989949748743721</v>
      </c>
      <c r="AJ21" s="18">
        <f t="shared" si="3"/>
        <v>1</v>
      </c>
      <c r="AK21" s="12">
        <f t="shared" si="3"/>
        <v>1.0526315789473684</v>
      </c>
      <c r="AL21" s="12">
        <f t="shared" si="3"/>
        <v>1</v>
      </c>
      <c r="AM21" s="12">
        <f t="shared" si="3"/>
        <v>1</v>
      </c>
      <c r="AN21" s="12">
        <f t="shared" si="3"/>
        <v>1</v>
      </c>
      <c r="AO21" s="12">
        <f t="shared" si="3"/>
        <v>1</v>
      </c>
      <c r="AP21" s="12">
        <f t="shared" si="3"/>
        <v>1</v>
      </c>
      <c r="AQ21" s="12">
        <f t="shared" si="3"/>
        <v>1.0419580419580419</v>
      </c>
      <c r="AR21" s="19">
        <f t="shared" si="3"/>
        <v>1.0372670807453417</v>
      </c>
    </row>
    <row r="22" spans="2:44" ht="15" customHeight="1">
      <c r="B22" s="93"/>
      <c r="C22" s="96"/>
      <c r="D22" s="5">
        <v>0.75</v>
      </c>
      <c r="E22" s="27">
        <v>18</v>
      </c>
      <c r="F22" s="28">
        <v>122</v>
      </c>
      <c r="G22" s="28">
        <v>247</v>
      </c>
      <c r="H22" s="28">
        <v>4192</v>
      </c>
      <c r="I22" s="28">
        <v>980</v>
      </c>
      <c r="J22" s="28">
        <v>1976</v>
      </c>
      <c r="K22" s="28">
        <v>3888</v>
      </c>
      <c r="L22" s="28">
        <v>13120</v>
      </c>
      <c r="M22" s="29">
        <v>32640</v>
      </c>
      <c r="N22" s="27">
        <v>30</v>
      </c>
      <c r="O22" s="28">
        <v>122</v>
      </c>
      <c r="P22" s="28">
        <v>247</v>
      </c>
      <c r="Q22" s="28">
        <v>494</v>
      </c>
      <c r="R22" s="28">
        <v>980</v>
      </c>
      <c r="S22" s="28">
        <v>1976</v>
      </c>
      <c r="T22" s="28">
        <v>3920</v>
      </c>
      <c r="U22" s="28">
        <v>12096</v>
      </c>
      <c r="V22" s="29">
        <v>28544</v>
      </c>
      <c r="X22" s="93"/>
      <c r="Y22" s="96"/>
      <c r="Z22" s="5">
        <v>0.75</v>
      </c>
      <c r="AA22" s="18">
        <f t="shared" si="2"/>
        <v>1</v>
      </c>
      <c r="AB22" s="12">
        <f t="shared" si="2"/>
        <v>5.7377049180327866</v>
      </c>
      <c r="AC22" s="12">
        <f t="shared" si="2"/>
        <v>1</v>
      </c>
      <c r="AD22" s="12">
        <f t="shared" si="3"/>
        <v>0.11688931297709923</v>
      </c>
      <c r="AE22" s="12">
        <f t="shared" si="3"/>
        <v>1</v>
      </c>
      <c r="AF22" s="12">
        <f t="shared" si="3"/>
        <v>1</v>
      </c>
      <c r="AG22" s="12">
        <f t="shared" si="3"/>
        <v>1</v>
      </c>
      <c r="AH22" s="12">
        <f t="shared" si="3"/>
        <v>0.99024390243902438</v>
      </c>
      <c r="AI22" s="19">
        <f t="shared" si="3"/>
        <v>0.97647058823529409</v>
      </c>
      <c r="AJ22" s="18">
        <f t="shared" si="3"/>
        <v>1</v>
      </c>
      <c r="AK22" s="12">
        <f t="shared" si="3"/>
        <v>1</v>
      </c>
      <c r="AL22" s="12">
        <f t="shared" si="3"/>
        <v>1</v>
      </c>
      <c r="AM22" s="12">
        <f t="shared" si="3"/>
        <v>1</v>
      </c>
      <c r="AN22" s="12">
        <f t="shared" si="3"/>
        <v>1.0081632653061225</v>
      </c>
      <c r="AO22" s="12">
        <f t="shared" si="3"/>
        <v>1</v>
      </c>
      <c r="AP22" s="12">
        <f t="shared" si="3"/>
        <v>1</v>
      </c>
      <c r="AQ22" s="12">
        <f t="shared" si="3"/>
        <v>1.0211640211640212</v>
      </c>
      <c r="AR22" s="19">
        <f t="shared" si="3"/>
        <v>1.0089686098654709</v>
      </c>
    </row>
    <row r="23" spans="2:44" ht="15" customHeight="1" thickBot="1">
      <c r="B23" s="93"/>
      <c r="C23" s="97"/>
      <c r="D23" s="6">
        <v>1</v>
      </c>
      <c r="E23" s="30">
        <v>68</v>
      </c>
      <c r="F23" s="31">
        <v>108</v>
      </c>
      <c r="G23" s="31">
        <v>243</v>
      </c>
      <c r="H23" s="31">
        <v>378</v>
      </c>
      <c r="I23" s="31">
        <v>756</v>
      </c>
      <c r="J23" s="31">
        <v>1464</v>
      </c>
      <c r="K23" s="31">
        <v>2992</v>
      </c>
      <c r="L23" s="31">
        <v>9024</v>
      </c>
      <c r="M23" s="32">
        <v>24448</v>
      </c>
      <c r="N23" s="30">
        <v>60</v>
      </c>
      <c r="O23" s="31">
        <v>121</v>
      </c>
      <c r="P23" s="31">
        <v>245</v>
      </c>
      <c r="Q23" s="31">
        <v>490</v>
      </c>
      <c r="R23" s="31">
        <v>980</v>
      </c>
      <c r="S23" s="31">
        <v>1704</v>
      </c>
      <c r="T23" s="31">
        <v>3408</v>
      </c>
      <c r="U23" s="31">
        <v>6624</v>
      </c>
      <c r="V23" s="32">
        <v>15680</v>
      </c>
      <c r="X23" s="93"/>
      <c r="Y23" s="97"/>
      <c r="Z23" s="6">
        <v>1</v>
      </c>
      <c r="AA23" s="20">
        <f t="shared" si="2"/>
        <v>1</v>
      </c>
      <c r="AB23" s="21">
        <f t="shared" si="2"/>
        <v>0.96296296296296291</v>
      </c>
      <c r="AC23" s="21">
        <f t="shared" si="2"/>
        <v>0.85185185185185186</v>
      </c>
      <c r="AD23" s="21">
        <f t="shared" si="3"/>
        <v>1</v>
      </c>
      <c r="AE23" s="21">
        <f t="shared" si="3"/>
        <v>0.98941798941798942</v>
      </c>
      <c r="AF23" s="21">
        <f t="shared" si="3"/>
        <v>1.0437158469945356</v>
      </c>
      <c r="AG23" s="21">
        <f t="shared" si="3"/>
        <v>0.97860962566844922</v>
      </c>
      <c r="AH23" s="21">
        <f t="shared" si="3"/>
        <v>0.98581560283687941</v>
      </c>
      <c r="AI23" s="22">
        <f t="shared" si="3"/>
        <v>1</v>
      </c>
      <c r="AJ23" s="20">
        <f t="shared" si="3"/>
        <v>1</v>
      </c>
      <c r="AK23" s="21">
        <f t="shared" si="3"/>
        <v>1</v>
      </c>
      <c r="AL23" s="21">
        <f t="shared" si="3"/>
        <v>0.99183673469387756</v>
      </c>
      <c r="AM23" s="21">
        <f t="shared" si="3"/>
        <v>1</v>
      </c>
      <c r="AN23" s="21">
        <f t="shared" si="3"/>
        <v>0.8693877551020408</v>
      </c>
      <c r="AO23" s="21">
        <f t="shared" si="3"/>
        <v>1.0751173708920188</v>
      </c>
      <c r="AP23" s="21">
        <f t="shared" si="3"/>
        <v>1</v>
      </c>
      <c r="AQ23" s="21">
        <f t="shared" si="3"/>
        <v>1.0096618357487923</v>
      </c>
      <c r="AR23" s="22">
        <f t="shared" si="3"/>
        <v>1</v>
      </c>
    </row>
    <row r="24" spans="2:44" ht="15" customHeight="1">
      <c r="B24" s="93"/>
      <c r="C24" s="95" t="s">
        <v>8</v>
      </c>
      <c r="D24" s="7">
        <v>0.25</v>
      </c>
      <c r="E24" s="33">
        <v>16203</v>
      </c>
      <c r="F24" s="34">
        <v>27296</v>
      </c>
      <c r="G24" s="34">
        <v>38491</v>
      </c>
      <c r="H24" s="34">
        <v>44194</v>
      </c>
      <c r="I24" s="34">
        <v>44175</v>
      </c>
      <c r="J24" s="34">
        <v>44169</v>
      </c>
      <c r="K24" s="34">
        <v>44199</v>
      </c>
      <c r="L24" s="34">
        <v>44168</v>
      </c>
      <c r="M24" s="35">
        <v>44188</v>
      </c>
      <c r="N24" s="33">
        <v>16621</v>
      </c>
      <c r="O24" s="34">
        <v>29361</v>
      </c>
      <c r="P24" s="34">
        <v>45686</v>
      </c>
      <c r="Q24" s="34">
        <v>58756</v>
      </c>
      <c r="R24" s="34">
        <v>59551</v>
      </c>
      <c r="S24" s="34">
        <v>59438</v>
      </c>
      <c r="T24" s="34">
        <v>59402</v>
      </c>
      <c r="U24" s="34">
        <v>59450</v>
      </c>
      <c r="V24" s="35">
        <v>59480</v>
      </c>
      <c r="X24" s="93"/>
      <c r="Y24" s="98" t="s">
        <v>8</v>
      </c>
      <c r="Z24" s="4">
        <v>0.25</v>
      </c>
      <c r="AA24" s="15">
        <f t="shared" si="2"/>
        <v>0.99950626427204836</v>
      </c>
      <c r="AB24" s="16">
        <f t="shared" si="2"/>
        <v>0.99959701055099648</v>
      </c>
      <c r="AC24" s="16">
        <f t="shared" si="2"/>
        <v>0.99927255722116859</v>
      </c>
      <c r="AD24" s="16">
        <f t="shared" si="3"/>
        <v>0.99828030954428204</v>
      </c>
      <c r="AE24" s="16">
        <f t="shared" si="3"/>
        <v>0.99963780418788906</v>
      </c>
      <c r="AF24" s="16">
        <f t="shared" si="3"/>
        <v>0.99925286965971605</v>
      </c>
      <c r="AG24" s="16">
        <f t="shared" si="3"/>
        <v>0.99882350279418086</v>
      </c>
      <c r="AH24" s="16">
        <f t="shared" si="3"/>
        <v>0.99959246513312805</v>
      </c>
      <c r="AI24" s="17">
        <f t="shared" si="3"/>
        <v>0.9995247578528107</v>
      </c>
      <c r="AJ24" s="15">
        <f t="shared" si="3"/>
        <v>1.000180494555081</v>
      </c>
      <c r="AK24" s="16">
        <f t="shared" si="3"/>
        <v>0.99904635400701614</v>
      </c>
      <c r="AL24" s="16">
        <f t="shared" si="3"/>
        <v>0.99916823534562005</v>
      </c>
      <c r="AM24" s="16">
        <f t="shared" si="3"/>
        <v>0.99902988630948331</v>
      </c>
      <c r="AN24" s="16">
        <f t="shared" si="3"/>
        <v>0.99739718896408125</v>
      </c>
      <c r="AO24" s="16">
        <f t="shared" si="3"/>
        <v>0.99875500521551874</v>
      </c>
      <c r="AP24" s="16">
        <f t="shared" si="3"/>
        <v>0.99978115214975927</v>
      </c>
      <c r="AQ24" s="16">
        <f t="shared" si="3"/>
        <v>0.99838519764507994</v>
      </c>
      <c r="AR24" s="17">
        <f t="shared" si="3"/>
        <v>0.99737726967047746</v>
      </c>
    </row>
    <row r="25" spans="2:44" ht="15" customHeight="1">
      <c r="B25" s="93"/>
      <c r="C25" s="96"/>
      <c r="D25" s="5">
        <v>0.5</v>
      </c>
      <c r="E25" s="27">
        <v>37278</v>
      </c>
      <c r="F25" s="28">
        <v>54878</v>
      </c>
      <c r="G25" s="28">
        <v>64082</v>
      </c>
      <c r="H25" s="28">
        <v>64038</v>
      </c>
      <c r="I25" s="28">
        <v>64149</v>
      </c>
      <c r="J25" s="28">
        <v>64076</v>
      </c>
      <c r="K25" s="28">
        <v>68386</v>
      </c>
      <c r="L25" s="28">
        <v>68349</v>
      </c>
      <c r="M25" s="29">
        <v>68415</v>
      </c>
      <c r="N25" s="27">
        <v>39084</v>
      </c>
      <c r="O25" s="28">
        <v>61290</v>
      </c>
      <c r="P25" s="28">
        <v>81995</v>
      </c>
      <c r="Q25" s="28">
        <v>80711</v>
      </c>
      <c r="R25" s="28">
        <v>80580</v>
      </c>
      <c r="S25" s="28">
        <v>80572</v>
      </c>
      <c r="T25" s="28">
        <v>87038</v>
      </c>
      <c r="U25" s="28">
        <v>87007</v>
      </c>
      <c r="V25" s="29">
        <v>87082</v>
      </c>
      <c r="X25" s="93"/>
      <c r="Y25" s="96"/>
      <c r="Z25" s="5">
        <v>0.5</v>
      </c>
      <c r="AA25" s="18">
        <f t="shared" si="2"/>
        <v>0.99997317452653034</v>
      </c>
      <c r="AB25" s="12">
        <f t="shared" si="2"/>
        <v>0.99941688837056741</v>
      </c>
      <c r="AC25" s="12">
        <f t="shared" si="2"/>
        <v>0.99987515995131238</v>
      </c>
      <c r="AD25" s="12">
        <f t="shared" si="3"/>
        <v>0.99957837533964211</v>
      </c>
      <c r="AE25" s="12">
        <f t="shared" si="3"/>
        <v>0.99816053251024961</v>
      </c>
      <c r="AF25" s="12">
        <f t="shared" si="3"/>
        <v>0.99921967663399713</v>
      </c>
      <c r="AG25" s="12">
        <f t="shared" si="3"/>
        <v>0.99865469540549234</v>
      </c>
      <c r="AH25" s="12">
        <f t="shared" si="3"/>
        <v>0.99972201495266944</v>
      </c>
      <c r="AI25" s="19">
        <f t="shared" si="3"/>
        <v>0.99824599868449904</v>
      </c>
      <c r="AJ25" s="18">
        <f t="shared" si="3"/>
        <v>0.99813222802169688</v>
      </c>
      <c r="AK25" s="12">
        <f t="shared" si="3"/>
        <v>0.9990047316038505</v>
      </c>
      <c r="AL25" s="12">
        <f t="shared" si="3"/>
        <v>0.9960485395450942</v>
      </c>
      <c r="AM25" s="12">
        <f t="shared" si="3"/>
        <v>0.99893446989877466</v>
      </c>
      <c r="AN25" s="12">
        <f t="shared" si="3"/>
        <v>0.99911888806155369</v>
      </c>
      <c r="AO25" s="12">
        <f t="shared" si="3"/>
        <v>0.99739363550613114</v>
      </c>
      <c r="AP25" s="12">
        <f t="shared" si="3"/>
        <v>0.99925319975183258</v>
      </c>
      <c r="AQ25" s="12">
        <f t="shared" si="3"/>
        <v>0.99935637362511065</v>
      </c>
      <c r="AR25" s="19">
        <f t="shared" si="3"/>
        <v>0.99766886382949405</v>
      </c>
    </row>
    <row r="26" spans="2:44" ht="15" customHeight="1">
      <c r="B26" s="93"/>
      <c r="C26" s="96"/>
      <c r="D26" s="5">
        <v>0.75</v>
      </c>
      <c r="E26" s="27">
        <v>69169</v>
      </c>
      <c r="F26" s="28">
        <v>78762</v>
      </c>
      <c r="G26" s="28">
        <v>78831</v>
      </c>
      <c r="H26" s="28">
        <v>76587</v>
      </c>
      <c r="I26" s="28">
        <v>77964</v>
      </c>
      <c r="J26" s="28">
        <v>77302</v>
      </c>
      <c r="K26" s="28">
        <v>78813</v>
      </c>
      <c r="L26" s="28">
        <v>80211</v>
      </c>
      <c r="M26" s="29">
        <v>80006</v>
      </c>
      <c r="N26" s="27">
        <v>72831</v>
      </c>
      <c r="O26" s="28">
        <v>95840</v>
      </c>
      <c r="P26" s="28">
        <v>95442</v>
      </c>
      <c r="Q26" s="28">
        <v>95438</v>
      </c>
      <c r="R26" s="28">
        <v>95477</v>
      </c>
      <c r="S26" s="28">
        <v>95370</v>
      </c>
      <c r="T26" s="28">
        <v>97925</v>
      </c>
      <c r="U26" s="28">
        <v>97896</v>
      </c>
      <c r="V26" s="29">
        <v>97765</v>
      </c>
      <c r="X26" s="93"/>
      <c r="Y26" s="96"/>
      <c r="Z26" s="5">
        <v>0.75</v>
      </c>
      <c r="AA26" s="18">
        <f t="shared" si="2"/>
        <v>0.99887232719860053</v>
      </c>
      <c r="AB26" s="12">
        <f t="shared" si="2"/>
        <v>0.97053147456895461</v>
      </c>
      <c r="AC26" s="12">
        <f t="shared" si="2"/>
        <v>0.98775862287678706</v>
      </c>
      <c r="AD26" s="12">
        <f t="shared" si="3"/>
        <v>1.0083173384516955</v>
      </c>
      <c r="AE26" s="12">
        <f t="shared" si="3"/>
        <v>0.99966651274947416</v>
      </c>
      <c r="AF26" s="12">
        <f t="shared" si="3"/>
        <v>1.0215906444852656</v>
      </c>
      <c r="AG26" s="12">
        <f t="shared" si="3"/>
        <v>1.0145661248778755</v>
      </c>
      <c r="AH26" s="12">
        <f t="shared" si="3"/>
        <v>0.99638453578686215</v>
      </c>
      <c r="AI26" s="19">
        <f t="shared" si="3"/>
        <v>0.99988750843686725</v>
      </c>
      <c r="AJ26" s="18">
        <f t="shared" si="3"/>
        <v>0.99866814955170191</v>
      </c>
      <c r="AK26" s="12">
        <f t="shared" si="3"/>
        <v>0.99821577629382308</v>
      </c>
      <c r="AL26" s="12">
        <f t="shared" si="3"/>
        <v>0.99830263406047648</v>
      </c>
      <c r="AM26" s="12">
        <f t="shared" si="3"/>
        <v>0.99879502923363861</v>
      </c>
      <c r="AN26" s="12">
        <f t="shared" si="3"/>
        <v>0.99956010348041935</v>
      </c>
      <c r="AO26" s="12">
        <f t="shared" si="3"/>
        <v>0.99894096676103594</v>
      </c>
      <c r="AP26" s="12">
        <f t="shared" si="3"/>
        <v>0.99781465407199388</v>
      </c>
      <c r="AQ26" s="12">
        <f t="shared" si="3"/>
        <v>0.99814088420364466</v>
      </c>
      <c r="AR26" s="19">
        <f t="shared" si="3"/>
        <v>0.99752467652022703</v>
      </c>
    </row>
    <row r="27" spans="2:44" ht="15" customHeight="1" thickBot="1">
      <c r="B27" s="94"/>
      <c r="C27" s="97"/>
      <c r="D27" s="6">
        <v>1</v>
      </c>
      <c r="E27" s="30">
        <v>88209</v>
      </c>
      <c r="F27" s="31">
        <v>88210</v>
      </c>
      <c r="G27" s="31">
        <v>88207</v>
      </c>
      <c r="H27" s="31">
        <v>88211</v>
      </c>
      <c r="I27" s="31">
        <v>88211</v>
      </c>
      <c r="J27" s="31">
        <v>88211</v>
      </c>
      <c r="K27" s="31">
        <v>88212</v>
      </c>
      <c r="L27" s="31">
        <v>88211</v>
      </c>
      <c r="M27" s="32">
        <v>88209</v>
      </c>
      <c r="N27" s="30">
        <v>105217</v>
      </c>
      <c r="O27" s="31">
        <v>105227</v>
      </c>
      <c r="P27" s="31">
        <v>105200</v>
      </c>
      <c r="Q27" s="31">
        <v>105221</v>
      </c>
      <c r="R27" s="31">
        <v>105216</v>
      </c>
      <c r="S27" s="31">
        <v>105225</v>
      </c>
      <c r="T27" s="31">
        <v>105211</v>
      </c>
      <c r="U27" s="31">
        <v>105222</v>
      </c>
      <c r="V27" s="32">
        <v>105222</v>
      </c>
      <c r="X27" s="94"/>
      <c r="Y27" s="97"/>
      <c r="Z27" s="6">
        <v>1</v>
      </c>
      <c r="AA27" s="20">
        <f t="shared" si="2"/>
        <v>1.0000226734233468</v>
      </c>
      <c r="AB27" s="21">
        <f t="shared" si="2"/>
        <v>1.0000113365831538</v>
      </c>
      <c r="AC27" s="21">
        <f t="shared" si="2"/>
        <v>1.0000566848436065</v>
      </c>
      <c r="AD27" s="21">
        <f t="shared" si="3"/>
        <v>1.0000113364546372</v>
      </c>
      <c r="AE27" s="21">
        <f t="shared" si="3"/>
        <v>1.0000113364546372</v>
      </c>
      <c r="AF27" s="21">
        <f t="shared" si="3"/>
        <v>1</v>
      </c>
      <c r="AG27" s="21">
        <f t="shared" si="3"/>
        <v>1</v>
      </c>
      <c r="AH27" s="21">
        <f t="shared" si="3"/>
        <v>1.0000113364546372</v>
      </c>
      <c r="AI27" s="22">
        <f t="shared" si="3"/>
        <v>1.0000113367116734</v>
      </c>
      <c r="AJ27" s="20">
        <f t="shared" si="3"/>
        <v>0.99995247916211261</v>
      </c>
      <c r="AK27" s="21">
        <f t="shared" si="3"/>
        <v>0.99983844450568771</v>
      </c>
      <c r="AL27" s="21">
        <f t="shared" si="3"/>
        <v>1.0001330798479087</v>
      </c>
      <c r="AM27" s="21">
        <f t="shared" si="3"/>
        <v>0.9999904961937256</v>
      </c>
      <c r="AN27" s="21">
        <f t="shared" si="3"/>
        <v>1.0001045468369829</v>
      </c>
      <c r="AO27" s="21">
        <f t="shared" si="3"/>
        <v>0.99990496555001185</v>
      </c>
      <c r="AP27" s="21">
        <f t="shared" si="3"/>
        <v>1.0000380188383344</v>
      </c>
      <c r="AQ27" s="21">
        <f t="shared" si="3"/>
        <v>0.99990496284047059</v>
      </c>
      <c r="AR27" s="22">
        <f t="shared" si="3"/>
        <v>0.99999049628404701</v>
      </c>
    </row>
    <row r="28" spans="2:44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44" ht="15" customHeight="1" thickBot="1">
      <c r="B29" s="112" t="s">
        <v>77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4"/>
      <c r="M29" s="85"/>
      <c r="N29" s="83" t="s">
        <v>24</v>
      </c>
      <c r="O29" s="84"/>
      <c r="P29" s="84"/>
      <c r="Q29" s="84"/>
      <c r="R29" s="84"/>
      <c r="S29" s="84"/>
      <c r="T29" s="84"/>
      <c r="U29" s="84"/>
      <c r="V29" s="85"/>
      <c r="X29" s="13" t="s">
        <v>20</v>
      </c>
      <c r="Y29" s="14">
        <f>(COUNTIF(AA4:AR11,"&lt;1.1")+COUNTIF(AA16:AR23,"&lt;1.1"))/(COUNT(AA4:AR11)+COUNT(AA16:AR23))</f>
        <v>0.99652777777777779</v>
      </c>
      <c r="Z29" s="109" t="s">
        <v>19</v>
      </c>
      <c r="AA29" s="110"/>
      <c r="AB29" s="110"/>
      <c r="AC29" s="110"/>
      <c r="AD29" s="111"/>
    </row>
    <row r="30" spans="2:44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2" t="s">
        <v>23</v>
      </c>
      <c r="M30" s="3" t="s">
        <v>17</v>
      </c>
      <c r="N30" s="1" t="s">
        <v>0</v>
      </c>
      <c r="O30" s="2" t="s">
        <v>1</v>
      </c>
      <c r="P30" s="2" t="s">
        <v>2</v>
      </c>
      <c r="Q30" s="2" t="s">
        <v>3</v>
      </c>
      <c r="R30" s="2" t="s">
        <v>4</v>
      </c>
      <c r="S30" s="2" t="s">
        <v>18</v>
      </c>
      <c r="T30" s="2" t="s">
        <v>16</v>
      </c>
      <c r="U30" s="2" t="s">
        <v>23</v>
      </c>
      <c r="V30" s="3" t="s">
        <v>17</v>
      </c>
      <c r="X30" s="13" t="s">
        <v>21</v>
      </c>
      <c r="Y30" s="23">
        <f>(COUNTIF(AA4:AR11,"&lt;1.1"))/(COUNT(AA4:AR11))</f>
        <v>1</v>
      </c>
      <c r="Z30" s="109" t="s">
        <v>19</v>
      </c>
      <c r="AA30" s="110"/>
      <c r="AB30" s="110"/>
      <c r="AC30" s="110"/>
      <c r="AD30" s="111"/>
    </row>
    <row r="31" spans="2:44" ht="15" customHeight="1" thickBot="1">
      <c r="B31" s="92" t="s">
        <v>5</v>
      </c>
      <c r="C31" s="98" t="s">
        <v>6</v>
      </c>
      <c r="D31" s="4">
        <v>0.25</v>
      </c>
      <c r="E31" s="36">
        <v>382</v>
      </c>
      <c r="F31" s="37">
        <v>414</v>
      </c>
      <c r="G31" s="37">
        <v>430</v>
      </c>
      <c r="H31" s="37">
        <v>442</v>
      </c>
      <c r="I31" s="37">
        <v>442</v>
      </c>
      <c r="J31" s="37">
        <v>446</v>
      </c>
      <c r="K31" s="37">
        <v>1688</v>
      </c>
      <c r="L31" s="37">
        <v>8032</v>
      </c>
      <c r="M31" s="38">
        <v>22400</v>
      </c>
      <c r="N31" s="36">
        <v>494</v>
      </c>
      <c r="O31" s="37">
        <v>564</v>
      </c>
      <c r="P31" s="37">
        <v>612</v>
      </c>
      <c r="Q31" s="37">
        <v>660</v>
      </c>
      <c r="R31" s="37">
        <v>708</v>
      </c>
      <c r="S31" s="37">
        <v>740</v>
      </c>
      <c r="T31" s="37">
        <v>2064</v>
      </c>
      <c r="U31" s="37">
        <v>7072</v>
      </c>
      <c r="V31" s="38">
        <v>20096</v>
      </c>
      <c r="X31" s="13" t="s">
        <v>22</v>
      </c>
      <c r="Y31" s="23">
        <f>COUNTIF(AA16:AR23,"&lt;1.1")/+COUNT(AA16:AR23)</f>
        <v>0.99305555555555558</v>
      </c>
      <c r="Z31" s="109" t="s">
        <v>19</v>
      </c>
      <c r="AA31" s="110"/>
      <c r="AB31" s="110"/>
      <c r="AC31" s="110"/>
      <c r="AD31" s="111"/>
    </row>
    <row r="32" spans="2:44" ht="15" customHeight="1">
      <c r="B32" s="93"/>
      <c r="C32" s="96"/>
      <c r="D32" s="5">
        <v>0.5</v>
      </c>
      <c r="E32" s="39">
        <v>310</v>
      </c>
      <c r="F32" s="40">
        <v>378</v>
      </c>
      <c r="G32" s="40">
        <v>442</v>
      </c>
      <c r="H32" s="40">
        <v>450</v>
      </c>
      <c r="I32" s="40">
        <v>458</v>
      </c>
      <c r="J32" s="40">
        <v>462</v>
      </c>
      <c r="K32" s="40">
        <v>1768</v>
      </c>
      <c r="L32" s="40">
        <v>6816</v>
      </c>
      <c r="M32" s="41">
        <v>17792</v>
      </c>
      <c r="N32" s="39">
        <v>370</v>
      </c>
      <c r="O32" s="40">
        <v>466</v>
      </c>
      <c r="P32" s="40">
        <v>572</v>
      </c>
      <c r="Q32" s="40">
        <v>748</v>
      </c>
      <c r="R32" s="40">
        <v>1020</v>
      </c>
      <c r="S32" s="40">
        <v>1464</v>
      </c>
      <c r="T32" s="40">
        <v>3632</v>
      </c>
      <c r="U32" s="40">
        <v>6688</v>
      </c>
      <c r="V32" s="41">
        <v>16320</v>
      </c>
    </row>
    <row r="33" spans="2:31" ht="15" customHeight="1">
      <c r="B33" s="93"/>
      <c r="C33" s="96"/>
      <c r="D33" s="5">
        <v>0.75</v>
      </c>
      <c r="E33" s="39">
        <v>258</v>
      </c>
      <c r="F33" s="40">
        <v>314</v>
      </c>
      <c r="G33" s="40">
        <v>398</v>
      </c>
      <c r="H33" s="40">
        <v>532</v>
      </c>
      <c r="I33" s="40">
        <v>796</v>
      </c>
      <c r="J33" s="40">
        <v>1304</v>
      </c>
      <c r="K33" s="40">
        <v>2288</v>
      </c>
      <c r="L33" s="40">
        <v>6752</v>
      </c>
      <c r="M33" s="41">
        <v>15424</v>
      </c>
      <c r="N33" s="39">
        <v>270</v>
      </c>
      <c r="O33" s="40">
        <v>346</v>
      </c>
      <c r="P33" s="40">
        <v>450</v>
      </c>
      <c r="Q33" s="40">
        <v>588</v>
      </c>
      <c r="R33" s="40">
        <v>852</v>
      </c>
      <c r="S33" s="40">
        <v>1304</v>
      </c>
      <c r="T33" s="40">
        <v>2096</v>
      </c>
      <c r="U33" s="40">
        <v>5152</v>
      </c>
      <c r="V33" s="41">
        <v>11840</v>
      </c>
    </row>
    <row r="34" spans="2:31" ht="15" customHeight="1" thickBot="1">
      <c r="B34" s="93"/>
      <c r="C34" s="97"/>
      <c r="D34" s="6">
        <v>1</v>
      </c>
      <c r="E34" s="42">
        <v>106</v>
      </c>
      <c r="F34" s="43">
        <v>120</v>
      </c>
      <c r="G34" s="43">
        <v>157</v>
      </c>
      <c r="H34" s="43">
        <v>241</v>
      </c>
      <c r="I34" s="43">
        <v>442</v>
      </c>
      <c r="J34" s="43">
        <v>900</v>
      </c>
      <c r="K34" s="43">
        <v>1720</v>
      </c>
      <c r="L34" s="43">
        <v>2832</v>
      </c>
      <c r="M34" s="44">
        <v>6560</v>
      </c>
      <c r="N34" s="42">
        <v>98</v>
      </c>
      <c r="O34" s="43">
        <v>108</v>
      </c>
      <c r="P34" s="43">
        <v>125</v>
      </c>
      <c r="Q34" s="43">
        <v>165</v>
      </c>
      <c r="R34" s="43">
        <v>258</v>
      </c>
      <c r="S34" s="43">
        <v>486</v>
      </c>
      <c r="T34" s="43">
        <v>900</v>
      </c>
      <c r="U34" s="43">
        <v>1752</v>
      </c>
      <c r="V34" s="44">
        <v>4080</v>
      </c>
    </row>
    <row r="35" spans="2:31" ht="15" customHeight="1">
      <c r="B35" s="93"/>
      <c r="C35" s="98" t="s">
        <v>7</v>
      </c>
      <c r="D35" s="4">
        <v>0.25</v>
      </c>
      <c r="E35" s="36">
        <v>884</v>
      </c>
      <c r="F35" s="37">
        <v>924</v>
      </c>
      <c r="G35" s="37">
        <v>964</v>
      </c>
      <c r="H35" s="37">
        <v>980</v>
      </c>
      <c r="I35" s="37">
        <v>988</v>
      </c>
      <c r="J35" s="37">
        <v>988</v>
      </c>
      <c r="K35" s="37">
        <v>1976</v>
      </c>
      <c r="L35" s="37">
        <v>10432</v>
      </c>
      <c r="M35" s="38">
        <v>29312</v>
      </c>
      <c r="N35" s="36">
        <v>892</v>
      </c>
      <c r="O35" s="37">
        <v>964</v>
      </c>
      <c r="P35" s="37">
        <v>1020</v>
      </c>
      <c r="Q35" s="37">
        <v>1096</v>
      </c>
      <c r="R35" s="37">
        <v>1208</v>
      </c>
      <c r="S35" s="37">
        <v>1464</v>
      </c>
      <c r="T35" s="37">
        <v>3152</v>
      </c>
      <c r="U35" s="37">
        <v>9920</v>
      </c>
      <c r="V35" s="38">
        <v>26496</v>
      </c>
    </row>
    <row r="36" spans="2:31" ht="15" customHeight="1">
      <c r="B36" s="93"/>
      <c r="C36" s="96"/>
      <c r="D36" s="5">
        <v>0.5</v>
      </c>
      <c r="E36" s="39">
        <v>844</v>
      </c>
      <c r="F36" s="40">
        <v>884</v>
      </c>
      <c r="G36" s="40">
        <v>932</v>
      </c>
      <c r="H36" s="40">
        <v>1048</v>
      </c>
      <c r="I36" s="40">
        <v>1192</v>
      </c>
      <c r="J36" s="40">
        <v>1240</v>
      </c>
      <c r="K36" s="40">
        <v>2288</v>
      </c>
      <c r="L36" s="40">
        <v>9280</v>
      </c>
      <c r="M36" s="41">
        <v>22656</v>
      </c>
      <c r="N36" s="39">
        <v>804</v>
      </c>
      <c r="O36" s="40">
        <v>884</v>
      </c>
      <c r="P36" s="40">
        <v>980</v>
      </c>
      <c r="Q36" s="40">
        <v>1192</v>
      </c>
      <c r="R36" s="40">
        <v>1496</v>
      </c>
      <c r="S36" s="40">
        <v>2064</v>
      </c>
      <c r="T36" s="40">
        <v>4576</v>
      </c>
      <c r="U36" s="40">
        <v>8768</v>
      </c>
      <c r="V36" s="41">
        <v>20096</v>
      </c>
    </row>
    <row r="37" spans="2:31" ht="15" customHeight="1">
      <c r="B37" s="93"/>
      <c r="C37" s="96"/>
      <c r="D37" s="5">
        <v>0.75</v>
      </c>
      <c r="E37" s="39">
        <v>556</v>
      </c>
      <c r="F37" s="40">
        <v>692</v>
      </c>
      <c r="G37" s="40">
        <v>876</v>
      </c>
      <c r="H37" s="40">
        <v>980</v>
      </c>
      <c r="I37" s="40">
        <v>1336</v>
      </c>
      <c r="J37" s="40">
        <v>2064</v>
      </c>
      <c r="K37" s="40">
        <v>3120</v>
      </c>
      <c r="L37" s="40">
        <v>8384</v>
      </c>
      <c r="M37" s="41">
        <v>19584</v>
      </c>
      <c r="N37" s="39">
        <v>740</v>
      </c>
      <c r="O37" s="40">
        <v>772</v>
      </c>
      <c r="P37" s="40">
        <v>884</v>
      </c>
      <c r="Q37" s="40">
        <v>1064</v>
      </c>
      <c r="R37" s="40">
        <v>1384</v>
      </c>
      <c r="S37" s="40">
        <v>1848</v>
      </c>
      <c r="T37" s="40">
        <v>2704</v>
      </c>
      <c r="U37" s="40">
        <v>6368</v>
      </c>
      <c r="V37" s="41">
        <v>16192</v>
      </c>
    </row>
    <row r="38" spans="2:31" ht="15" customHeight="1" thickBot="1">
      <c r="B38" s="93"/>
      <c r="C38" s="97"/>
      <c r="D38" s="6">
        <v>1</v>
      </c>
      <c r="E38" s="42">
        <v>153</v>
      </c>
      <c r="F38" s="43">
        <v>191</v>
      </c>
      <c r="G38" s="43">
        <v>266</v>
      </c>
      <c r="H38" s="43">
        <v>430</v>
      </c>
      <c r="I38" s="43">
        <v>804</v>
      </c>
      <c r="J38" s="43">
        <v>1640</v>
      </c>
      <c r="K38" s="62">
        <v>3056</v>
      </c>
      <c r="L38" s="43">
        <v>4256</v>
      </c>
      <c r="M38" s="44">
        <v>8032</v>
      </c>
      <c r="N38" s="42">
        <v>139</v>
      </c>
      <c r="O38" s="43">
        <v>161</v>
      </c>
      <c r="P38" s="43">
        <v>203</v>
      </c>
      <c r="Q38" s="43">
        <v>286</v>
      </c>
      <c r="R38" s="43">
        <v>474</v>
      </c>
      <c r="S38" s="43">
        <v>916</v>
      </c>
      <c r="T38" s="62">
        <v>1656</v>
      </c>
      <c r="U38" s="43">
        <v>2576</v>
      </c>
      <c r="V38" s="44">
        <v>4960</v>
      </c>
    </row>
    <row r="39" spans="2:31" ht="15" customHeight="1">
      <c r="B39" s="93"/>
      <c r="C39" s="98" t="s">
        <v>8</v>
      </c>
      <c r="D39" s="4">
        <v>0.25</v>
      </c>
      <c r="E39" s="36">
        <v>23029</v>
      </c>
      <c r="F39" s="37">
        <v>25485</v>
      </c>
      <c r="G39" s="37">
        <v>25954</v>
      </c>
      <c r="H39" s="37">
        <v>25747</v>
      </c>
      <c r="I39" s="37">
        <v>25963</v>
      </c>
      <c r="J39" s="37">
        <v>26319</v>
      </c>
      <c r="K39" s="37">
        <v>26644</v>
      </c>
      <c r="L39" s="37">
        <v>26631</v>
      </c>
      <c r="M39" s="38">
        <v>26668</v>
      </c>
      <c r="N39" s="36">
        <v>24234</v>
      </c>
      <c r="O39" s="37">
        <v>31895</v>
      </c>
      <c r="P39" s="37">
        <v>31765</v>
      </c>
      <c r="Q39" s="37">
        <v>31778</v>
      </c>
      <c r="R39" s="37">
        <v>31804</v>
      </c>
      <c r="S39" s="37">
        <v>31757</v>
      </c>
      <c r="T39" s="37">
        <v>32559</v>
      </c>
      <c r="U39" s="37">
        <v>32574</v>
      </c>
      <c r="V39" s="38">
        <v>32525</v>
      </c>
    </row>
    <row r="40" spans="2:31" ht="15" customHeight="1">
      <c r="B40" s="93"/>
      <c r="C40" s="96"/>
      <c r="D40" s="5">
        <v>0.5</v>
      </c>
      <c r="E40" s="39">
        <v>37268</v>
      </c>
      <c r="F40" s="40">
        <v>54835</v>
      </c>
      <c r="G40" s="40">
        <v>64091</v>
      </c>
      <c r="H40" s="40">
        <v>64002</v>
      </c>
      <c r="I40" s="40">
        <v>64038</v>
      </c>
      <c r="J40" s="40">
        <v>64021</v>
      </c>
      <c r="K40" s="40">
        <v>68287</v>
      </c>
      <c r="L40" s="40">
        <v>68343</v>
      </c>
      <c r="M40" s="41">
        <v>68286</v>
      </c>
      <c r="N40" s="39">
        <v>39025</v>
      </c>
      <c r="O40" s="40">
        <v>61251</v>
      </c>
      <c r="P40" s="40">
        <v>81683</v>
      </c>
      <c r="Q40" s="40">
        <v>80634</v>
      </c>
      <c r="R40" s="40">
        <v>80523</v>
      </c>
      <c r="S40" s="40">
        <v>80364</v>
      </c>
      <c r="T40" s="40">
        <v>86957</v>
      </c>
      <c r="U40" s="40">
        <v>86954</v>
      </c>
      <c r="V40" s="41">
        <v>86873</v>
      </c>
    </row>
    <row r="41" spans="2:31" ht="15" customHeight="1">
      <c r="B41" s="93"/>
      <c r="C41" s="96"/>
      <c r="D41" s="5">
        <v>0.75</v>
      </c>
      <c r="E41" s="39">
        <v>48577</v>
      </c>
      <c r="F41" s="40">
        <v>81893</v>
      </c>
      <c r="G41" s="40">
        <v>115360</v>
      </c>
      <c r="H41" s="40">
        <v>132425</v>
      </c>
      <c r="I41" s="40">
        <v>132461</v>
      </c>
      <c r="J41" s="40">
        <v>132399</v>
      </c>
      <c r="K41" s="40">
        <v>132444</v>
      </c>
      <c r="L41" s="40">
        <v>132477</v>
      </c>
      <c r="M41" s="41">
        <v>132493</v>
      </c>
      <c r="N41" s="39">
        <v>49882</v>
      </c>
      <c r="O41" s="40">
        <v>88003</v>
      </c>
      <c r="P41" s="40">
        <v>136941</v>
      </c>
      <c r="Q41" s="40">
        <v>176082</v>
      </c>
      <c r="R41" s="40">
        <v>178209</v>
      </c>
      <c r="S41" s="40">
        <v>178125</v>
      </c>
      <c r="T41" s="40">
        <v>178157</v>
      </c>
      <c r="U41" s="40">
        <v>178074</v>
      </c>
      <c r="V41" s="41">
        <v>178012</v>
      </c>
    </row>
    <row r="42" spans="2:31" ht="15" customHeight="1" thickBot="1">
      <c r="B42" s="94"/>
      <c r="C42" s="97"/>
      <c r="D42" s="6">
        <v>1</v>
      </c>
      <c r="E42" s="42">
        <v>60835</v>
      </c>
      <c r="F42" s="43">
        <v>115833</v>
      </c>
      <c r="G42" s="43">
        <v>209438</v>
      </c>
      <c r="H42" s="43">
        <v>339066</v>
      </c>
      <c r="I42" s="43">
        <v>461509</v>
      </c>
      <c r="J42" s="43">
        <v>536992</v>
      </c>
      <c r="K42" s="43">
        <v>570776</v>
      </c>
      <c r="L42" s="43">
        <v>570816</v>
      </c>
      <c r="M42" s="44">
        <v>570893</v>
      </c>
      <c r="N42" s="42">
        <v>61796</v>
      </c>
      <c r="O42" s="43">
        <v>120079</v>
      </c>
      <c r="P42" s="43">
        <v>226628</v>
      </c>
      <c r="Q42" s="43">
        <v>401414</v>
      </c>
      <c r="R42" s="43">
        <v>628351</v>
      </c>
      <c r="S42" s="43">
        <v>821875</v>
      </c>
      <c r="T42" s="43">
        <v>855527</v>
      </c>
      <c r="U42" s="43">
        <v>851081</v>
      </c>
      <c r="V42" s="44">
        <v>851124</v>
      </c>
    </row>
    <row r="43" spans="2:31" ht="15" customHeight="1">
      <c r="B43" s="83" t="s">
        <v>9</v>
      </c>
      <c r="C43" s="98" t="s">
        <v>6</v>
      </c>
      <c r="D43" s="4">
        <v>0.25</v>
      </c>
      <c r="E43" s="36">
        <v>13</v>
      </c>
      <c r="F43" s="37">
        <v>14</v>
      </c>
      <c r="G43" s="37">
        <v>16</v>
      </c>
      <c r="H43" s="37">
        <v>17</v>
      </c>
      <c r="I43" s="37">
        <v>50</v>
      </c>
      <c r="J43" s="37">
        <v>49</v>
      </c>
      <c r="K43" s="37">
        <v>50</v>
      </c>
      <c r="L43" s="37">
        <v>4768</v>
      </c>
      <c r="M43" s="38">
        <v>13504</v>
      </c>
      <c r="N43" s="36">
        <v>13</v>
      </c>
      <c r="O43" s="37">
        <v>14</v>
      </c>
      <c r="P43" s="37">
        <v>16</v>
      </c>
      <c r="Q43" s="37">
        <v>18</v>
      </c>
      <c r="R43" s="37">
        <v>17</v>
      </c>
      <c r="S43" s="37">
        <v>17</v>
      </c>
      <c r="T43" s="37">
        <v>17</v>
      </c>
      <c r="U43" s="37">
        <v>3632</v>
      </c>
      <c r="V43" s="38">
        <v>10432</v>
      </c>
    </row>
    <row r="44" spans="2:31" ht="15" customHeight="1">
      <c r="B44" s="93"/>
      <c r="C44" s="96"/>
      <c r="D44" s="5">
        <v>0.5</v>
      </c>
      <c r="E44" s="39">
        <v>13</v>
      </c>
      <c r="F44" s="40">
        <v>14</v>
      </c>
      <c r="G44" s="40">
        <v>169</v>
      </c>
      <c r="H44" s="40">
        <v>462</v>
      </c>
      <c r="I44" s="40">
        <v>1048</v>
      </c>
      <c r="J44" s="40">
        <v>2224</v>
      </c>
      <c r="K44" s="40">
        <v>3632</v>
      </c>
      <c r="L44" s="40">
        <v>9280</v>
      </c>
      <c r="M44" s="41">
        <v>20352</v>
      </c>
      <c r="N44" s="39">
        <v>13</v>
      </c>
      <c r="O44" s="40">
        <v>15</v>
      </c>
      <c r="P44" s="40">
        <v>16</v>
      </c>
      <c r="Q44" s="40">
        <v>402</v>
      </c>
      <c r="R44" s="40">
        <v>892</v>
      </c>
      <c r="S44" s="40">
        <v>1864</v>
      </c>
      <c r="T44" s="40">
        <v>3376</v>
      </c>
      <c r="U44" s="40">
        <v>7264</v>
      </c>
      <c r="V44" s="41">
        <v>17024</v>
      </c>
    </row>
    <row r="45" spans="2:31" ht="15" customHeight="1">
      <c r="B45" s="93"/>
      <c r="C45" s="96"/>
      <c r="D45" s="5">
        <v>0.75</v>
      </c>
      <c r="E45" s="39">
        <v>13</v>
      </c>
      <c r="F45" s="40">
        <v>121</v>
      </c>
      <c r="G45" s="40">
        <v>243</v>
      </c>
      <c r="H45" s="40">
        <v>490</v>
      </c>
      <c r="I45" s="40">
        <v>980</v>
      </c>
      <c r="J45" s="40">
        <v>1960</v>
      </c>
      <c r="K45" s="40">
        <v>3824</v>
      </c>
      <c r="L45" s="40">
        <v>10688</v>
      </c>
      <c r="M45" s="41">
        <v>25216</v>
      </c>
      <c r="N45" s="39">
        <v>13</v>
      </c>
      <c r="O45" s="40">
        <v>106</v>
      </c>
      <c r="P45" s="40">
        <v>241</v>
      </c>
      <c r="Q45" s="40">
        <v>486</v>
      </c>
      <c r="R45" s="40">
        <v>972</v>
      </c>
      <c r="S45" s="40">
        <v>1960</v>
      </c>
      <c r="T45" s="40">
        <v>3856</v>
      </c>
      <c r="U45" s="40">
        <v>9280</v>
      </c>
      <c r="V45" s="41">
        <v>22400</v>
      </c>
      <c r="AE45" s="11" t="s">
        <v>64</v>
      </c>
    </row>
    <row r="46" spans="2:31" ht="15" customHeight="1" thickBot="1">
      <c r="B46" s="93"/>
      <c r="C46" s="97"/>
      <c r="D46" s="6">
        <v>1</v>
      </c>
      <c r="E46" s="42">
        <v>66</v>
      </c>
      <c r="F46" s="43">
        <v>101</v>
      </c>
      <c r="G46" s="43">
        <v>205</v>
      </c>
      <c r="H46" s="43">
        <v>374</v>
      </c>
      <c r="I46" s="43">
        <v>748</v>
      </c>
      <c r="J46" s="43">
        <v>1464</v>
      </c>
      <c r="K46" s="43">
        <v>2928</v>
      </c>
      <c r="L46" s="43">
        <v>8512</v>
      </c>
      <c r="M46" s="44">
        <v>19328</v>
      </c>
      <c r="N46" s="42">
        <v>37</v>
      </c>
      <c r="O46" s="43">
        <v>76</v>
      </c>
      <c r="P46" s="43">
        <v>153</v>
      </c>
      <c r="Q46" s="43">
        <v>306</v>
      </c>
      <c r="R46" s="43">
        <v>612</v>
      </c>
      <c r="S46" s="43">
        <v>1224</v>
      </c>
      <c r="T46" s="43">
        <v>2448</v>
      </c>
      <c r="U46" s="43">
        <v>5216</v>
      </c>
      <c r="V46" s="44">
        <v>10304</v>
      </c>
    </row>
    <row r="47" spans="2:31" ht="15" customHeight="1">
      <c r="B47" s="93"/>
      <c r="C47" s="98" t="s">
        <v>7</v>
      </c>
      <c r="D47" s="4">
        <v>0.25</v>
      </c>
      <c r="E47" s="36">
        <v>17</v>
      </c>
      <c r="F47" s="37">
        <v>19</v>
      </c>
      <c r="G47" s="37">
        <v>21</v>
      </c>
      <c r="H47" s="37">
        <v>93</v>
      </c>
      <c r="I47" s="37">
        <v>137</v>
      </c>
      <c r="J47" s="37">
        <v>135</v>
      </c>
      <c r="K47" s="37">
        <v>139</v>
      </c>
      <c r="L47" s="37">
        <v>6304</v>
      </c>
      <c r="M47" s="38">
        <v>17792</v>
      </c>
      <c r="N47" s="36">
        <v>25</v>
      </c>
      <c r="O47" s="37">
        <v>19</v>
      </c>
      <c r="P47" s="37">
        <v>21</v>
      </c>
      <c r="Q47" s="37">
        <v>25</v>
      </c>
      <c r="R47" s="37">
        <v>24</v>
      </c>
      <c r="S47" s="37">
        <v>26</v>
      </c>
      <c r="T47" s="37">
        <v>25</v>
      </c>
      <c r="U47" s="37">
        <v>4704</v>
      </c>
      <c r="V47" s="38">
        <v>14784</v>
      </c>
    </row>
    <row r="48" spans="2:31" ht="15" customHeight="1">
      <c r="B48" s="93"/>
      <c r="C48" s="96"/>
      <c r="D48" s="5">
        <v>0.5</v>
      </c>
      <c r="E48" s="39">
        <v>18</v>
      </c>
      <c r="F48" s="40">
        <v>19</v>
      </c>
      <c r="G48" s="40">
        <v>215</v>
      </c>
      <c r="H48" s="40">
        <v>596</v>
      </c>
      <c r="I48" s="40">
        <v>1288</v>
      </c>
      <c r="J48" s="40">
        <v>2672</v>
      </c>
      <c r="K48" s="40">
        <v>3824</v>
      </c>
      <c r="L48" s="40">
        <v>11584</v>
      </c>
      <c r="M48" s="41">
        <v>24960</v>
      </c>
      <c r="N48" s="39">
        <v>26</v>
      </c>
      <c r="O48" s="40">
        <v>20</v>
      </c>
      <c r="P48" s="40">
        <v>137</v>
      </c>
      <c r="Q48" s="40">
        <v>462</v>
      </c>
      <c r="R48" s="40">
        <v>956</v>
      </c>
      <c r="S48" s="40">
        <v>1928</v>
      </c>
      <c r="T48" s="40">
        <v>3856</v>
      </c>
      <c r="U48" s="40">
        <v>9536</v>
      </c>
      <c r="V48" s="41">
        <v>21376</v>
      </c>
    </row>
    <row r="49" spans="2:22" ht="15" customHeight="1">
      <c r="B49" s="93"/>
      <c r="C49" s="96"/>
      <c r="D49" s="5">
        <v>0.75</v>
      </c>
      <c r="E49" s="39">
        <v>18</v>
      </c>
      <c r="F49" s="40">
        <v>700</v>
      </c>
      <c r="G49" s="40">
        <v>247</v>
      </c>
      <c r="H49" s="40">
        <v>490</v>
      </c>
      <c r="I49" s="40">
        <v>980</v>
      </c>
      <c r="J49" s="40">
        <v>1976</v>
      </c>
      <c r="K49" s="40">
        <v>3888</v>
      </c>
      <c r="L49" s="40">
        <v>12992</v>
      </c>
      <c r="M49" s="41">
        <v>31872</v>
      </c>
      <c r="N49" s="39">
        <v>30</v>
      </c>
      <c r="O49" s="40">
        <v>122</v>
      </c>
      <c r="P49" s="40">
        <v>247</v>
      </c>
      <c r="Q49" s="40">
        <v>494</v>
      </c>
      <c r="R49" s="40">
        <v>988</v>
      </c>
      <c r="S49" s="40">
        <v>1976</v>
      </c>
      <c r="T49" s="40">
        <v>3920</v>
      </c>
      <c r="U49" s="40">
        <v>12352</v>
      </c>
      <c r="V49" s="41">
        <v>28800</v>
      </c>
    </row>
    <row r="50" spans="2:22" ht="15" customHeight="1" thickBot="1">
      <c r="B50" s="93"/>
      <c r="C50" s="97"/>
      <c r="D50" s="6">
        <v>1</v>
      </c>
      <c r="E50" s="42">
        <v>68</v>
      </c>
      <c r="F50" s="43">
        <v>104</v>
      </c>
      <c r="G50" s="43">
        <v>207</v>
      </c>
      <c r="H50" s="43">
        <v>378</v>
      </c>
      <c r="I50" s="43">
        <v>748</v>
      </c>
      <c r="J50" s="43">
        <v>1528</v>
      </c>
      <c r="K50" s="43">
        <v>2928</v>
      </c>
      <c r="L50" s="43">
        <v>8896</v>
      </c>
      <c r="M50" s="44">
        <v>24448</v>
      </c>
      <c r="N50" s="42">
        <v>60</v>
      </c>
      <c r="O50" s="43">
        <v>121</v>
      </c>
      <c r="P50" s="43">
        <v>243</v>
      </c>
      <c r="Q50" s="43">
        <v>490</v>
      </c>
      <c r="R50" s="43">
        <v>852</v>
      </c>
      <c r="S50" s="43">
        <v>1832</v>
      </c>
      <c r="T50" s="43">
        <v>3408</v>
      </c>
      <c r="U50" s="43">
        <v>6688</v>
      </c>
      <c r="V50" s="44">
        <v>15680</v>
      </c>
    </row>
    <row r="51" spans="2:22" ht="15" customHeight="1">
      <c r="B51" s="93"/>
      <c r="C51" s="98" t="s">
        <v>8</v>
      </c>
      <c r="D51" s="4">
        <v>0.25</v>
      </c>
      <c r="E51" s="24">
        <v>16195</v>
      </c>
      <c r="F51" s="25">
        <v>27285</v>
      </c>
      <c r="G51" s="25">
        <v>38463</v>
      </c>
      <c r="H51" s="25">
        <v>44118</v>
      </c>
      <c r="I51" s="25">
        <v>44159</v>
      </c>
      <c r="J51" s="25">
        <v>44136</v>
      </c>
      <c r="K51" s="25">
        <v>44147</v>
      </c>
      <c r="L51" s="25">
        <v>44150</v>
      </c>
      <c r="M51" s="26">
        <v>44167</v>
      </c>
      <c r="N51" s="24">
        <v>16624</v>
      </c>
      <c r="O51" s="25">
        <v>29333</v>
      </c>
      <c r="P51" s="25">
        <v>45648</v>
      </c>
      <c r="Q51" s="25">
        <v>58699</v>
      </c>
      <c r="R51" s="25">
        <v>59396</v>
      </c>
      <c r="S51" s="25">
        <v>59364</v>
      </c>
      <c r="T51" s="25">
        <v>59389</v>
      </c>
      <c r="U51" s="25">
        <v>59354</v>
      </c>
      <c r="V51" s="26">
        <v>59324</v>
      </c>
    </row>
    <row r="52" spans="2:22" ht="15" customHeight="1">
      <c r="B52" s="93"/>
      <c r="C52" s="96"/>
      <c r="D52" s="5">
        <v>0.5</v>
      </c>
      <c r="E52" s="27">
        <v>37277</v>
      </c>
      <c r="F52" s="28">
        <v>54846</v>
      </c>
      <c r="G52" s="28">
        <v>64074</v>
      </c>
      <c r="H52" s="28">
        <v>64011</v>
      </c>
      <c r="I52" s="28">
        <v>64031</v>
      </c>
      <c r="J52" s="28">
        <v>64026</v>
      </c>
      <c r="K52" s="28">
        <v>68294</v>
      </c>
      <c r="L52" s="28">
        <v>68330</v>
      </c>
      <c r="M52" s="29">
        <v>68295</v>
      </c>
      <c r="N52" s="27">
        <v>39011</v>
      </c>
      <c r="O52" s="28">
        <v>61229</v>
      </c>
      <c r="P52" s="28">
        <v>81671</v>
      </c>
      <c r="Q52" s="28">
        <v>80625</v>
      </c>
      <c r="R52" s="28">
        <v>80509</v>
      </c>
      <c r="S52" s="28">
        <v>80362</v>
      </c>
      <c r="T52" s="28">
        <v>86973</v>
      </c>
      <c r="U52" s="28">
        <v>86951</v>
      </c>
      <c r="V52" s="29">
        <v>86879</v>
      </c>
    </row>
    <row r="53" spans="2:22" ht="15" customHeight="1">
      <c r="B53" s="93"/>
      <c r="C53" s="96"/>
      <c r="D53" s="5">
        <v>0.75</v>
      </c>
      <c r="E53" s="27">
        <v>69091</v>
      </c>
      <c r="F53" s="28">
        <v>76441</v>
      </c>
      <c r="G53" s="28">
        <v>77866</v>
      </c>
      <c r="H53" s="28">
        <v>77224</v>
      </c>
      <c r="I53" s="28">
        <v>77938</v>
      </c>
      <c r="J53" s="28">
        <v>78971</v>
      </c>
      <c r="K53" s="28">
        <v>79961</v>
      </c>
      <c r="L53" s="28">
        <v>79921</v>
      </c>
      <c r="M53" s="29">
        <v>79997</v>
      </c>
      <c r="N53" s="27">
        <v>72734</v>
      </c>
      <c r="O53" s="28">
        <v>95669</v>
      </c>
      <c r="P53" s="28">
        <v>95280</v>
      </c>
      <c r="Q53" s="28">
        <v>95323</v>
      </c>
      <c r="R53" s="28">
        <v>95435</v>
      </c>
      <c r="S53" s="28">
        <v>95269</v>
      </c>
      <c r="T53" s="28">
        <v>97711</v>
      </c>
      <c r="U53" s="28">
        <v>97714</v>
      </c>
      <c r="V53" s="29">
        <v>97523</v>
      </c>
    </row>
    <row r="54" spans="2:22" ht="15" customHeight="1" thickBot="1">
      <c r="B54" s="94"/>
      <c r="C54" s="97"/>
      <c r="D54" s="6">
        <v>1</v>
      </c>
      <c r="E54" s="30">
        <v>88211</v>
      </c>
      <c r="F54" s="31">
        <v>88211</v>
      </c>
      <c r="G54" s="31">
        <v>88212</v>
      </c>
      <c r="H54" s="31">
        <v>88212</v>
      </c>
      <c r="I54" s="31">
        <v>88212</v>
      </c>
      <c r="J54" s="31">
        <v>88211</v>
      </c>
      <c r="K54" s="31">
        <v>88212</v>
      </c>
      <c r="L54" s="31">
        <v>88212</v>
      </c>
      <c r="M54" s="32">
        <v>88210</v>
      </c>
      <c r="N54" s="30">
        <v>105212</v>
      </c>
      <c r="O54" s="31">
        <v>105210</v>
      </c>
      <c r="P54" s="31">
        <v>105214</v>
      </c>
      <c r="Q54" s="31">
        <v>105220</v>
      </c>
      <c r="R54" s="31">
        <v>105227</v>
      </c>
      <c r="S54" s="31">
        <v>105215</v>
      </c>
      <c r="T54" s="31">
        <v>105215</v>
      </c>
      <c r="U54" s="31">
        <v>105212</v>
      </c>
      <c r="V54" s="32">
        <v>105221</v>
      </c>
    </row>
  </sheetData>
  <mergeCells count="36">
    <mergeCell ref="B43:B54"/>
    <mergeCell ref="C43:C46"/>
    <mergeCell ref="C47:C50"/>
    <mergeCell ref="C51:C54"/>
    <mergeCell ref="B29:D30"/>
    <mergeCell ref="E29:M29"/>
    <mergeCell ref="N29:V29"/>
    <mergeCell ref="Z29:AD29"/>
    <mergeCell ref="Z30:AD30"/>
    <mergeCell ref="B31:B42"/>
    <mergeCell ref="C31:C34"/>
    <mergeCell ref="Z31:AD31"/>
    <mergeCell ref="C35:C38"/>
    <mergeCell ref="C39:C42"/>
    <mergeCell ref="B16:B27"/>
    <mergeCell ref="C16:C19"/>
    <mergeCell ref="X16:X27"/>
    <mergeCell ref="Y16:Y19"/>
    <mergeCell ref="C20:C23"/>
    <mergeCell ref="Y20:Y23"/>
    <mergeCell ref="C24:C27"/>
    <mergeCell ref="Y24:Y27"/>
    <mergeCell ref="B4:B15"/>
    <mergeCell ref="C4:C7"/>
    <mergeCell ref="X4:X15"/>
    <mergeCell ref="Y4:Y7"/>
    <mergeCell ref="C8:C11"/>
    <mergeCell ref="Y8:Y11"/>
    <mergeCell ref="C12:C15"/>
    <mergeCell ref="Y12:Y15"/>
    <mergeCell ref="AJ2:AR2"/>
    <mergeCell ref="B2:D3"/>
    <mergeCell ref="E2:M2"/>
    <mergeCell ref="N2:V2"/>
    <mergeCell ref="X2:Z3"/>
    <mergeCell ref="AA2:AI2"/>
  </mergeCells>
  <phoneticPr fontId="1" type="noConversion"/>
  <conditionalFormatting sqref="Y29">
    <cfRule type="cellIs" dxfId="90" priority="16" operator="lessThan">
      <formula>0.8</formula>
    </cfRule>
  </conditionalFormatting>
  <conditionalFormatting sqref="Y30:Y31">
    <cfRule type="cellIs" dxfId="89" priority="15" operator="lessThan">
      <formula>0.8</formula>
    </cfRule>
  </conditionalFormatting>
  <conditionalFormatting sqref="T16:T23">
    <cfRule type="expression" dxfId="88" priority="13">
      <formula>AO16&gt;1.1</formula>
    </cfRule>
  </conditionalFormatting>
  <conditionalFormatting sqref="U16:V23 N16:S23 E16:J19 E23:J23 F22:J22 E21:J21 E20 G20:J20">
    <cfRule type="expression" dxfId="87" priority="14">
      <formula>AA16&gt;1.1</formula>
    </cfRule>
  </conditionalFormatting>
  <conditionalFormatting sqref="K16:K23">
    <cfRule type="expression" dxfId="86" priority="11">
      <formula>AF16&gt;1.1</formula>
    </cfRule>
  </conditionalFormatting>
  <conditionalFormatting sqref="L16:M23">
    <cfRule type="expression" dxfId="85" priority="12">
      <formula>AH16&gt;1.1</formula>
    </cfRule>
  </conditionalFormatting>
  <conditionalFormatting sqref="N31:V38 N43:V50 E43:M45 E50:M50 F49:M49 E48:M48 E46:E47 G46:M47">
    <cfRule type="expression" dxfId="84" priority="10">
      <formula>AA4&gt;1.1</formula>
    </cfRule>
  </conditionalFormatting>
  <conditionalFormatting sqref="E31:M38">
    <cfRule type="expression" dxfId="83" priority="9">
      <formula>AA4&gt;1.1</formula>
    </cfRule>
  </conditionalFormatting>
  <conditionalFormatting sqref="N4:V11">
    <cfRule type="expression" dxfId="82" priority="8">
      <formula>AJ4&gt;1.1</formula>
    </cfRule>
  </conditionalFormatting>
  <conditionalFormatting sqref="T4:T11">
    <cfRule type="expression" dxfId="81" priority="7">
      <formula>AO4&gt;1.1</formula>
    </cfRule>
  </conditionalFormatting>
  <conditionalFormatting sqref="E4:M11">
    <cfRule type="expression" dxfId="80" priority="6">
      <formula>AA4&gt;1.1</formula>
    </cfRule>
  </conditionalFormatting>
  <conditionalFormatting sqref="K4:K11">
    <cfRule type="expression" dxfId="79" priority="5">
      <formula>AF4&gt;1.1</formula>
    </cfRule>
  </conditionalFormatting>
  <conditionalFormatting sqref="AA4:AR11 AA17:AR19 AA16:AB16 AD16:AR16 AA21:AR23 AA20 AD20:AR20">
    <cfRule type="cellIs" dxfId="78" priority="3" operator="lessThan">
      <formula>0.9</formula>
    </cfRule>
    <cfRule type="cellIs" dxfId="77" priority="4" operator="greaterThan">
      <formula>1.1</formula>
    </cfRule>
  </conditionalFormatting>
  <conditionalFormatting sqref="AA12:AR15 AA24:AR27">
    <cfRule type="cellIs" dxfId="76" priority="1" operator="lessThan">
      <formula>0.95</formula>
    </cfRule>
    <cfRule type="cellIs" dxfId="75" priority="2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X54"/>
  <sheetViews>
    <sheetView showGridLines="0" zoomScale="70" zoomScaleNormal="70" workbookViewId="0">
      <selection activeCell="B2" sqref="B2:AN54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9.69921875" style="11" customWidth="1"/>
    <col min="5" max="12" width="6.59765625" style="11" customWidth="1"/>
    <col min="13" max="13" width="3.09765625" style="11" customWidth="1"/>
    <col min="14" max="14" width="13.09765625" style="11" customWidth="1"/>
    <col min="15" max="15" width="11" style="11" bestFit="1" customWidth="1"/>
    <col min="16" max="16" width="8.09765625" style="11" customWidth="1"/>
    <col min="17" max="24" width="7.5" style="11" customWidth="1"/>
    <col min="25" max="16384" width="9" style="11"/>
  </cols>
  <sheetData>
    <row r="1" spans="2:24" ht="15" customHeight="1" thickBot="1"/>
    <row r="2" spans="2:24" ht="15" customHeight="1">
      <c r="B2" s="99" t="s">
        <v>70</v>
      </c>
      <c r="C2" s="100"/>
      <c r="D2" s="101"/>
      <c r="E2" s="83" t="s">
        <v>14</v>
      </c>
      <c r="F2" s="84"/>
      <c r="G2" s="84"/>
      <c r="H2" s="84"/>
      <c r="I2" s="84"/>
      <c r="J2" s="84"/>
      <c r="K2" s="84"/>
      <c r="L2" s="85"/>
      <c r="N2" s="105" t="str">
        <f>CONCATENATE(B2, CHAR(10), "vs ", B29)</f>
        <v>PM983a_EDW73F2Q_20191110
vs PM9A3_GKA71F20_20210202</v>
      </c>
      <c r="O2" s="106"/>
      <c r="P2" s="106"/>
      <c r="Q2" s="83" t="s">
        <v>14</v>
      </c>
      <c r="R2" s="84"/>
      <c r="S2" s="84"/>
      <c r="T2" s="84"/>
      <c r="U2" s="84"/>
      <c r="V2" s="84"/>
      <c r="W2" s="84"/>
      <c r="X2" s="85"/>
    </row>
    <row r="3" spans="2:24" ht="20.25" customHeight="1" thickBot="1">
      <c r="B3" s="102"/>
      <c r="C3" s="103"/>
      <c r="D3" s="104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3" t="s">
        <v>17</v>
      </c>
      <c r="N3" s="107"/>
      <c r="O3" s="108"/>
      <c r="P3" s="108"/>
      <c r="Q3" s="1" t="s">
        <v>0</v>
      </c>
      <c r="R3" s="2" t="s">
        <v>1</v>
      </c>
      <c r="S3" s="2" t="s">
        <v>2</v>
      </c>
      <c r="T3" s="2" t="s">
        <v>3</v>
      </c>
      <c r="U3" s="2" t="s">
        <v>4</v>
      </c>
      <c r="V3" s="2" t="s">
        <v>18</v>
      </c>
      <c r="W3" s="2" t="s">
        <v>16</v>
      </c>
      <c r="X3" s="3" t="s">
        <v>17</v>
      </c>
    </row>
    <row r="4" spans="2:24" ht="15" customHeight="1">
      <c r="B4" s="86" t="s">
        <v>5</v>
      </c>
      <c r="C4" s="89" t="s">
        <v>6</v>
      </c>
      <c r="D4" s="4">
        <v>0.25</v>
      </c>
      <c r="E4" s="24">
        <v>510</v>
      </c>
      <c r="F4" s="25">
        <v>572</v>
      </c>
      <c r="G4" s="25">
        <v>660</v>
      </c>
      <c r="H4" s="25">
        <v>700</v>
      </c>
      <c r="I4" s="25">
        <v>804</v>
      </c>
      <c r="J4" s="25">
        <v>1064</v>
      </c>
      <c r="K4" s="25">
        <v>1704</v>
      </c>
      <c r="L4" s="26">
        <v>5344</v>
      </c>
      <c r="N4" s="92" t="s">
        <v>5</v>
      </c>
      <c r="O4" s="95" t="s">
        <v>6</v>
      </c>
      <c r="P4" s="7">
        <v>0.25</v>
      </c>
      <c r="Q4" s="15">
        <f t="shared" ref="Q4:Q27" si="0">E31/E4</f>
        <v>0.52156862745098043</v>
      </c>
      <c r="R4" s="16">
        <f t="shared" ref="R4:R27" si="1">F31/F4</f>
        <v>0.54895104895104896</v>
      </c>
      <c r="S4" s="16">
        <f t="shared" ref="S4:S27" si="2">G31/G4</f>
        <v>0.57878787878787874</v>
      </c>
      <c r="T4" s="16">
        <f t="shared" ref="T4:T27" si="3">H31/H4</f>
        <v>0.59142857142857141</v>
      </c>
      <c r="U4" s="16">
        <f t="shared" ref="U4:U27" si="4">I31/I4</f>
        <v>0.53482587064676612</v>
      </c>
      <c r="V4" s="16">
        <f t="shared" ref="V4:V27" si="5">J31/J4</f>
        <v>0.41165413533834588</v>
      </c>
      <c r="W4" s="16">
        <f t="shared" ref="W4:W27" si="6">K31/K4</f>
        <v>0.25938967136150237</v>
      </c>
      <c r="X4" s="17">
        <f t="shared" ref="X4:X27" si="7">L31/L4</f>
        <v>0.31586826347305391</v>
      </c>
    </row>
    <row r="5" spans="2:24" ht="15" customHeight="1">
      <c r="B5" s="87"/>
      <c r="C5" s="90"/>
      <c r="D5" s="5">
        <v>0.5</v>
      </c>
      <c r="E5" s="27">
        <v>414</v>
      </c>
      <c r="F5" s="28">
        <v>478</v>
      </c>
      <c r="G5" s="28">
        <v>524</v>
      </c>
      <c r="H5" s="28">
        <v>604</v>
      </c>
      <c r="I5" s="28">
        <v>708</v>
      </c>
      <c r="J5" s="28">
        <v>916</v>
      </c>
      <c r="K5" s="28">
        <v>1416</v>
      </c>
      <c r="L5" s="29">
        <v>4640</v>
      </c>
      <c r="N5" s="93"/>
      <c r="O5" s="96"/>
      <c r="P5" s="5">
        <v>0.5</v>
      </c>
      <c r="Q5" s="18">
        <f t="shared" si="0"/>
        <v>0.50966183574879231</v>
      </c>
      <c r="R5" s="12">
        <f t="shared" si="1"/>
        <v>0.53974895397489542</v>
      </c>
      <c r="S5" s="12">
        <f t="shared" si="2"/>
        <v>0.59160305343511455</v>
      </c>
      <c r="T5" s="12">
        <f t="shared" si="3"/>
        <v>0.6258278145695364</v>
      </c>
      <c r="U5" s="12">
        <f t="shared" si="4"/>
        <v>0.61864406779661019</v>
      </c>
      <c r="V5" s="12">
        <f t="shared" si="5"/>
        <v>0.49126637554585151</v>
      </c>
      <c r="W5" s="12">
        <f t="shared" si="6"/>
        <v>0.32062146892655369</v>
      </c>
      <c r="X5" s="19">
        <f t="shared" si="7"/>
        <v>0.38103448275862067</v>
      </c>
    </row>
    <row r="6" spans="2:24" ht="15" customHeight="1">
      <c r="B6" s="87"/>
      <c r="C6" s="90"/>
      <c r="D6" s="5">
        <v>0.75</v>
      </c>
      <c r="E6" s="27">
        <v>298</v>
      </c>
      <c r="F6" s="28">
        <v>362</v>
      </c>
      <c r="G6" s="28">
        <v>434</v>
      </c>
      <c r="H6" s="28">
        <v>494</v>
      </c>
      <c r="I6" s="28">
        <v>572</v>
      </c>
      <c r="J6" s="28">
        <v>748</v>
      </c>
      <c r="K6" s="28">
        <v>1080</v>
      </c>
      <c r="L6" s="29">
        <v>3216</v>
      </c>
      <c r="N6" s="93"/>
      <c r="O6" s="96"/>
      <c r="P6" s="5">
        <v>0.75</v>
      </c>
      <c r="Q6" s="18">
        <f t="shared" si="0"/>
        <v>0.41610738255033558</v>
      </c>
      <c r="R6" s="12">
        <f t="shared" si="1"/>
        <v>0.54419889502762431</v>
      </c>
      <c r="S6" s="12">
        <f t="shared" si="2"/>
        <v>0.59447004608294929</v>
      </c>
      <c r="T6" s="12">
        <f t="shared" si="3"/>
        <v>0.63562753036437247</v>
      </c>
      <c r="U6" s="12">
        <f t="shared" si="4"/>
        <v>0.69580419580419584</v>
      </c>
      <c r="V6" s="12">
        <f t="shared" si="5"/>
        <v>0.71122994652406413</v>
      </c>
      <c r="W6" s="12">
        <f t="shared" si="6"/>
        <v>0.74444444444444446</v>
      </c>
      <c r="X6" s="19">
        <f t="shared" si="7"/>
        <v>0.72139303482587069</v>
      </c>
    </row>
    <row r="7" spans="2:24" ht="15" customHeight="1" thickBot="1">
      <c r="B7" s="87"/>
      <c r="C7" s="91"/>
      <c r="D7" s="6">
        <v>1</v>
      </c>
      <c r="E7" s="30">
        <v>96</v>
      </c>
      <c r="F7" s="31">
        <v>124</v>
      </c>
      <c r="G7" s="31">
        <v>139</v>
      </c>
      <c r="H7" s="31">
        <v>157</v>
      </c>
      <c r="I7" s="31">
        <v>201</v>
      </c>
      <c r="J7" s="31">
        <v>294</v>
      </c>
      <c r="K7" s="31">
        <v>540</v>
      </c>
      <c r="L7" s="32">
        <v>1528</v>
      </c>
      <c r="N7" s="93"/>
      <c r="O7" s="97"/>
      <c r="P7" s="6">
        <v>1</v>
      </c>
      <c r="Q7" s="20">
        <f t="shared" si="0"/>
        <v>0.71875</v>
      </c>
      <c r="R7" s="21">
        <f t="shared" si="1"/>
        <v>0.717741935483871</v>
      </c>
      <c r="S7" s="21">
        <f t="shared" si="2"/>
        <v>0.75539568345323738</v>
      </c>
      <c r="T7" s="21">
        <f t="shared" si="3"/>
        <v>0.77070063694267521</v>
      </c>
      <c r="U7" s="21">
        <f t="shared" si="4"/>
        <v>0.79104477611940294</v>
      </c>
      <c r="V7" s="21">
        <f t="shared" si="5"/>
        <v>0.81972789115646261</v>
      </c>
      <c r="W7" s="21">
        <f t="shared" si="6"/>
        <v>0.81851851851851853</v>
      </c>
      <c r="X7" s="22">
        <f t="shared" si="7"/>
        <v>0.66230366492146597</v>
      </c>
    </row>
    <row r="8" spans="2:24" ht="15" customHeight="1">
      <c r="B8" s="87"/>
      <c r="C8" s="89" t="s">
        <v>7</v>
      </c>
      <c r="D8" s="4">
        <v>0.25</v>
      </c>
      <c r="E8" s="24">
        <v>884</v>
      </c>
      <c r="F8" s="25">
        <v>996</v>
      </c>
      <c r="G8" s="25">
        <v>1160</v>
      </c>
      <c r="H8" s="25">
        <v>1208</v>
      </c>
      <c r="I8" s="25">
        <v>1304</v>
      </c>
      <c r="J8" s="25">
        <v>1560</v>
      </c>
      <c r="K8" s="25">
        <v>2160</v>
      </c>
      <c r="L8" s="26">
        <v>5984</v>
      </c>
      <c r="N8" s="93"/>
      <c r="O8" s="98" t="s">
        <v>7</v>
      </c>
      <c r="P8" s="4">
        <v>0.25</v>
      </c>
      <c r="Q8" s="15">
        <f t="shared" si="0"/>
        <v>0.62895927601809953</v>
      </c>
      <c r="R8" s="16">
        <f t="shared" si="1"/>
        <v>0.85542168674698793</v>
      </c>
      <c r="S8" s="16">
        <f t="shared" si="2"/>
        <v>0.76206896551724135</v>
      </c>
      <c r="T8" s="16">
        <f t="shared" si="3"/>
        <v>0.76490066225165565</v>
      </c>
      <c r="U8" s="16">
        <f t="shared" si="4"/>
        <v>0.745398773006135</v>
      </c>
      <c r="V8" s="16">
        <f t="shared" si="5"/>
        <v>0.62820512820512819</v>
      </c>
      <c r="W8" s="16">
        <f t="shared" si="6"/>
        <v>0.45740740740740743</v>
      </c>
      <c r="X8" s="17">
        <f t="shared" si="7"/>
        <v>0.32754010695187163</v>
      </c>
    </row>
    <row r="9" spans="2:24" ht="15" customHeight="1">
      <c r="B9" s="87"/>
      <c r="C9" s="90"/>
      <c r="D9" s="5">
        <v>0.5</v>
      </c>
      <c r="E9" s="27">
        <v>812</v>
      </c>
      <c r="F9" s="28">
        <v>860</v>
      </c>
      <c r="G9" s="28">
        <v>916</v>
      </c>
      <c r="H9" s="28">
        <v>1064</v>
      </c>
      <c r="I9" s="28">
        <v>1160</v>
      </c>
      <c r="J9" s="28">
        <v>1384</v>
      </c>
      <c r="K9" s="28">
        <v>2008</v>
      </c>
      <c r="L9" s="29">
        <v>5344</v>
      </c>
      <c r="N9" s="93"/>
      <c r="O9" s="96"/>
      <c r="P9" s="5">
        <v>0.5</v>
      </c>
      <c r="Q9" s="18">
        <f t="shared" si="0"/>
        <v>0.66502463054187189</v>
      </c>
      <c r="R9" s="12">
        <f t="shared" si="1"/>
        <v>0.65581395348837213</v>
      </c>
      <c r="S9" s="12">
        <f t="shared" si="2"/>
        <v>0.92139737991266379</v>
      </c>
      <c r="T9" s="12">
        <f t="shared" si="3"/>
        <v>0.83082706766917291</v>
      </c>
      <c r="U9" s="12">
        <f t="shared" si="4"/>
        <v>0.80344827586206902</v>
      </c>
      <c r="V9" s="12">
        <f t="shared" si="5"/>
        <v>0.76878612716763006</v>
      </c>
      <c r="W9" s="12">
        <f t="shared" si="6"/>
        <v>0.58565737051792832</v>
      </c>
      <c r="X9" s="19">
        <f t="shared" si="7"/>
        <v>0.43413173652694609</v>
      </c>
    </row>
    <row r="10" spans="2:24" ht="15" customHeight="1">
      <c r="B10" s="87"/>
      <c r="C10" s="90"/>
      <c r="D10" s="5">
        <v>0.75</v>
      </c>
      <c r="E10" s="27">
        <v>756</v>
      </c>
      <c r="F10" s="28">
        <v>796</v>
      </c>
      <c r="G10" s="28">
        <v>828</v>
      </c>
      <c r="H10" s="28">
        <v>900</v>
      </c>
      <c r="I10" s="28">
        <v>996</v>
      </c>
      <c r="J10" s="28">
        <v>1160</v>
      </c>
      <c r="K10" s="28">
        <v>1512</v>
      </c>
      <c r="L10" s="29">
        <v>3760</v>
      </c>
      <c r="N10" s="93"/>
      <c r="O10" s="96"/>
      <c r="P10" s="5">
        <v>0.75</v>
      </c>
      <c r="Q10" s="18">
        <f t="shared" si="0"/>
        <v>0.64814814814814814</v>
      </c>
      <c r="R10" s="12">
        <f t="shared" si="1"/>
        <v>0.65829145728643212</v>
      </c>
      <c r="S10" s="12">
        <f t="shared" si="2"/>
        <v>0.67149758454106279</v>
      </c>
      <c r="T10" s="12">
        <f t="shared" si="3"/>
        <v>0.78666666666666663</v>
      </c>
      <c r="U10" s="12">
        <f t="shared" si="4"/>
        <v>0.87951807228915657</v>
      </c>
      <c r="V10" s="12">
        <f t="shared" si="5"/>
        <v>0.84482758620689657</v>
      </c>
      <c r="W10" s="12">
        <f t="shared" si="6"/>
        <v>0.8835978835978836</v>
      </c>
      <c r="X10" s="19">
        <f t="shared" si="7"/>
        <v>0.82978723404255317</v>
      </c>
    </row>
    <row r="11" spans="2:24" ht="15" customHeight="1" thickBot="1">
      <c r="B11" s="87"/>
      <c r="C11" s="91"/>
      <c r="D11" s="6">
        <v>1</v>
      </c>
      <c r="E11" s="30">
        <v>135</v>
      </c>
      <c r="F11" s="31">
        <v>157</v>
      </c>
      <c r="G11" s="31">
        <v>197</v>
      </c>
      <c r="H11" s="31">
        <v>245</v>
      </c>
      <c r="I11" s="31">
        <v>322</v>
      </c>
      <c r="J11" s="31">
        <v>498</v>
      </c>
      <c r="K11" s="31">
        <v>948</v>
      </c>
      <c r="L11" s="32">
        <v>2352</v>
      </c>
      <c r="N11" s="93"/>
      <c r="O11" s="97"/>
      <c r="P11" s="6">
        <v>1</v>
      </c>
      <c r="Q11" s="20">
        <f t="shared" si="0"/>
        <v>0.66666666666666663</v>
      </c>
      <c r="R11" s="21">
        <f t="shared" si="1"/>
        <v>0.76433121019108285</v>
      </c>
      <c r="S11" s="21">
        <f t="shared" si="2"/>
        <v>0.7766497461928934</v>
      </c>
      <c r="T11" s="21">
        <f t="shared" si="3"/>
        <v>0.78775510204081634</v>
      </c>
      <c r="U11" s="21">
        <f t="shared" si="4"/>
        <v>0.82608695652173914</v>
      </c>
      <c r="V11" s="21">
        <f t="shared" si="5"/>
        <v>0.85542168674698793</v>
      </c>
      <c r="W11" s="21">
        <f t="shared" si="6"/>
        <v>0.83966244725738393</v>
      </c>
      <c r="X11" s="22">
        <f t="shared" si="7"/>
        <v>0.71088435374149661</v>
      </c>
    </row>
    <row r="12" spans="2:24" ht="15" customHeight="1">
      <c r="B12" s="87"/>
      <c r="C12" s="89" t="s">
        <v>8</v>
      </c>
      <c r="D12" s="4">
        <v>0.25</v>
      </c>
      <c r="E12" s="24">
        <v>5928</v>
      </c>
      <c r="F12" s="25">
        <v>10102</v>
      </c>
      <c r="G12" s="25">
        <v>13382</v>
      </c>
      <c r="H12" s="25">
        <v>13407</v>
      </c>
      <c r="I12" s="25">
        <v>13470</v>
      </c>
      <c r="J12" s="25">
        <v>13533</v>
      </c>
      <c r="K12" s="25">
        <v>13556</v>
      </c>
      <c r="L12" s="26">
        <v>13576</v>
      </c>
      <c r="N12" s="93"/>
      <c r="O12" s="98" t="s">
        <v>8</v>
      </c>
      <c r="P12" s="4">
        <v>0.25</v>
      </c>
      <c r="Q12" s="15">
        <f t="shared" si="0"/>
        <v>1.4758771929824561</v>
      </c>
      <c r="R12" s="16">
        <f t="shared" si="1"/>
        <v>1.4944565432587607</v>
      </c>
      <c r="S12" s="16">
        <f t="shared" si="2"/>
        <v>1.7335973696009566</v>
      </c>
      <c r="T12" s="16">
        <f t="shared" si="3"/>
        <v>1.9366748713358692</v>
      </c>
      <c r="U12" s="16">
        <f t="shared" si="4"/>
        <v>1.9300668151447662</v>
      </c>
      <c r="V12" s="16">
        <f t="shared" si="5"/>
        <v>1.9201211852508682</v>
      </c>
      <c r="W12" s="16">
        <f t="shared" si="6"/>
        <v>1.9167896134552966</v>
      </c>
      <c r="X12" s="17">
        <f t="shared" si="7"/>
        <v>1.9396729522687095</v>
      </c>
    </row>
    <row r="13" spans="2:24" ht="15" customHeight="1">
      <c r="B13" s="87"/>
      <c r="C13" s="90"/>
      <c r="D13" s="5">
        <v>0.5</v>
      </c>
      <c r="E13" s="27">
        <v>8555</v>
      </c>
      <c r="F13" s="28">
        <v>15192</v>
      </c>
      <c r="G13" s="28">
        <v>24610</v>
      </c>
      <c r="H13" s="28">
        <v>34603</v>
      </c>
      <c r="I13" s="28">
        <v>34951</v>
      </c>
      <c r="J13" s="28">
        <v>34780</v>
      </c>
      <c r="K13" s="28">
        <v>34683</v>
      </c>
      <c r="L13" s="29">
        <v>34584</v>
      </c>
      <c r="N13" s="93"/>
      <c r="O13" s="96"/>
      <c r="P13" s="5">
        <v>0.5</v>
      </c>
      <c r="Q13" s="18">
        <f t="shared" si="0"/>
        <v>1.4174167153711279</v>
      </c>
      <c r="R13" s="12">
        <f t="shared" si="1"/>
        <v>1.4625460768825698</v>
      </c>
      <c r="S13" s="12">
        <f t="shared" si="2"/>
        <v>1.5267370987403495</v>
      </c>
      <c r="T13" s="12">
        <f t="shared" si="3"/>
        <v>1.5825506458977545</v>
      </c>
      <c r="U13" s="12">
        <f t="shared" si="4"/>
        <v>1.8133958971131012</v>
      </c>
      <c r="V13" s="12">
        <f t="shared" si="5"/>
        <v>1.8205865439907993</v>
      </c>
      <c r="W13" s="12">
        <f t="shared" si="6"/>
        <v>1.8258801141769743</v>
      </c>
      <c r="X13" s="19">
        <f t="shared" si="7"/>
        <v>1.9478371501272265</v>
      </c>
    </row>
    <row r="14" spans="2:24" ht="15" customHeight="1">
      <c r="B14" s="87"/>
      <c r="C14" s="90"/>
      <c r="D14" s="5">
        <v>0.75</v>
      </c>
      <c r="E14" s="27">
        <v>10527</v>
      </c>
      <c r="F14" s="28">
        <v>19486</v>
      </c>
      <c r="G14" s="28">
        <v>33356</v>
      </c>
      <c r="H14" s="28">
        <v>54432</v>
      </c>
      <c r="I14" s="28">
        <v>80147</v>
      </c>
      <c r="J14" s="28">
        <v>81404</v>
      </c>
      <c r="K14" s="28">
        <v>81455</v>
      </c>
      <c r="L14" s="29">
        <v>81478</v>
      </c>
      <c r="N14" s="93"/>
      <c r="O14" s="96"/>
      <c r="P14" s="5">
        <v>0.75</v>
      </c>
      <c r="Q14" s="18">
        <f t="shared" si="0"/>
        <v>1.3475824071435356</v>
      </c>
      <c r="R14" s="12">
        <f t="shared" si="1"/>
        <v>1.3838653392179001</v>
      </c>
      <c r="S14" s="12">
        <f t="shared" si="2"/>
        <v>1.4711296318503417</v>
      </c>
      <c r="T14" s="12">
        <f t="shared" si="3"/>
        <v>1.5056400646678425</v>
      </c>
      <c r="U14" s="12">
        <f t="shared" si="4"/>
        <v>1.4317316930140866</v>
      </c>
      <c r="V14" s="12">
        <f t="shared" si="5"/>
        <v>1.6129059997051742</v>
      </c>
      <c r="W14" s="12">
        <f t="shared" si="6"/>
        <v>1.6096986065925971</v>
      </c>
      <c r="X14" s="19">
        <f t="shared" si="7"/>
        <v>1.6116006774834926</v>
      </c>
    </row>
    <row r="15" spans="2:24" ht="15" customHeight="1" thickBot="1">
      <c r="B15" s="88"/>
      <c r="C15" s="91"/>
      <c r="D15" s="6">
        <v>1</v>
      </c>
      <c r="E15" s="30">
        <v>12155</v>
      </c>
      <c r="F15" s="31">
        <v>23847</v>
      </c>
      <c r="G15" s="31">
        <v>43845</v>
      </c>
      <c r="H15" s="31">
        <v>78841</v>
      </c>
      <c r="I15" s="31">
        <v>144177</v>
      </c>
      <c r="J15" s="31">
        <v>249358</v>
      </c>
      <c r="K15" s="31">
        <v>352365</v>
      </c>
      <c r="L15" s="32">
        <v>410601</v>
      </c>
      <c r="N15" s="94"/>
      <c r="O15" s="97"/>
      <c r="P15" s="6">
        <v>1</v>
      </c>
      <c r="Q15" s="20">
        <f t="shared" si="0"/>
        <v>1.3177293294940353</v>
      </c>
      <c r="R15" s="21">
        <f t="shared" si="1"/>
        <v>1.3255755440935966</v>
      </c>
      <c r="S15" s="21">
        <f t="shared" si="2"/>
        <v>1.4033071045729273</v>
      </c>
      <c r="T15" s="21">
        <f t="shared" si="3"/>
        <v>1.4782537004857879</v>
      </c>
      <c r="U15" s="21">
        <f t="shared" si="4"/>
        <v>1.4513271881090604</v>
      </c>
      <c r="V15" s="21">
        <f t="shared" si="5"/>
        <v>1.3540812807289118</v>
      </c>
      <c r="W15" s="21">
        <f t="shared" si="6"/>
        <v>1.305648971946703</v>
      </c>
      <c r="X15" s="22">
        <f t="shared" si="7"/>
        <v>1.2512244246847912</v>
      </c>
    </row>
    <row r="16" spans="2:24" ht="15" customHeight="1">
      <c r="B16" s="83" t="s">
        <v>9</v>
      </c>
      <c r="C16" s="98" t="s">
        <v>6</v>
      </c>
      <c r="D16" s="4">
        <v>0.25</v>
      </c>
      <c r="E16" s="24">
        <v>25</v>
      </c>
      <c r="F16" s="25">
        <v>13</v>
      </c>
      <c r="G16" s="25">
        <v>13</v>
      </c>
      <c r="H16" s="25">
        <v>14</v>
      </c>
      <c r="I16" s="25">
        <v>78</v>
      </c>
      <c r="J16" s="25">
        <v>394</v>
      </c>
      <c r="K16" s="25">
        <v>764</v>
      </c>
      <c r="L16" s="26">
        <v>2992</v>
      </c>
      <c r="N16" s="86" t="s">
        <v>9</v>
      </c>
      <c r="O16" s="98" t="s">
        <v>6</v>
      </c>
      <c r="P16" s="4">
        <v>0.25</v>
      </c>
      <c r="Q16" s="15">
        <f t="shared" si="0"/>
        <v>0.44</v>
      </c>
      <c r="R16" s="16">
        <f t="shared" si="1"/>
        <v>1</v>
      </c>
      <c r="S16" s="16">
        <f t="shared" si="2"/>
        <v>1.1538461538461537</v>
      </c>
      <c r="T16" s="16">
        <f t="shared" si="3"/>
        <v>1.2142857142857142</v>
      </c>
      <c r="U16" s="60">
        <f t="shared" si="4"/>
        <v>0.24358974358974358</v>
      </c>
      <c r="V16" s="16">
        <f t="shared" si="5"/>
        <v>6.0913705583756347E-2</v>
      </c>
      <c r="W16" s="16">
        <f t="shared" si="6"/>
        <v>7.4607329842931933E-2</v>
      </c>
      <c r="X16" s="17">
        <f t="shared" si="7"/>
        <v>1.9050802139037433E-2</v>
      </c>
    </row>
    <row r="17" spans="2:24" ht="15" customHeight="1">
      <c r="B17" s="93"/>
      <c r="C17" s="96"/>
      <c r="D17" s="5">
        <v>0.5</v>
      </c>
      <c r="E17" s="27">
        <v>22</v>
      </c>
      <c r="F17" s="28">
        <v>14</v>
      </c>
      <c r="G17" s="28">
        <v>13</v>
      </c>
      <c r="H17" s="28">
        <v>73</v>
      </c>
      <c r="I17" s="28">
        <v>326</v>
      </c>
      <c r="J17" s="28">
        <v>716</v>
      </c>
      <c r="K17" s="28">
        <v>1560</v>
      </c>
      <c r="L17" s="29">
        <v>4704</v>
      </c>
      <c r="N17" s="87"/>
      <c r="O17" s="96"/>
      <c r="P17" s="5">
        <v>0.5</v>
      </c>
      <c r="Q17" s="18">
        <f t="shared" si="0"/>
        <v>0.5</v>
      </c>
      <c r="R17" s="59">
        <f t="shared" si="1"/>
        <v>0.9285714285714286</v>
      </c>
      <c r="S17" s="12">
        <f t="shared" si="2"/>
        <v>1.1538461538461537</v>
      </c>
      <c r="T17" s="59">
        <f t="shared" si="3"/>
        <v>0.23287671232876711</v>
      </c>
      <c r="U17" s="12">
        <f t="shared" si="4"/>
        <v>0.51840490797546013</v>
      </c>
      <c r="V17" s="12">
        <f t="shared" si="5"/>
        <v>0.67877094972067042</v>
      </c>
      <c r="W17" s="12">
        <f t="shared" si="6"/>
        <v>0.69230769230769229</v>
      </c>
      <c r="X17" s="19">
        <f t="shared" si="7"/>
        <v>0.77891156462585032</v>
      </c>
    </row>
    <row r="18" spans="2:24" ht="15" customHeight="1">
      <c r="B18" s="93"/>
      <c r="C18" s="96"/>
      <c r="D18" s="5">
        <v>0.75</v>
      </c>
      <c r="E18" s="27">
        <v>22</v>
      </c>
      <c r="F18" s="28">
        <v>15</v>
      </c>
      <c r="G18" s="28">
        <v>54</v>
      </c>
      <c r="H18" s="28">
        <v>189</v>
      </c>
      <c r="I18" s="28">
        <v>374</v>
      </c>
      <c r="J18" s="28">
        <v>756</v>
      </c>
      <c r="K18" s="28">
        <v>1528</v>
      </c>
      <c r="L18" s="29">
        <v>5408</v>
      </c>
      <c r="N18" s="87"/>
      <c r="O18" s="96"/>
      <c r="P18" s="5">
        <v>0.75</v>
      </c>
      <c r="Q18" s="18">
        <f t="shared" si="0"/>
        <v>0.5</v>
      </c>
      <c r="R18" s="12">
        <f t="shared" si="1"/>
        <v>0.8666666666666667</v>
      </c>
      <c r="S18" s="59">
        <f t="shared" si="2"/>
        <v>0.27777777777777779</v>
      </c>
      <c r="T18" s="12">
        <f t="shared" si="3"/>
        <v>0.63492063492063489</v>
      </c>
      <c r="U18" s="12">
        <f t="shared" si="4"/>
        <v>0.64973262032085566</v>
      </c>
      <c r="V18" s="12">
        <f t="shared" si="5"/>
        <v>0.64814814814814814</v>
      </c>
      <c r="W18" s="12">
        <f t="shared" si="6"/>
        <v>0.6413612565445026</v>
      </c>
      <c r="X18" s="19">
        <f t="shared" si="7"/>
        <v>0.70710059171597628</v>
      </c>
    </row>
    <row r="19" spans="2:24" ht="15" customHeight="1" thickBot="1">
      <c r="B19" s="93"/>
      <c r="C19" s="97"/>
      <c r="D19" s="6">
        <v>1</v>
      </c>
      <c r="E19" s="30">
        <v>27</v>
      </c>
      <c r="F19" s="31">
        <v>47</v>
      </c>
      <c r="G19" s="31">
        <v>96</v>
      </c>
      <c r="H19" s="31">
        <v>193</v>
      </c>
      <c r="I19" s="31">
        <v>382</v>
      </c>
      <c r="J19" s="31">
        <v>764</v>
      </c>
      <c r="K19" s="31">
        <v>1560</v>
      </c>
      <c r="L19" s="32">
        <v>6112</v>
      </c>
      <c r="N19" s="87"/>
      <c r="O19" s="97"/>
      <c r="P19" s="6">
        <v>1</v>
      </c>
      <c r="Q19" s="20">
        <f t="shared" si="0"/>
        <v>0.40740740740740738</v>
      </c>
      <c r="R19" s="21">
        <f t="shared" si="1"/>
        <v>0.68085106382978722</v>
      </c>
      <c r="S19" s="21">
        <f t="shared" si="2"/>
        <v>0.66666666666666663</v>
      </c>
      <c r="T19" s="21">
        <f t="shared" si="3"/>
        <v>0.51813471502590669</v>
      </c>
      <c r="U19" s="21">
        <f t="shared" si="4"/>
        <v>0.52617801047120416</v>
      </c>
      <c r="V19" s="21">
        <f t="shared" si="5"/>
        <v>0.48952879581151831</v>
      </c>
      <c r="W19" s="21">
        <f t="shared" si="6"/>
        <v>0.4794871794871795</v>
      </c>
      <c r="X19" s="22">
        <f t="shared" si="7"/>
        <v>0.47905759162303663</v>
      </c>
    </row>
    <row r="20" spans="2:24" ht="15" customHeight="1">
      <c r="B20" s="93"/>
      <c r="C20" s="98" t="s">
        <v>7</v>
      </c>
      <c r="D20" s="4">
        <v>0.25</v>
      </c>
      <c r="E20" s="24">
        <v>34</v>
      </c>
      <c r="F20" s="25">
        <v>18</v>
      </c>
      <c r="G20" s="25">
        <v>17</v>
      </c>
      <c r="H20" s="25">
        <v>18</v>
      </c>
      <c r="I20" s="25">
        <v>147</v>
      </c>
      <c r="J20" s="25">
        <v>532</v>
      </c>
      <c r="K20" s="25">
        <v>932</v>
      </c>
      <c r="L20" s="26">
        <v>3376</v>
      </c>
      <c r="N20" s="87"/>
      <c r="O20" s="98" t="s">
        <v>7</v>
      </c>
      <c r="P20" s="4">
        <v>0.25</v>
      </c>
      <c r="Q20" s="15">
        <f t="shared" si="0"/>
        <v>0.47058823529411764</v>
      </c>
      <c r="R20" s="16">
        <f t="shared" si="1"/>
        <v>0.94444444444444442</v>
      </c>
      <c r="S20" s="16">
        <f t="shared" si="2"/>
        <v>1.1176470588235294</v>
      </c>
      <c r="T20" s="16">
        <f t="shared" si="3"/>
        <v>1.2777777777777777</v>
      </c>
      <c r="U20" s="60">
        <f t="shared" si="4"/>
        <v>0.18367346938775511</v>
      </c>
      <c r="V20" s="16">
        <f t="shared" si="5"/>
        <v>0.19736842105263158</v>
      </c>
      <c r="W20" s="16">
        <f t="shared" si="6"/>
        <v>0.14914163090128754</v>
      </c>
      <c r="X20" s="17">
        <f t="shared" si="7"/>
        <v>4.1765402843601897E-2</v>
      </c>
    </row>
    <row r="21" spans="2:24" ht="15" customHeight="1">
      <c r="B21" s="93"/>
      <c r="C21" s="96"/>
      <c r="D21" s="5">
        <v>0.5</v>
      </c>
      <c r="E21" s="27">
        <v>31</v>
      </c>
      <c r="F21" s="28">
        <v>19</v>
      </c>
      <c r="G21" s="28">
        <v>18</v>
      </c>
      <c r="H21" s="28">
        <v>120</v>
      </c>
      <c r="I21" s="28">
        <v>402</v>
      </c>
      <c r="J21" s="28">
        <v>812</v>
      </c>
      <c r="K21" s="28">
        <v>1688</v>
      </c>
      <c r="L21" s="29">
        <v>5280</v>
      </c>
      <c r="N21" s="87"/>
      <c r="O21" s="96"/>
      <c r="P21" s="5">
        <v>0.5</v>
      </c>
      <c r="Q21" s="18">
        <f t="shared" si="0"/>
        <v>0.5161290322580645</v>
      </c>
      <c r="R21" s="12">
        <f t="shared" si="1"/>
        <v>0.89473684210526316</v>
      </c>
      <c r="S21" s="12">
        <f t="shared" si="2"/>
        <v>1.0555555555555556</v>
      </c>
      <c r="T21" s="12">
        <f t="shared" si="3"/>
        <v>0.19166666666666668</v>
      </c>
      <c r="U21" s="12">
        <f t="shared" si="4"/>
        <v>0.54975124378109452</v>
      </c>
      <c r="V21" s="12">
        <f t="shared" si="5"/>
        <v>0.75369458128078815</v>
      </c>
      <c r="W21" s="12">
        <f t="shared" si="6"/>
        <v>0.77251184834123221</v>
      </c>
      <c r="X21" s="19">
        <f t="shared" si="7"/>
        <v>0.73030303030303034</v>
      </c>
    </row>
    <row r="22" spans="2:24" ht="15" customHeight="1">
      <c r="B22" s="93"/>
      <c r="C22" s="96"/>
      <c r="D22" s="5">
        <v>0.75</v>
      </c>
      <c r="E22" s="27">
        <v>31</v>
      </c>
      <c r="F22" s="28">
        <v>20</v>
      </c>
      <c r="G22" s="28">
        <v>70</v>
      </c>
      <c r="H22" s="28">
        <v>203</v>
      </c>
      <c r="I22" s="28">
        <v>406</v>
      </c>
      <c r="J22" s="28">
        <v>812</v>
      </c>
      <c r="K22" s="28">
        <v>1624</v>
      </c>
      <c r="L22" s="29">
        <v>5792</v>
      </c>
      <c r="N22" s="87"/>
      <c r="O22" s="96"/>
      <c r="P22" s="5">
        <v>0.75</v>
      </c>
      <c r="Q22" s="18">
        <f t="shared" si="0"/>
        <v>0.5161290322580645</v>
      </c>
      <c r="R22" s="59">
        <f t="shared" si="1"/>
        <v>0.9</v>
      </c>
      <c r="S22" s="12">
        <f t="shared" si="2"/>
        <v>0.2857142857142857</v>
      </c>
      <c r="T22" s="12">
        <f t="shared" si="3"/>
        <v>0.61576354679802958</v>
      </c>
      <c r="U22" s="12">
        <f t="shared" si="4"/>
        <v>0.61330049261083741</v>
      </c>
      <c r="V22" s="12">
        <f t="shared" si="5"/>
        <v>0.60837438423645318</v>
      </c>
      <c r="W22" s="12">
        <f t="shared" si="6"/>
        <v>0.60837438423645318</v>
      </c>
      <c r="X22" s="19">
        <f t="shared" si="7"/>
        <v>0.67127071823204421</v>
      </c>
    </row>
    <row r="23" spans="2:24" ht="15" customHeight="1" thickBot="1">
      <c r="B23" s="93"/>
      <c r="C23" s="97"/>
      <c r="D23" s="6">
        <v>1</v>
      </c>
      <c r="E23" s="30">
        <v>32</v>
      </c>
      <c r="F23" s="31">
        <v>52</v>
      </c>
      <c r="G23" s="31">
        <v>100</v>
      </c>
      <c r="H23" s="31">
        <v>197</v>
      </c>
      <c r="I23" s="31">
        <v>386</v>
      </c>
      <c r="J23" s="31">
        <v>772</v>
      </c>
      <c r="K23" s="31">
        <v>1560</v>
      </c>
      <c r="L23" s="32">
        <v>7648</v>
      </c>
      <c r="N23" s="87"/>
      <c r="O23" s="97"/>
      <c r="P23" s="6">
        <v>1</v>
      </c>
      <c r="Q23" s="20">
        <f t="shared" si="0"/>
        <v>0.5</v>
      </c>
      <c r="R23" s="21">
        <f t="shared" si="1"/>
        <v>0.63461538461538458</v>
      </c>
      <c r="S23" s="21">
        <f t="shared" si="2"/>
        <v>0.67</v>
      </c>
      <c r="T23" s="21">
        <f t="shared" si="3"/>
        <v>0.6091370558375635</v>
      </c>
      <c r="U23" s="21">
        <f t="shared" si="4"/>
        <v>0.6295336787564767</v>
      </c>
      <c r="V23" s="21">
        <f t="shared" si="5"/>
        <v>0.50518134715025909</v>
      </c>
      <c r="W23" s="21">
        <f t="shared" si="6"/>
        <v>0.54102564102564099</v>
      </c>
      <c r="X23" s="22">
        <f t="shared" si="7"/>
        <v>0.44142259414225943</v>
      </c>
    </row>
    <row r="24" spans="2:24" ht="15" customHeight="1">
      <c r="B24" s="93"/>
      <c r="C24" s="95" t="s">
        <v>8</v>
      </c>
      <c r="D24" s="7">
        <v>0.25</v>
      </c>
      <c r="E24" s="33">
        <v>3507</v>
      </c>
      <c r="F24" s="34">
        <v>6485</v>
      </c>
      <c r="G24" s="34">
        <v>11114</v>
      </c>
      <c r="H24" s="34">
        <v>18148</v>
      </c>
      <c r="I24" s="34">
        <v>26709</v>
      </c>
      <c r="J24" s="34">
        <v>27127</v>
      </c>
      <c r="K24" s="34">
        <v>27141</v>
      </c>
      <c r="L24" s="35">
        <v>27165</v>
      </c>
      <c r="N24" s="87"/>
      <c r="O24" s="89" t="s">
        <v>8</v>
      </c>
      <c r="P24" s="4">
        <v>0.25</v>
      </c>
      <c r="Q24" s="15">
        <f t="shared" si="0"/>
        <v>1.3495865412033077</v>
      </c>
      <c r="R24" s="16">
        <f t="shared" si="1"/>
        <v>1.3862760215882806</v>
      </c>
      <c r="S24" s="16">
        <f t="shared" si="2"/>
        <v>1.4722872053266152</v>
      </c>
      <c r="T24" s="16">
        <f t="shared" si="3"/>
        <v>1.5059510689883182</v>
      </c>
      <c r="U24" s="16">
        <f t="shared" si="4"/>
        <v>1.4325133850013103</v>
      </c>
      <c r="V24" s="16">
        <f t="shared" si="5"/>
        <v>1.6138533564345485</v>
      </c>
      <c r="W24" s="16">
        <f t="shared" si="6"/>
        <v>1.6106628348255407</v>
      </c>
      <c r="X24" s="17">
        <f t="shared" si="7"/>
        <v>1.6113749309773606</v>
      </c>
    </row>
    <row r="25" spans="2:24" ht="15" customHeight="1">
      <c r="B25" s="93"/>
      <c r="C25" s="96"/>
      <c r="D25" s="5">
        <v>0.5</v>
      </c>
      <c r="E25" s="27">
        <v>8547</v>
      </c>
      <c r="F25" s="28">
        <v>15191</v>
      </c>
      <c r="G25" s="28">
        <v>24596</v>
      </c>
      <c r="H25" s="28">
        <v>34601</v>
      </c>
      <c r="I25" s="28">
        <v>34946</v>
      </c>
      <c r="J25" s="28">
        <v>34797</v>
      </c>
      <c r="K25" s="28">
        <v>34666</v>
      </c>
      <c r="L25" s="29">
        <v>34585</v>
      </c>
      <c r="N25" s="87"/>
      <c r="O25" s="90"/>
      <c r="P25" s="5">
        <v>0.5</v>
      </c>
      <c r="Q25" s="18">
        <f t="shared" si="0"/>
        <v>1.4200304200304201</v>
      </c>
      <c r="R25" s="12">
        <f t="shared" si="1"/>
        <v>1.4634322954380883</v>
      </c>
      <c r="S25" s="12">
        <f t="shared" si="2"/>
        <v>1.5282566270938365</v>
      </c>
      <c r="T25" s="12">
        <f t="shared" si="3"/>
        <v>1.5820930030923961</v>
      </c>
      <c r="U25" s="12">
        <f t="shared" si="4"/>
        <v>1.8130830424082871</v>
      </c>
      <c r="V25" s="12">
        <f t="shared" si="5"/>
        <v>1.8187200045980976</v>
      </c>
      <c r="W25" s="12">
        <f t="shared" si="6"/>
        <v>1.8267466682051579</v>
      </c>
      <c r="X25" s="19">
        <f t="shared" si="7"/>
        <v>1.947549515685991</v>
      </c>
    </row>
    <row r="26" spans="2:24" ht="15" customHeight="1">
      <c r="B26" s="93"/>
      <c r="C26" s="96"/>
      <c r="D26" s="5">
        <v>0.75</v>
      </c>
      <c r="E26" s="27">
        <v>17776</v>
      </c>
      <c r="F26" s="28">
        <v>30318</v>
      </c>
      <c r="G26" s="28">
        <v>40140</v>
      </c>
      <c r="H26" s="28">
        <v>40220</v>
      </c>
      <c r="I26" s="28">
        <v>40408</v>
      </c>
      <c r="J26" s="28">
        <v>40596</v>
      </c>
      <c r="K26" s="28">
        <v>40675</v>
      </c>
      <c r="L26" s="29">
        <v>40742</v>
      </c>
      <c r="N26" s="87"/>
      <c r="O26" s="90"/>
      <c r="P26" s="5">
        <v>0.75</v>
      </c>
      <c r="Q26" s="18">
        <f t="shared" si="0"/>
        <v>1.4765976597659767</v>
      </c>
      <c r="R26" s="12">
        <f t="shared" si="1"/>
        <v>1.4941948677353387</v>
      </c>
      <c r="S26" s="12">
        <f t="shared" si="2"/>
        <v>1.7350772296960637</v>
      </c>
      <c r="T26" s="12">
        <f t="shared" si="3"/>
        <v>1.9369716558925907</v>
      </c>
      <c r="U26" s="12">
        <f t="shared" si="4"/>
        <v>1.931473965551376</v>
      </c>
      <c r="V26" s="12">
        <f t="shared" si="5"/>
        <v>1.9196472558872795</v>
      </c>
      <c r="W26" s="12">
        <f t="shared" si="6"/>
        <v>1.9164843269821759</v>
      </c>
      <c r="X26" s="19">
        <f t="shared" si="7"/>
        <v>1.9396936821952775</v>
      </c>
    </row>
    <row r="27" spans="2:24" ht="15" customHeight="1" thickBot="1">
      <c r="B27" s="94"/>
      <c r="C27" s="97"/>
      <c r="D27" s="6">
        <v>1</v>
      </c>
      <c r="E27" s="30">
        <v>42048</v>
      </c>
      <c r="F27" s="31">
        <v>42159</v>
      </c>
      <c r="G27" s="31">
        <v>42219</v>
      </c>
      <c r="H27" s="31">
        <v>42245</v>
      </c>
      <c r="I27" s="31">
        <v>42192</v>
      </c>
      <c r="J27" s="31">
        <v>42181</v>
      </c>
      <c r="K27" s="31">
        <v>42167</v>
      </c>
      <c r="L27" s="32">
        <v>42159</v>
      </c>
      <c r="N27" s="88"/>
      <c r="O27" s="91"/>
      <c r="P27" s="6">
        <v>1</v>
      </c>
      <c r="Q27" s="20">
        <f t="shared" si="0"/>
        <v>2.0809075342465753</v>
      </c>
      <c r="R27" s="21">
        <f t="shared" si="1"/>
        <v>2.0923171801987714</v>
      </c>
      <c r="S27" s="21">
        <f t="shared" si="2"/>
        <v>2.0892726023828132</v>
      </c>
      <c r="T27" s="21">
        <f t="shared" si="3"/>
        <v>2.0879867439933721</v>
      </c>
      <c r="U27" s="21">
        <f t="shared" si="4"/>
        <v>2.0905858930602959</v>
      </c>
      <c r="V27" s="21">
        <f t="shared" si="5"/>
        <v>2.0912496147554585</v>
      </c>
      <c r="W27" s="21">
        <f t="shared" si="6"/>
        <v>2.0919202219745299</v>
      </c>
      <c r="X27" s="22">
        <f t="shared" si="7"/>
        <v>2.0922934604710739</v>
      </c>
    </row>
    <row r="28" spans="2:24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2:24" ht="15" customHeight="1" thickBot="1">
      <c r="B29" s="112" t="s">
        <v>74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5"/>
      <c r="N29" s="13" t="s">
        <v>20</v>
      </c>
      <c r="O29" s="14">
        <f>(COUNTIF(Q4:X11,"&lt;1.1")+COUNTIF(Q16:X23,"&lt;1.1"))/(COUNT(Q4:X11)+COUNT(Q16:X23))</f>
        <v>0.9609375</v>
      </c>
      <c r="P29" s="109" t="s">
        <v>19</v>
      </c>
      <c r="Q29" s="110"/>
      <c r="R29" s="110"/>
      <c r="S29" s="110"/>
      <c r="T29" s="111"/>
    </row>
    <row r="30" spans="2:24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3" t="s">
        <v>17</v>
      </c>
      <c r="N30" s="13" t="s">
        <v>21</v>
      </c>
      <c r="O30" s="23">
        <f>(COUNTIF(Q4:X11,"&lt;1.1"))/(COUNT(Q4:X11))</f>
        <v>1</v>
      </c>
      <c r="P30" s="109" t="s">
        <v>19</v>
      </c>
      <c r="Q30" s="110"/>
      <c r="R30" s="110"/>
      <c r="S30" s="110"/>
      <c r="T30" s="111"/>
    </row>
    <row r="31" spans="2:24" ht="15" customHeight="1" thickBot="1">
      <c r="B31" s="92" t="s">
        <v>5</v>
      </c>
      <c r="C31" s="98" t="s">
        <v>6</v>
      </c>
      <c r="D31" s="4">
        <v>0.25</v>
      </c>
      <c r="E31" s="36">
        <v>266</v>
      </c>
      <c r="F31" s="37">
        <v>314</v>
      </c>
      <c r="G31" s="37">
        <v>382</v>
      </c>
      <c r="H31" s="37">
        <v>414</v>
      </c>
      <c r="I31" s="37">
        <v>430</v>
      </c>
      <c r="J31" s="37">
        <v>438</v>
      </c>
      <c r="K31" s="37">
        <v>442</v>
      </c>
      <c r="L31" s="38">
        <v>1688</v>
      </c>
      <c r="N31" s="13" t="s">
        <v>22</v>
      </c>
      <c r="O31" s="23">
        <f>COUNTIF(Q16:X23,"&lt;1.1")/+COUNT(Q16:X23)</f>
        <v>0.921875</v>
      </c>
      <c r="P31" s="109" t="s">
        <v>19</v>
      </c>
      <c r="Q31" s="110"/>
      <c r="R31" s="110"/>
      <c r="S31" s="110"/>
      <c r="T31" s="111"/>
    </row>
    <row r="32" spans="2:24" ht="15" customHeight="1">
      <c r="B32" s="93"/>
      <c r="C32" s="96"/>
      <c r="D32" s="5">
        <v>0.5</v>
      </c>
      <c r="E32" s="39">
        <v>211</v>
      </c>
      <c r="F32" s="40">
        <v>258</v>
      </c>
      <c r="G32" s="40">
        <v>310</v>
      </c>
      <c r="H32" s="40">
        <v>378</v>
      </c>
      <c r="I32" s="40">
        <v>438</v>
      </c>
      <c r="J32" s="40">
        <v>450</v>
      </c>
      <c r="K32" s="40">
        <v>454</v>
      </c>
      <c r="L32" s="41">
        <v>1768</v>
      </c>
    </row>
    <row r="33" spans="2:12" ht="15" customHeight="1">
      <c r="B33" s="93"/>
      <c r="C33" s="96"/>
      <c r="D33" s="5">
        <v>0.75</v>
      </c>
      <c r="E33" s="39">
        <v>124</v>
      </c>
      <c r="F33" s="40">
        <v>197</v>
      </c>
      <c r="G33" s="40">
        <v>258</v>
      </c>
      <c r="H33" s="40">
        <v>314</v>
      </c>
      <c r="I33" s="40">
        <v>398</v>
      </c>
      <c r="J33" s="40">
        <v>532</v>
      </c>
      <c r="K33" s="40">
        <v>804</v>
      </c>
      <c r="L33" s="41">
        <v>2320</v>
      </c>
    </row>
    <row r="34" spans="2:12" ht="15" customHeight="1" thickBot="1">
      <c r="B34" s="93"/>
      <c r="C34" s="97"/>
      <c r="D34" s="6">
        <v>1</v>
      </c>
      <c r="E34" s="42">
        <v>69</v>
      </c>
      <c r="F34" s="43">
        <v>89</v>
      </c>
      <c r="G34" s="43">
        <v>105</v>
      </c>
      <c r="H34" s="43">
        <v>121</v>
      </c>
      <c r="I34" s="43">
        <v>159</v>
      </c>
      <c r="J34" s="43">
        <v>241</v>
      </c>
      <c r="K34" s="43">
        <v>442</v>
      </c>
      <c r="L34" s="44">
        <v>1012</v>
      </c>
    </row>
    <row r="35" spans="2:12" ht="15" customHeight="1">
      <c r="B35" s="93"/>
      <c r="C35" s="98" t="s">
        <v>7</v>
      </c>
      <c r="D35" s="4">
        <v>0.25</v>
      </c>
      <c r="E35" s="36">
        <v>556</v>
      </c>
      <c r="F35" s="37">
        <v>852</v>
      </c>
      <c r="G35" s="37">
        <v>884</v>
      </c>
      <c r="H35" s="37">
        <v>924</v>
      </c>
      <c r="I35" s="37">
        <v>972</v>
      </c>
      <c r="J35" s="37">
        <v>980</v>
      </c>
      <c r="K35" s="37">
        <v>988</v>
      </c>
      <c r="L35" s="38">
        <v>1960</v>
      </c>
    </row>
    <row r="36" spans="2:12" ht="15" customHeight="1">
      <c r="B36" s="93"/>
      <c r="C36" s="96"/>
      <c r="D36" s="5">
        <v>0.5</v>
      </c>
      <c r="E36" s="39">
        <v>540</v>
      </c>
      <c r="F36" s="40">
        <v>564</v>
      </c>
      <c r="G36" s="40">
        <v>844</v>
      </c>
      <c r="H36" s="40">
        <v>884</v>
      </c>
      <c r="I36" s="40">
        <v>932</v>
      </c>
      <c r="J36" s="40">
        <v>1064</v>
      </c>
      <c r="K36" s="40">
        <v>1176</v>
      </c>
      <c r="L36" s="41">
        <v>2320</v>
      </c>
    </row>
    <row r="37" spans="2:12" ht="15" customHeight="1">
      <c r="B37" s="93"/>
      <c r="C37" s="96"/>
      <c r="D37" s="5">
        <v>0.75</v>
      </c>
      <c r="E37" s="39">
        <v>490</v>
      </c>
      <c r="F37" s="40">
        <v>524</v>
      </c>
      <c r="G37" s="40">
        <v>556</v>
      </c>
      <c r="H37" s="40">
        <v>708</v>
      </c>
      <c r="I37" s="40">
        <v>876</v>
      </c>
      <c r="J37" s="40">
        <v>980</v>
      </c>
      <c r="K37" s="40">
        <v>1336</v>
      </c>
      <c r="L37" s="41">
        <v>3120</v>
      </c>
    </row>
    <row r="38" spans="2:12" ht="15" customHeight="1" thickBot="1">
      <c r="B38" s="93"/>
      <c r="C38" s="97"/>
      <c r="D38" s="6">
        <v>1</v>
      </c>
      <c r="E38" s="42">
        <v>90</v>
      </c>
      <c r="F38" s="43">
        <v>120</v>
      </c>
      <c r="G38" s="43">
        <v>153</v>
      </c>
      <c r="H38" s="43">
        <v>193</v>
      </c>
      <c r="I38" s="43">
        <v>266</v>
      </c>
      <c r="J38" s="43">
        <v>426</v>
      </c>
      <c r="K38" s="43">
        <v>796</v>
      </c>
      <c r="L38" s="44">
        <v>1672</v>
      </c>
    </row>
    <row r="39" spans="2:12" ht="15" customHeight="1">
      <c r="B39" s="93"/>
      <c r="C39" s="98" t="s">
        <v>8</v>
      </c>
      <c r="D39" s="4">
        <v>0.25</v>
      </c>
      <c r="E39" s="36">
        <v>8749</v>
      </c>
      <c r="F39" s="37">
        <v>15097</v>
      </c>
      <c r="G39" s="37">
        <v>23199</v>
      </c>
      <c r="H39" s="37">
        <v>25965</v>
      </c>
      <c r="I39" s="37">
        <v>25998</v>
      </c>
      <c r="J39" s="37">
        <v>25985</v>
      </c>
      <c r="K39" s="37">
        <v>25984</v>
      </c>
      <c r="L39" s="38">
        <v>26333</v>
      </c>
    </row>
    <row r="40" spans="2:12" ht="15" customHeight="1">
      <c r="B40" s="93"/>
      <c r="C40" s="96"/>
      <c r="D40" s="5">
        <v>0.5</v>
      </c>
      <c r="E40" s="39">
        <v>12126</v>
      </c>
      <c r="F40" s="40">
        <v>22219</v>
      </c>
      <c r="G40" s="40">
        <v>37573</v>
      </c>
      <c r="H40" s="40">
        <v>54761</v>
      </c>
      <c r="I40" s="40">
        <v>63380</v>
      </c>
      <c r="J40" s="40">
        <v>63320</v>
      </c>
      <c r="K40" s="40">
        <v>63327</v>
      </c>
      <c r="L40" s="41">
        <v>67364</v>
      </c>
    </row>
    <row r="41" spans="2:12" ht="15" customHeight="1">
      <c r="B41" s="93"/>
      <c r="C41" s="96"/>
      <c r="D41" s="5">
        <v>0.75</v>
      </c>
      <c r="E41" s="39">
        <v>14186</v>
      </c>
      <c r="F41" s="40">
        <v>26966</v>
      </c>
      <c r="G41" s="40">
        <v>49071</v>
      </c>
      <c r="H41" s="40">
        <v>81955</v>
      </c>
      <c r="I41" s="40">
        <v>114749</v>
      </c>
      <c r="J41" s="40">
        <v>131297</v>
      </c>
      <c r="K41" s="40">
        <v>131118</v>
      </c>
      <c r="L41" s="41">
        <v>131310</v>
      </c>
    </row>
    <row r="42" spans="2:12" ht="15" customHeight="1" thickBot="1">
      <c r="B42" s="94"/>
      <c r="C42" s="97"/>
      <c r="D42" s="6">
        <v>1</v>
      </c>
      <c r="E42" s="42">
        <v>16017</v>
      </c>
      <c r="F42" s="43">
        <v>31611</v>
      </c>
      <c r="G42" s="43">
        <v>61528</v>
      </c>
      <c r="H42" s="43">
        <v>116547</v>
      </c>
      <c r="I42" s="43">
        <v>209248</v>
      </c>
      <c r="J42" s="43">
        <v>337651</v>
      </c>
      <c r="K42" s="43">
        <v>460065</v>
      </c>
      <c r="L42" s="44">
        <v>513754</v>
      </c>
    </row>
    <row r="43" spans="2:12" ht="15" customHeight="1">
      <c r="B43" s="83" t="s">
        <v>9</v>
      </c>
      <c r="C43" s="98" t="s">
        <v>6</v>
      </c>
      <c r="D43" s="4">
        <v>0.25</v>
      </c>
      <c r="E43" s="36">
        <v>11</v>
      </c>
      <c r="F43" s="37">
        <v>13</v>
      </c>
      <c r="G43" s="37">
        <v>15</v>
      </c>
      <c r="H43" s="37">
        <v>17</v>
      </c>
      <c r="I43" s="37">
        <v>19</v>
      </c>
      <c r="J43" s="37">
        <v>24</v>
      </c>
      <c r="K43" s="37">
        <v>57</v>
      </c>
      <c r="L43" s="38">
        <v>57</v>
      </c>
    </row>
    <row r="44" spans="2:12" ht="15" customHeight="1">
      <c r="B44" s="93"/>
      <c r="C44" s="96"/>
      <c r="D44" s="5">
        <v>0.5</v>
      </c>
      <c r="E44" s="39">
        <v>11</v>
      </c>
      <c r="F44" s="40">
        <v>13</v>
      </c>
      <c r="G44" s="40">
        <v>15</v>
      </c>
      <c r="H44" s="40">
        <v>17</v>
      </c>
      <c r="I44" s="40">
        <v>169</v>
      </c>
      <c r="J44" s="40">
        <v>486</v>
      </c>
      <c r="K44" s="40">
        <v>1080</v>
      </c>
      <c r="L44" s="41">
        <v>3664</v>
      </c>
    </row>
    <row r="45" spans="2:12" ht="15" customHeight="1">
      <c r="B45" s="93"/>
      <c r="C45" s="96"/>
      <c r="D45" s="5">
        <v>0.75</v>
      </c>
      <c r="E45" s="39">
        <v>11</v>
      </c>
      <c r="F45" s="40">
        <v>13</v>
      </c>
      <c r="G45" s="40">
        <v>15</v>
      </c>
      <c r="H45" s="40">
        <v>120</v>
      </c>
      <c r="I45" s="40">
        <v>243</v>
      </c>
      <c r="J45" s="40">
        <v>490</v>
      </c>
      <c r="K45" s="40">
        <v>980</v>
      </c>
      <c r="L45" s="41">
        <v>3824</v>
      </c>
    </row>
    <row r="46" spans="2:12" ht="15" customHeight="1" thickBot="1">
      <c r="B46" s="93"/>
      <c r="C46" s="97"/>
      <c r="D46" s="6">
        <v>1</v>
      </c>
      <c r="E46" s="42">
        <v>11</v>
      </c>
      <c r="F46" s="43">
        <v>32</v>
      </c>
      <c r="G46" s="43">
        <v>64</v>
      </c>
      <c r="H46" s="43">
        <v>100</v>
      </c>
      <c r="I46" s="43">
        <v>201</v>
      </c>
      <c r="J46" s="43">
        <v>374</v>
      </c>
      <c r="K46" s="43">
        <v>748</v>
      </c>
      <c r="L46" s="44">
        <v>2928</v>
      </c>
    </row>
    <row r="47" spans="2:12" ht="15" customHeight="1">
      <c r="B47" s="93"/>
      <c r="C47" s="98" t="s">
        <v>7</v>
      </c>
      <c r="D47" s="4">
        <v>0.25</v>
      </c>
      <c r="E47" s="36">
        <v>16</v>
      </c>
      <c r="F47" s="37">
        <v>17</v>
      </c>
      <c r="G47" s="37">
        <v>19</v>
      </c>
      <c r="H47" s="37">
        <v>23</v>
      </c>
      <c r="I47" s="37">
        <v>27</v>
      </c>
      <c r="J47" s="37">
        <v>105</v>
      </c>
      <c r="K47" s="37">
        <v>139</v>
      </c>
      <c r="L47" s="38">
        <v>141</v>
      </c>
    </row>
    <row r="48" spans="2:12" ht="15" customHeight="1">
      <c r="B48" s="93"/>
      <c r="C48" s="96"/>
      <c r="D48" s="5">
        <v>0.5</v>
      </c>
      <c r="E48" s="39">
        <v>16</v>
      </c>
      <c r="F48" s="40">
        <v>17</v>
      </c>
      <c r="G48" s="40">
        <v>19</v>
      </c>
      <c r="H48" s="40">
        <v>23</v>
      </c>
      <c r="I48" s="40">
        <v>221</v>
      </c>
      <c r="J48" s="40">
        <v>612</v>
      </c>
      <c r="K48" s="40">
        <v>1304</v>
      </c>
      <c r="L48" s="41">
        <v>3856</v>
      </c>
    </row>
    <row r="49" spans="2:12" ht="15" customHeight="1">
      <c r="B49" s="93"/>
      <c r="C49" s="96"/>
      <c r="D49" s="5">
        <v>0.75</v>
      </c>
      <c r="E49" s="39">
        <v>16</v>
      </c>
      <c r="F49" s="40">
        <v>18</v>
      </c>
      <c r="G49" s="40">
        <v>20</v>
      </c>
      <c r="H49" s="40">
        <v>125</v>
      </c>
      <c r="I49" s="40">
        <v>249</v>
      </c>
      <c r="J49" s="40">
        <v>494</v>
      </c>
      <c r="K49" s="40">
        <v>988</v>
      </c>
      <c r="L49" s="41">
        <v>3888</v>
      </c>
    </row>
    <row r="50" spans="2:12" ht="15" customHeight="1" thickBot="1">
      <c r="B50" s="93"/>
      <c r="C50" s="97"/>
      <c r="D50" s="6">
        <v>1</v>
      </c>
      <c r="E50" s="42">
        <v>16</v>
      </c>
      <c r="F50" s="43">
        <v>33</v>
      </c>
      <c r="G50" s="43">
        <v>67</v>
      </c>
      <c r="H50" s="43">
        <v>120</v>
      </c>
      <c r="I50" s="43">
        <v>243</v>
      </c>
      <c r="J50" s="43">
        <v>390</v>
      </c>
      <c r="K50" s="43">
        <v>844</v>
      </c>
      <c r="L50" s="44">
        <v>3376</v>
      </c>
    </row>
    <row r="51" spans="2:12" ht="15" customHeight="1">
      <c r="B51" s="93"/>
      <c r="C51" s="98" t="s">
        <v>8</v>
      </c>
      <c r="D51" s="4">
        <v>0.25</v>
      </c>
      <c r="E51" s="24">
        <v>4733</v>
      </c>
      <c r="F51" s="25">
        <v>8990</v>
      </c>
      <c r="G51" s="25">
        <v>16363</v>
      </c>
      <c r="H51" s="25">
        <v>27330</v>
      </c>
      <c r="I51" s="25">
        <v>38261</v>
      </c>
      <c r="J51" s="25">
        <v>43779</v>
      </c>
      <c r="K51" s="25">
        <v>43715</v>
      </c>
      <c r="L51" s="26">
        <v>43773</v>
      </c>
    </row>
    <row r="52" spans="2:12" ht="15" customHeight="1">
      <c r="B52" s="93"/>
      <c r="C52" s="96"/>
      <c r="D52" s="5">
        <v>0.5</v>
      </c>
      <c r="E52" s="27">
        <v>12137</v>
      </c>
      <c r="F52" s="28">
        <v>22231</v>
      </c>
      <c r="G52" s="28">
        <v>37589</v>
      </c>
      <c r="H52" s="28">
        <v>54742</v>
      </c>
      <c r="I52" s="28">
        <v>63360</v>
      </c>
      <c r="J52" s="28">
        <v>63286</v>
      </c>
      <c r="K52" s="28">
        <v>63326</v>
      </c>
      <c r="L52" s="29">
        <v>67356</v>
      </c>
    </row>
    <row r="53" spans="2:12" ht="15" customHeight="1">
      <c r="B53" s="93"/>
      <c r="C53" s="96"/>
      <c r="D53" s="5">
        <v>0.75</v>
      </c>
      <c r="E53" s="27">
        <v>26248</v>
      </c>
      <c r="F53" s="28">
        <v>45301</v>
      </c>
      <c r="G53" s="28">
        <v>69646</v>
      </c>
      <c r="H53" s="28">
        <v>77905</v>
      </c>
      <c r="I53" s="28">
        <v>78047</v>
      </c>
      <c r="J53" s="28">
        <v>77930</v>
      </c>
      <c r="K53" s="28">
        <v>77953</v>
      </c>
      <c r="L53" s="29">
        <v>79027</v>
      </c>
    </row>
    <row r="54" spans="2:12" ht="15" customHeight="1" thickBot="1">
      <c r="B54" s="94"/>
      <c r="C54" s="97"/>
      <c r="D54" s="6">
        <v>1</v>
      </c>
      <c r="E54" s="30">
        <v>87498</v>
      </c>
      <c r="F54" s="31">
        <v>88210</v>
      </c>
      <c r="G54" s="31">
        <v>88207</v>
      </c>
      <c r="H54" s="31">
        <v>88207</v>
      </c>
      <c r="I54" s="31">
        <v>88206</v>
      </c>
      <c r="J54" s="31">
        <v>88211</v>
      </c>
      <c r="K54" s="31">
        <v>88210</v>
      </c>
      <c r="L54" s="32">
        <v>88209</v>
      </c>
    </row>
  </sheetData>
  <mergeCells count="33">
    <mergeCell ref="B2:D3"/>
    <mergeCell ref="E2:L2"/>
    <mergeCell ref="N2:P3"/>
    <mergeCell ref="Q2:X2"/>
    <mergeCell ref="B4:B15"/>
    <mergeCell ref="C4:C7"/>
    <mergeCell ref="N4:N15"/>
    <mergeCell ref="O4:O7"/>
    <mergeCell ref="C8:C11"/>
    <mergeCell ref="O8:O11"/>
    <mergeCell ref="C12:C15"/>
    <mergeCell ref="O12:O15"/>
    <mergeCell ref="B16:B27"/>
    <mergeCell ref="C16:C19"/>
    <mergeCell ref="N16:N27"/>
    <mergeCell ref="O16:O19"/>
    <mergeCell ref="C20:C23"/>
    <mergeCell ref="O20:O23"/>
    <mergeCell ref="C24:C27"/>
    <mergeCell ref="O24:O27"/>
    <mergeCell ref="E29:L29"/>
    <mergeCell ref="P29:T29"/>
    <mergeCell ref="P30:T30"/>
    <mergeCell ref="B31:B42"/>
    <mergeCell ref="C31:C34"/>
    <mergeCell ref="P31:T31"/>
    <mergeCell ref="C35:C38"/>
    <mergeCell ref="C39:C42"/>
    <mergeCell ref="B43:B54"/>
    <mergeCell ref="C43:C46"/>
    <mergeCell ref="C47:C50"/>
    <mergeCell ref="C51:C54"/>
    <mergeCell ref="B29:D30"/>
  </mergeCells>
  <phoneticPr fontId="1" type="noConversion"/>
  <conditionalFormatting sqref="O29">
    <cfRule type="cellIs" dxfId="74" priority="9" operator="lessThan">
      <formula>0.8</formula>
    </cfRule>
  </conditionalFormatting>
  <conditionalFormatting sqref="O30:O31">
    <cfRule type="cellIs" dxfId="73" priority="8" operator="lessThan">
      <formula>0.8</formula>
    </cfRule>
  </conditionalFormatting>
  <conditionalFormatting sqref="E4:L11 E16:L23">
    <cfRule type="expression" dxfId="72" priority="6">
      <formula>Q4&gt;1.1</formula>
    </cfRule>
  </conditionalFormatting>
  <conditionalFormatting sqref="E31:L38 E43:L50">
    <cfRule type="expression" dxfId="71" priority="5">
      <formula>Q4&gt;1.1</formula>
    </cfRule>
  </conditionalFormatting>
  <conditionalFormatting sqref="Q4:X11 Q19:X19 V16:X16 U17:X17 Q16:R18 T18:X18 V20:X20 Q20:R21 T21:X21 Q22:X23">
    <cfRule type="cellIs" dxfId="70" priority="2" operator="lessThan">
      <formula>0.9</formula>
    </cfRule>
    <cfRule type="cellIs" dxfId="69" priority="3" operator="greaterThan">
      <formula>1.1</formula>
    </cfRule>
  </conditionalFormatting>
  <conditionalFormatting sqref="Q12:X15 Q24:X27">
    <cfRule type="cellIs" dxfId="68" priority="1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Z54"/>
  <sheetViews>
    <sheetView showGridLines="0" zoomScale="70" zoomScaleNormal="70" workbookViewId="0">
      <selection activeCell="B2" sqref="B2:AN54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1.69921875" style="11" customWidth="1"/>
    <col min="5" max="13" width="6.59765625" style="11" customWidth="1"/>
    <col min="14" max="14" width="3.09765625" style="11" customWidth="1"/>
    <col min="15" max="15" width="13.09765625" style="11" customWidth="1"/>
    <col min="16" max="16" width="11" style="11" bestFit="1" customWidth="1"/>
    <col min="17" max="17" width="11.5" style="11" customWidth="1"/>
    <col min="18" max="26" width="6.59765625" style="11" customWidth="1"/>
    <col min="27" max="16384" width="9" style="11"/>
  </cols>
  <sheetData>
    <row r="1" spans="2:26" ht="15" customHeight="1" thickBot="1"/>
    <row r="2" spans="2:26" ht="15" customHeight="1">
      <c r="B2" s="99" t="s">
        <v>71</v>
      </c>
      <c r="C2" s="118"/>
      <c r="D2" s="119"/>
      <c r="E2" s="83" t="s">
        <v>14</v>
      </c>
      <c r="F2" s="84"/>
      <c r="G2" s="84"/>
      <c r="H2" s="84"/>
      <c r="I2" s="84"/>
      <c r="J2" s="84"/>
      <c r="K2" s="84"/>
      <c r="L2" s="84"/>
      <c r="M2" s="85"/>
      <c r="O2" s="105" t="str">
        <f>CONCATENATE(B2, CHAR(10), "vs ", B29)</f>
        <v>PM983a_EDW73F2Q_20191110_TH4
vs PM9A3_GKA71F20_20210202_TH4</v>
      </c>
      <c r="P2" s="106"/>
      <c r="Q2" s="106"/>
      <c r="R2" s="83" t="s">
        <v>14</v>
      </c>
      <c r="S2" s="84"/>
      <c r="T2" s="84"/>
      <c r="U2" s="84"/>
      <c r="V2" s="84"/>
      <c r="W2" s="84"/>
      <c r="X2" s="84"/>
      <c r="Y2" s="84"/>
      <c r="Z2" s="85"/>
    </row>
    <row r="3" spans="2:26" ht="20.25" customHeight="1" thickBot="1">
      <c r="B3" s="120"/>
      <c r="C3" s="121"/>
      <c r="D3" s="122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2" t="s">
        <v>23</v>
      </c>
      <c r="M3" s="3" t="s">
        <v>17</v>
      </c>
      <c r="O3" s="107"/>
      <c r="P3" s="108"/>
      <c r="Q3" s="108"/>
      <c r="R3" s="1" t="s">
        <v>0</v>
      </c>
      <c r="S3" s="2" t="s">
        <v>1</v>
      </c>
      <c r="T3" s="2" t="s">
        <v>2</v>
      </c>
      <c r="U3" s="2" t="s">
        <v>3</v>
      </c>
      <c r="V3" s="2" t="s">
        <v>4</v>
      </c>
      <c r="W3" s="2" t="s">
        <v>18</v>
      </c>
      <c r="X3" s="2" t="s">
        <v>16</v>
      </c>
      <c r="Y3" s="2" t="s">
        <v>23</v>
      </c>
      <c r="Z3" s="3" t="s">
        <v>17</v>
      </c>
    </row>
    <row r="4" spans="2:26" ht="15" customHeight="1">
      <c r="B4" s="92" t="s">
        <v>5</v>
      </c>
      <c r="C4" s="98" t="s">
        <v>6</v>
      </c>
      <c r="D4" s="4">
        <v>0.25</v>
      </c>
      <c r="E4" s="24">
        <v>660</v>
      </c>
      <c r="F4" s="25">
        <v>708</v>
      </c>
      <c r="G4" s="25">
        <v>812</v>
      </c>
      <c r="H4" s="25">
        <v>1064</v>
      </c>
      <c r="I4" s="25">
        <v>1704</v>
      </c>
      <c r="J4" s="25">
        <v>3856</v>
      </c>
      <c r="K4" s="25">
        <v>8512</v>
      </c>
      <c r="L4" s="25">
        <v>19328</v>
      </c>
      <c r="M4" s="26">
        <v>43776</v>
      </c>
      <c r="O4" s="92" t="s">
        <v>5</v>
      </c>
      <c r="P4" s="95" t="s">
        <v>6</v>
      </c>
      <c r="Q4" s="7">
        <v>0.25</v>
      </c>
      <c r="R4" s="15">
        <f t="shared" ref="R4:R27" si="0">E31/E4</f>
        <v>0.57878787878787874</v>
      </c>
      <c r="S4" s="16">
        <f t="shared" ref="S4:S27" si="1">F31/F4</f>
        <v>0.5847457627118644</v>
      </c>
      <c r="T4" s="16">
        <f t="shared" ref="T4:T27" si="2">G31/G4</f>
        <v>0.52955665024630538</v>
      </c>
      <c r="U4" s="16">
        <f t="shared" ref="U4:U27" si="3">H31/H4</f>
        <v>0.41541353383458646</v>
      </c>
      <c r="V4" s="16">
        <f t="shared" ref="V4:V27" si="4">I31/I4</f>
        <v>0.25938967136150237</v>
      </c>
      <c r="W4" s="16">
        <f t="shared" ref="W4:W27" si="5">J31/J4</f>
        <v>0.11462655601659751</v>
      </c>
      <c r="X4" s="16">
        <f t="shared" ref="X4:X27" si="6">K31/K4</f>
        <v>0.19830827067669174</v>
      </c>
      <c r="Y4" s="16">
        <f t="shared" ref="Y4:Y27" si="7">L31/L4</f>
        <v>0.40894039735099336</v>
      </c>
      <c r="Z4" s="17">
        <f t="shared" ref="Z4:Z27" si="8">M31/M4</f>
        <v>0.51754385964912286</v>
      </c>
    </row>
    <row r="5" spans="2:26" ht="15" customHeight="1">
      <c r="B5" s="93"/>
      <c r="C5" s="96"/>
      <c r="D5" s="5">
        <v>0.5</v>
      </c>
      <c r="E5" s="27">
        <v>524</v>
      </c>
      <c r="F5" s="28">
        <v>604</v>
      </c>
      <c r="G5" s="28">
        <v>708</v>
      </c>
      <c r="H5" s="28">
        <v>916</v>
      </c>
      <c r="I5" s="28">
        <v>1416</v>
      </c>
      <c r="J5" s="28">
        <v>3056</v>
      </c>
      <c r="K5" s="28">
        <v>6880</v>
      </c>
      <c r="L5" s="28">
        <v>15552</v>
      </c>
      <c r="M5" s="29">
        <v>34560</v>
      </c>
      <c r="O5" s="93"/>
      <c r="P5" s="96"/>
      <c r="Q5" s="5">
        <v>0.5</v>
      </c>
      <c r="R5" s="18">
        <f t="shared" si="0"/>
        <v>0.59160305343511455</v>
      </c>
      <c r="S5" s="12">
        <f t="shared" si="1"/>
        <v>0.6258278145695364</v>
      </c>
      <c r="T5" s="12">
        <f t="shared" si="2"/>
        <v>0.61864406779661019</v>
      </c>
      <c r="U5" s="12">
        <f t="shared" si="3"/>
        <v>0.49126637554585151</v>
      </c>
      <c r="V5" s="12">
        <f t="shared" si="4"/>
        <v>0.32062146892655369</v>
      </c>
      <c r="W5" s="12">
        <f t="shared" si="5"/>
        <v>0.15117801047120419</v>
      </c>
      <c r="X5" s="12">
        <f t="shared" si="6"/>
        <v>0.25697674418604649</v>
      </c>
      <c r="Y5" s="12">
        <f t="shared" si="7"/>
        <v>0.43827160493827161</v>
      </c>
      <c r="Z5" s="19">
        <f t="shared" si="8"/>
        <v>0.5444444444444444</v>
      </c>
    </row>
    <row r="6" spans="2:26" ht="15" customHeight="1">
      <c r="B6" s="93"/>
      <c r="C6" s="96"/>
      <c r="D6" s="5">
        <v>0.75</v>
      </c>
      <c r="E6" s="27">
        <v>434</v>
      </c>
      <c r="F6" s="28">
        <v>498</v>
      </c>
      <c r="G6" s="28">
        <v>572</v>
      </c>
      <c r="H6" s="28">
        <v>748</v>
      </c>
      <c r="I6" s="28">
        <v>1080</v>
      </c>
      <c r="J6" s="28">
        <v>2064</v>
      </c>
      <c r="K6" s="28">
        <v>4896</v>
      </c>
      <c r="L6" s="28">
        <v>10560</v>
      </c>
      <c r="M6" s="29">
        <v>21888</v>
      </c>
      <c r="O6" s="93"/>
      <c r="P6" s="96"/>
      <c r="Q6" s="5">
        <v>0.75</v>
      </c>
      <c r="R6" s="18">
        <f t="shared" si="0"/>
        <v>0.59447004608294929</v>
      </c>
      <c r="S6" s="12">
        <f t="shared" si="1"/>
        <v>0.63052208835341361</v>
      </c>
      <c r="T6" s="12">
        <f t="shared" si="2"/>
        <v>0.69580419580419584</v>
      </c>
      <c r="U6" s="12">
        <f t="shared" si="3"/>
        <v>0.71122994652406413</v>
      </c>
      <c r="V6" s="12">
        <f t="shared" si="4"/>
        <v>0.74444444444444446</v>
      </c>
      <c r="W6" s="12">
        <f t="shared" si="5"/>
        <v>0.63178294573643412</v>
      </c>
      <c r="X6" s="12">
        <f t="shared" si="6"/>
        <v>0.47385620915032678</v>
      </c>
      <c r="Y6" s="12">
        <f t="shared" si="7"/>
        <v>0.62121212121212122</v>
      </c>
      <c r="Z6" s="19">
        <f t="shared" si="8"/>
        <v>0.72807017543859653</v>
      </c>
    </row>
    <row r="7" spans="2:26" ht="15" customHeight="1" thickBot="1">
      <c r="B7" s="93"/>
      <c r="C7" s="97"/>
      <c r="D7" s="6">
        <v>1</v>
      </c>
      <c r="E7" s="30">
        <v>139</v>
      </c>
      <c r="F7" s="31">
        <v>159</v>
      </c>
      <c r="G7" s="31">
        <v>201</v>
      </c>
      <c r="H7" s="31">
        <v>294</v>
      </c>
      <c r="I7" s="31">
        <v>540</v>
      </c>
      <c r="J7" s="31">
        <v>1064</v>
      </c>
      <c r="K7" s="31">
        <v>1496</v>
      </c>
      <c r="L7" s="31">
        <v>3408</v>
      </c>
      <c r="M7" s="32">
        <v>7392</v>
      </c>
      <c r="O7" s="93"/>
      <c r="P7" s="97"/>
      <c r="Q7" s="6">
        <v>1</v>
      </c>
      <c r="R7" s="20">
        <f t="shared" si="0"/>
        <v>0.76258992805755399</v>
      </c>
      <c r="S7" s="21">
        <f t="shared" si="1"/>
        <v>0.75471698113207553</v>
      </c>
      <c r="T7" s="21">
        <f t="shared" si="2"/>
        <v>0.78109452736318408</v>
      </c>
      <c r="U7" s="21">
        <f t="shared" si="3"/>
        <v>0.81972789115646261</v>
      </c>
      <c r="V7" s="21">
        <f t="shared" si="4"/>
        <v>0.81851851851851853</v>
      </c>
      <c r="W7" s="21">
        <f t="shared" si="5"/>
        <v>0.83834586466165417</v>
      </c>
      <c r="X7" s="21">
        <f t="shared" si="6"/>
        <v>1.1390374331550801</v>
      </c>
      <c r="Y7" s="21">
        <f t="shared" si="7"/>
        <v>0.84037558685446012</v>
      </c>
      <c r="Z7" s="22">
        <f t="shared" si="8"/>
        <v>0.87012987012987009</v>
      </c>
    </row>
    <row r="8" spans="2:26" ht="15" customHeight="1">
      <c r="B8" s="93"/>
      <c r="C8" s="98" t="s">
        <v>7</v>
      </c>
      <c r="D8" s="4">
        <v>0.25</v>
      </c>
      <c r="E8" s="24">
        <v>1160</v>
      </c>
      <c r="F8" s="25">
        <v>1208</v>
      </c>
      <c r="G8" s="25">
        <v>1304</v>
      </c>
      <c r="H8" s="25">
        <v>1560</v>
      </c>
      <c r="I8" s="25">
        <v>2160</v>
      </c>
      <c r="J8" s="25">
        <v>4512</v>
      </c>
      <c r="K8" s="25">
        <v>11712</v>
      </c>
      <c r="L8" s="25">
        <v>27008</v>
      </c>
      <c r="M8" s="26">
        <v>63744</v>
      </c>
      <c r="O8" s="93"/>
      <c r="P8" s="98" t="s">
        <v>7</v>
      </c>
      <c r="Q8" s="4">
        <v>0.25</v>
      </c>
      <c r="R8" s="15">
        <f t="shared" si="0"/>
        <v>0.76206896551724135</v>
      </c>
      <c r="S8" s="16">
        <f t="shared" si="1"/>
        <v>0.76490066225165565</v>
      </c>
      <c r="T8" s="16">
        <f t="shared" si="2"/>
        <v>0.73926380368098155</v>
      </c>
      <c r="U8" s="16">
        <f t="shared" si="3"/>
        <v>0.62820512820512819</v>
      </c>
      <c r="V8" s="16">
        <f t="shared" si="4"/>
        <v>0.45740740740740743</v>
      </c>
      <c r="W8" s="16">
        <f t="shared" si="5"/>
        <v>0.21897163120567376</v>
      </c>
      <c r="X8" s="16">
        <f t="shared" si="6"/>
        <v>0.16734972677595628</v>
      </c>
      <c r="Y8" s="16">
        <f t="shared" si="7"/>
        <v>0.38625592417061611</v>
      </c>
      <c r="Z8" s="17">
        <f t="shared" si="8"/>
        <v>0.4718875502008032</v>
      </c>
    </row>
    <row r="9" spans="2:26" ht="15" customHeight="1">
      <c r="B9" s="93"/>
      <c r="C9" s="96"/>
      <c r="D9" s="5">
        <v>0.5</v>
      </c>
      <c r="E9" s="27">
        <v>924</v>
      </c>
      <c r="F9" s="28">
        <v>1064</v>
      </c>
      <c r="G9" s="28">
        <v>1160</v>
      </c>
      <c r="H9" s="28">
        <v>1384</v>
      </c>
      <c r="I9" s="28">
        <v>2008</v>
      </c>
      <c r="J9" s="28">
        <v>3824</v>
      </c>
      <c r="K9" s="28">
        <v>9792</v>
      </c>
      <c r="L9" s="28">
        <v>22400</v>
      </c>
      <c r="M9" s="29">
        <v>49408</v>
      </c>
      <c r="O9" s="93"/>
      <c r="P9" s="96"/>
      <c r="Q9" s="5">
        <v>0.5</v>
      </c>
      <c r="R9" s="61">
        <f t="shared" si="0"/>
        <v>0.91341991341991347</v>
      </c>
      <c r="S9" s="12">
        <f t="shared" si="1"/>
        <v>0.83082706766917291</v>
      </c>
      <c r="T9" s="12">
        <f t="shared" si="2"/>
        <v>0.80344827586206902</v>
      </c>
      <c r="U9" s="12">
        <f t="shared" si="3"/>
        <v>0.75722543352601157</v>
      </c>
      <c r="V9" s="12">
        <f t="shared" si="4"/>
        <v>0.59362549800796816</v>
      </c>
      <c r="W9" s="12">
        <f t="shared" si="5"/>
        <v>0.33263598326359833</v>
      </c>
      <c r="X9" s="12">
        <f t="shared" si="6"/>
        <v>0.23692810457516339</v>
      </c>
      <c r="Y9" s="12">
        <f t="shared" si="7"/>
        <v>0.39714285714285713</v>
      </c>
      <c r="Z9" s="19">
        <f t="shared" si="8"/>
        <v>0.48963730569948188</v>
      </c>
    </row>
    <row r="10" spans="2:26" ht="15" customHeight="1">
      <c r="B10" s="93"/>
      <c r="C10" s="96"/>
      <c r="D10" s="5">
        <v>0.75</v>
      </c>
      <c r="E10" s="27">
        <v>836</v>
      </c>
      <c r="F10" s="28">
        <v>900</v>
      </c>
      <c r="G10" s="28">
        <v>996</v>
      </c>
      <c r="H10" s="28">
        <v>1160</v>
      </c>
      <c r="I10" s="28">
        <v>1496</v>
      </c>
      <c r="J10" s="28">
        <v>2672</v>
      </c>
      <c r="K10" s="28">
        <v>7072</v>
      </c>
      <c r="L10" s="28">
        <v>15808</v>
      </c>
      <c r="M10" s="29">
        <v>31616</v>
      </c>
      <c r="O10" s="93"/>
      <c r="P10" s="96"/>
      <c r="Q10" s="5">
        <v>0.75</v>
      </c>
      <c r="R10" s="18">
        <f t="shared" si="0"/>
        <v>0.65550239234449759</v>
      </c>
      <c r="S10" s="12">
        <f t="shared" si="1"/>
        <v>0.80444444444444441</v>
      </c>
      <c r="T10" s="12">
        <f t="shared" si="2"/>
        <v>0.87951807228915657</v>
      </c>
      <c r="U10" s="12">
        <f t="shared" si="3"/>
        <v>0.84482758620689657</v>
      </c>
      <c r="V10" s="12">
        <f t="shared" si="4"/>
        <v>0.89304812834224601</v>
      </c>
      <c r="W10" s="12">
        <f t="shared" si="5"/>
        <v>0.78443113772455086</v>
      </c>
      <c r="X10" s="12">
        <f t="shared" si="6"/>
        <v>0.44117647058823528</v>
      </c>
      <c r="Y10" s="12">
        <f t="shared" si="7"/>
        <v>0.52226720647773284</v>
      </c>
      <c r="Z10" s="19">
        <f t="shared" si="8"/>
        <v>0.63562753036437247</v>
      </c>
    </row>
    <row r="11" spans="2:26" ht="15" customHeight="1" thickBot="1">
      <c r="B11" s="93"/>
      <c r="C11" s="97"/>
      <c r="D11" s="6">
        <v>1</v>
      </c>
      <c r="E11" s="30">
        <v>197</v>
      </c>
      <c r="F11" s="31">
        <v>245</v>
      </c>
      <c r="G11" s="31">
        <v>322</v>
      </c>
      <c r="H11" s="31">
        <v>498</v>
      </c>
      <c r="I11" s="31">
        <v>948</v>
      </c>
      <c r="J11" s="31">
        <v>1832</v>
      </c>
      <c r="K11" s="45">
        <v>2352</v>
      </c>
      <c r="L11" s="31">
        <v>4640</v>
      </c>
      <c r="M11" s="32">
        <v>9792</v>
      </c>
      <c r="O11" s="93"/>
      <c r="P11" s="97"/>
      <c r="Q11" s="6">
        <v>1</v>
      </c>
      <c r="R11" s="20">
        <f t="shared" si="0"/>
        <v>0.7766497461928934</v>
      </c>
      <c r="S11" s="21">
        <f t="shared" si="1"/>
        <v>0.7795918367346939</v>
      </c>
      <c r="T11" s="21">
        <f t="shared" si="2"/>
        <v>0.82608695652173914</v>
      </c>
      <c r="U11" s="21">
        <f t="shared" si="3"/>
        <v>0.86345381526104414</v>
      </c>
      <c r="V11" s="21">
        <f t="shared" si="4"/>
        <v>0.84810126582278478</v>
      </c>
      <c r="W11" s="21">
        <f t="shared" si="5"/>
        <v>0.89519650655021832</v>
      </c>
      <c r="X11" s="21">
        <f t="shared" si="6"/>
        <v>1.2993197278911566</v>
      </c>
      <c r="Y11" s="21">
        <f t="shared" si="7"/>
        <v>0.93103448275862066</v>
      </c>
      <c r="Z11" s="22">
        <f t="shared" si="8"/>
        <v>0.81372549019607843</v>
      </c>
    </row>
    <row r="12" spans="2:26" ht="15" customHeight="1">
      <c r="B12" s="93"/>
      <c r="C12" s="98" t="s">
        <v>8</v>
      </c>
      <c r="D12" s="4">
        <v>0.25</v>
      </c>
      <c r="E12" s="24">
        <v>13376</v>
      </c>
      <c r="F12" s="25">
        <v>13433</v>
      </c>
      <c r="G12" s="25">
        <v>13462</v>
      </c>
      <c r="H12" s="25">
        <v>13495</v>
      </c>
      <c r="I12" s="25">
        <v>13560</v>
      </c>
      <c r="J12" s="25">
        <v>13581</v>
      </c>
      <c r="K12" s="25">
        <v>13607</v>
      </c>
      <c r="L12" s="25">
        <v>13580</v>
      </c>
      <c r="M12" s="26">
        <v>13569</v>
      </c>
      <c r="O12" s="93"/>
      <c r="P12" s="98" t="s">
        <v>8</v>
      </c>
      <c r="Q12" s="4">
        <v>0.25</v>
      </c>
      <c r="R12" s="15">
        <f t="shared" si="0"/>
        <v>1.7186004784688995</v>
      </c>
      <c r="S12" s="16">
        <f t="shared" si="1"/>
        <v>1.934787463708777</v>
      </c>
      <c r="T12" s="16">
        <f t="shared" si="2"/>
        <v>1.9294309909374536</v>
      </c>
      <c r="U12" s="16">
        <f t="shared" si="3"/>
        <v>1.9235272323082624</v>
      </c>
      <c r="V12" s="16">
        <f t="shared" si="4"/>
        <v>1.9175516224188791</v>
      </c>
      <c r="W12" s="16">
        <f t="shared" si="5"/>
        <v>1.9107576761652307</v>
      </c>
      <c r="X12" s="16">
        <f t="shared" si="6"/>
        <v>1.9390754758580142</v>
      </c>
      <c r="Y12" s="16">
        <f t="shared" si="7"/>
        <v>1.9411634756995582</v>
      </c>
      <c r="Z12" s="17">
        <f t="shared" si="8"/>
        <v>1.9434740953644336</v>
      </c>
    </row>
    <row r="13" spans="2:26" ht="15" customHeight="1">
      <c r="B13" s="93"/>
      <c r="C13" s="96"/>
      <c r="D13" s="5">
        <v>0.5</v>
      </c>
      <c r="E13" s="27">
        <v>24464</v>
      </c>
      <c r="F13" s="28">
        <v>34619</v>
      </c>
      <c r="G13" s="28">
        <v>34936</v>
      </c>
      <c r="H13" s="28">
        <v>34773</v>
      </c>
      <c r="I13" s="28">
        <v>34587</v>
      </c>
      <c r="J13" s="28">
        <v>34642</v>
      </c>
      <c r="K13" s="28">
        <v>34640</v>
      </c>
      <c r="L13" s="28">
        <v>34655</v>
      </c>
      <c r="M13" s="29">
        <v>34672</v>
      </c>
      <c r="O13" s="93"/>
      <c r="P13" s="96"/>
      <c r="Q13" s="5">
        <v>0.5</v>
      </c>
      <c r="R13" s="18">
        <f t="shared" si="0"/>
        <v>1.5224002616088947</v>
      </c>
      <c r="S13" s="12">
        <f t="shared" si="1"/>
        <v>1.5781218406077588</v>
      </c>
      <c r="T13" s="12">
        <f t="shared" si="2"/>
        <v>1.8123711930386994</v>
      </c>
      <c r="U13" s="12">
        <f t="shared" si="3"/>
        <v>1.8212406177206453</v>
      </c>
      <c r="V13" s="12">
        <f t="shared" si="4"/>
        <v>1.8304276173128633</v>
      </c>
      <c r="W13" s="12">
        <f t="shared" si="5"/>
        <v>1.8287916402055309</v>
      </c>
      <c r="X13" s="12">
        <f t="shared" si="6"/>
        <v>1.9443706697459584</v>
      </c>
      <c r="Y13" s="12">
        <f t="shared" si="7"/>
        <v>1.9462992353195787</v>
      </c>
      <c r="Z13" s="19">
        <f t="shared" si="8"/>
        <v>1.9407302722658053</v>
      </c>
    </row>
    <row r="14" spans="2:26" ht="15" customHeight="1">
      <c r="B14" s="93"/>
      <c r="C14" s="96"/>
      <c r="D14" s="5">
        <v>0.75</v>
      </c>
      <c r="E14" s="27">
        <v>33145</v>
      </c>
      <c r="F14" s="28">
        <v>54155</v>
      </c>
      <c r="G14" s="28">
        <v>80021</v>
      </c>
      <c r="H14" s="28">
        <v>81353</v>
      </c>
      <c r="I14" s="28">
        <v>81447</v>
      </c>
      <c r="J14" s="28">
        <v>81408</v>
      </c>
      <c r="K14" s="28">
        <v>81492</v>
      </c>
      <c r="L14" s="28">
        <v>81435</v>
      </c>
      <c r="M14" s="29">
        <v>81470</v>
      </c>
      <c r="O14" s="93"/>
      <c r="P14" s="96"/>
      <c r="Q14" s="5">
        <v>0.75</v>
      </c>
      <c r="R14" s="18">
        <f t="shared" si="0"/>
        <v>1.46432342736461</v>
      </c>
      <c r="S14" s="12">
        <f t="shared" si="1"/>
        <v>1.5082079217062137</v>
      </c>
      <c r="T14" s="12">
        <f t="shared" si="2"/>
        <v>1.4347983654290748</v>
      </c>
      <c r="U14" s="12">
        <f t="shared" si="3"/>
        <v>1.6134869027571201</v>
      </c>
      <c r="V14" s="12">
        <f t="shared" si="4"/>
        <v>1.6126315272508502</v>
      </c>
      <c r="W14" s="12">
        <f t="shared" si="5"/>
        <v>1.6135023584905661</v>
      </c>
      <c r="X14" s="12">
        <f t="shared" si="6"/>
        <v>1.6101212388946153</v>
      </c>
      <c r="Y14" s="12">
        <f t="shared" si="7"/>
        <v>1.612562166144778</v>
      </c>
      <c r="Z14" s="19">
        <f t="shared" si="8"/>
        <v>1.6114029704185591</v>
      </c>
    </row>
    <row r="15" spans="2:26" ht="15" customHeight="1" thickBot="1">
      <c r="B15" s="94"/>
      <c r="C15" s="97"/>
      <c r="D15" s="6">
        <v>1</v>
      </c>
      <c r="E15" s="30">
        <v>43529</v>
      </c>
      <c r="F15" s="31">
        <v>78331</v>
      </c>
      <c r="G15" s="31">
        <v>143465</v>
      </c>
      <c r="H15" s="31">
        <v>249034</v>
      </c>
      <c r="I15" s="31">
        <v>352346</v>
      </c>
      <c r="J15" s="31">
        <v>410310</v>
      </c>
      <c r="K15" s="31">
        <v>410569</v>
      </c>
      <c r="L15" s="31">
        <v>410523</v>
      </c>
      <c r="M15" s="32">
        <v>410515</v>
      </c>
      <c r="O15" s="94"/>
      <c r="P15" s="97"/>
      <c r="Q15" s="6">
        <v>1</v>
      </c>
      <c r="R15" s="20">
        <f t="shared" si="0"/>
        <v>1.3967929426359438</v>
      </c>
      <c r="S15" s="21">
        <f t="shared" si="1"/>
        <v>1.4785334031226463</v>
      </c>
      <c r="T15" s="21">
        <f t="shared" si="2"/>
        <v>1.4597079427037953</v>
      </c>
      <c r="U15" s="21">
        <f t="shared" si="3"/>
        <v>1.3622356786623513</v>
      </c>
      <c r="V15" s="21">
        <f t="shared" si="4"/>
        <v>1.3102518547109943</v>
      </c>
      <c r="W15" s="21">
        <f t="shared" si="5"/>
        <v>1.3092856620603934</v>
      </c>
      <c r="X15" s="21">
        <f t="shared" si="6"/>
        <v>1.3910256254125373</v>
      </c>
      <c r="Y15" s="21">
        <f t="shared" si="7"/>
        <v>1.3915420086085311</v>
      </c>
      <c r="Z15" s="22">
        <f t="shared" si="8"/>
        <v>1.3915666906203183</v>
      </c>
    </row>
    <row r="16" spans="2:26" ht="15" customHeight="1">
      <c r="B16" s="83" t="s">
        <v>9</v>
      </c>
      <c r="C16" s="98" t="s">
        <v>6</v>
      </c>
      <c r="D16" s="4">
        <v>0.25</v>
      </c>
      <c r="E16" s="24">
        <v>25</v>
      </c>
      <c r="F16" s="25">
        <v>14</v>
      </c>
      <c r="G16" s="25">
        <v>83</v>
      </c>
      <c r="H16" s="25">
        <v>394</v>
      </c>
      <c r="I16" s="25">
        <v>764</v>
      </c>
      <c r="J16" s="25">
        <v>1880</v>
      </c>
      <c r="K16" s="25">
        <v>4768</v>
      </c>
      <c r="L16" s="25">
        <v>10432</v>
      </c>
      <c r="M16" s="26">
        <v>21888</v>
      </c>
      <c r="O16" s="83" t="s">
        <v>9</v>
      </c>
      <c r="P16" s="98" t="s">
        <v>6</v>
      </c>
      <c r="Q16" s="4">
        <v>0.25</v>
      </c>
      <c r="R16" s="15">
        <f t="shared" si="0"/>
        <v>0.52</v>
      </c>
      <c r="S16" s="16">
        <f t="shared" si="1"/>
        <v>1</v>
      </c>
      <c r="T16" s="60">
        <f t="shared" si="2"/>
        <v>0.19277108433734941</v>
      </c>
      <c r="U16" s="16">
        <f t="shared" si="3"/>
        <v>6.3451776649746189E-2</v>
      </c>
      <c r="V16" s="16">
        <f t="shared" si="4"/>
        <v>7.5916230366492143E-2</v>
      </c>
      <c r="W16" s="16">
        <f t="shared" si="5"/>
        <v>3.0319148936170211E-2</v>
      </c>
      <c r="X16" s="16">
        <f t="shared" si="6"/>
        <v>1.2164429530201342E-2</v>
      </c>
      <c r="Y16" s="16">
        <f t="shared" si="7"/>
        <v>0.43865030674846628</v>
      </c>
      <c r="Z16" s="17">
        <f t="shared" si="8"/>
        <v>0.63450292397660824</v>
      </c>
    </row>
    <row r="17" spans="2:26" ht="15" customHeight="1">
      <c r="B17" s="93"/>
      <c r="C17" s="96"/>
      <c r="D17" s="5">
        <v>0.5</v>
      </c>
      <c r="E17" s="27">
        <v>22</v>
      </c>
      <c r="F17" s="28">
        <v>75</v>
      </c>
      <c r="G17" s="28">
        <v>326</v>
      </c>
      <c r="H17" s="28">
        <v>716</v>
      </c>
      <c r="I17" s="28">
        <v>1560</v>
      </c>
      <c r="J17" s="28">
        <v>3280</v>
      </c>
      <c r="K17" s="28">
        <v>7264</v>
      </c>
      <c r="L17" s="28">
        <v>16064</v>
      </c>
      <c r="M17" s="29">
        <v>34560</v>
      </c>
      <c r="O17" s="93"/>
      <c r="P17" s="96"/>
      <c r="Q17" s="5">
        <v>0.5</v>
      </c>
      <c r="R17" s="18">
        <f t="shared" si="0"/>
        <v>0.59090909090909094</v>
      </c>
      <c r="S17" s="12">
        <f t="shared" si="1"/>
        <v>0.18666666666666668</v>
      </c>
      <c r="T17" s="12">
        <f t="shared" si="2"/>
        <v>0.51840490797546013</v>
      </c>
      <c r="U17" s="12">
        <f t="shared" si="3"/>
        <v>0.67318435754189943</v>
      </c>
      <c r="V17" s="12">
        <f t="shared" si="4"/>
        <v>0.69230769230769229</v>
      </c>
      <c r="W17" s="12">
        <f t="shared" si="5"/>
        <v>0.69756097560975605</v>
      </c>
      <c r="X17" s="12">
        <f t="shared" si="6"/>
        <v>0.50440528634361237</v>
      </c>
      <c r="Y17" s="12">
        <f t="shared" si="7"/>
        <v>0.57768924302788849</v>
      </c>
      <c r="Z17" s="19">
        <f t="shared" si="8"/>
        <v>0.61851851851851847</v>
      </c>
    </row>
    <row r="18" spans="2:26" ht="15" customHeight="1">
      <c r="B18" s="93"/>
      <c r="C18" s="96"/>
      <c r="D18" s="5">
        <v>0.75</v>
      </c>
      <c r="E18" s="27">
        <v>54</v>
      </c>
      <c r="F18" s="28">
        <v>189</v>
      </c>
      <c r="G18" s="28">
        <v>374</v>
      </c>
      <c r="H18" s="28">
        <v>756</v>
      </c>
      <c r="I18" s="28">
        <v>1528</v>
      </c>
      <c r="J18" s="28">
        <v>4016</v>
      </c>
      <c r="K18" s="28">
        <v>9024</v>
      </c>
      <c r="L18" s="28">
        <v>19840</v>
      </c>
      <c r="M18" s="29">
        <v>44288</v>
      </c>
      <c r="O18" s="93"/>
      <c r="P18" s="96"/>
      <c r="Q18" s="5">
        <v>0.75</v>
      </c>
      <c r="R18" s="18">
        <f t="shared" si="0"/>
        <v>0.24074074074074073</v>
      </c>
      <c r="S18" s="12">
        <f t="shared" si="1"/>
        <v>0.63492063492063489</v>
      </c>
      <c r="T18" s="12">
        <f t="shared" si="2"/>
        <v>0.64973262032085566</v>
      </c>
      <c r="U18" s="12">
        <f t="shared" si="3"/>
        <v>0.64814814814814814</v>
      </c>
      <c r="V18" s="12">
        <f t="shared" si="4"/>
        <v>0.6413612565445026</v>
      </c>
      <c r="W18" s="12">
        <f t="shared" si="5"/>
        <v>0.48804780876494025</v>
      </c>
      <c r="X18" s="12">
        <f t="shared" si="6"/>
        <v>0.42375886524822692</v>
      </c>
      <c r="Y18" s="12">
        <f t="shared" si="7"/>
        <v>0.532258064516129</v>
      </c>
      <c r="Z18" s="19">
        <f t="shared" si="8"/>
        <v>0.57514450867052025</v>
      </c>
    </row>
    <row r="19" spans="2:26" ht="15" customHeight="1" thickBot="1">
      <c r="B19" s="93"/>
      <c r="C19" s="97"/>
      <c r="D19" s="6">
        <v>1</v>
      </c>
      <c r="E19" s="30">
        <v>97</v>
      </c>
      <c r="F19" s="31">
        <v>195</v>
      </c>
      <c r="G19" s="31">
        <v>382</v>
      </c>
      <c r="H19" s="31">
        <v>764</v>
      </c>
      <c r="I19" s="31">
        <v>1560</v>
      </c>
      <c r="J19" s="31">
        <v>3088</v>
      </c>
      <c r="K19" s="31">
        <v>6176</v>
      </c>
      <c r="L19" s="31">
        <v>12224</v>
      </c>
      <c r="M19" s="32">
        <v>24960</v>
      </c>
      <c r="O19" s="93"/>
      <c r="P19" s="97"/>
      <c r="Q19" s="6">
        <v>1</v>
      </c>
      <c r="R19" s="20">
        <f t="shared" si="0"/>
        <v>0.68041237113402064</v>
      </c>
      <c r="S19" s="21">
        <f t="shared" si="1"/>
        <v>0.517948717948718</v>
      </c>
      <c r="T19" s="21">
        <f t="shared" si="2"/>
        <v>0.53664921465968585</v>
      </c>
      <c r="U19" s="21">
        <f t="shared" si="3"/>
        <v>0.48952879581151831</v>
      </c>
      <c r="V19" s="21">
        <f t="shared" si="4"/>
        <v>0.4794871794871795</v>
      </c>
      <c r="W19" s="21">
        <f t="shared" si="5"/>
        <v>0.47409326424870468</v>
      </c>
      <c r="X19" s="21">
        <f t="shared" si="6"/>
        <v>0.47409326424870468</v>
      </c>
      <c r="Y19" s="21">
        <f t="shared" si="7"/>
        <v>0.69633507853403143</v>
      </c>
      <c r="Z19" s="22">
        <f t="shared" si="8"/>
        <v>0.77435897435897438</v>
      </c>
    </row>
    <row r="20" spans="2:26" ht="15" customHeight="1">
      <c r="B20" s="93"/>
      <c r="C20" s="98" t="s">
        <v>7</v>
      </c>
      <c r="D20" s="4">
        <v>0.25</v>
      </c>
      <c r="E20" s="24">
        <v>51</v>
      </c>
      <c r="F20" s="25">
        <v>17</v>
      </c>
      <c r="G20" s="25">
        <v>159</v>
      </c>
      <c r="H20" s="25">
        <v>532</v>
      </c>
      <c r="I20" s="25">
        <v>940</v>
      </c>
      <c r="J20" s="25">
        <v>2448</v>
      </c>
      <c r="K20" s="25">
        <v>6880</v>
      </c>
      <c r="L20" s="25">
        <v>15680</v>
      </c>
      <c r="M20" s="26">
        <v>31360</v>
      </c>
      <c r="O20" s="93"/>
      <c r="P20" s="98" t="s">
        <v>7</v>
      </c>
      <c r="Q20" s="4">
        <v>0.25</v>
      </c>
      <c r="R20" s="15">
        <f t="shared" si="0"/>
        <v>0.35294117647058826</v>
      </c>
      <c r="S20" s="16">
        <f t="shared" si="1"/>
        <v>1.1176470588235294</v>
      </c>
      <c r="T20" s="60">
        <f t="shared" si="2"/>
        <v>0.13207547169811321</v>
      </c>
      <c r="U20" s="16">
        <f t="shared" si="3"/>
        <v>0.19548872180451127</v>
      </c>
      <c r="V20" s="16">
        <f t="shared" si="4"/>
        <v>0.14787234042553191</v>
      </c>
      <c r="W20" s="16">
        <f t="shared" si="5"/>
        <v>5.5964052287581702E-2</v>
      </c>
      <c r="X20" s="16">
        <f t="shared" si="6"/>
        <v>2.0494186046511629E-2</v>
      </c>
      <c r="Y20" s="16">
        <f t="shared" si="7"/>
        <v>0.39387755102040817</v>
      </c>
      <c r="Z20" s="17">
        <f t="shared" si="8"/>
        <v>0.58367346938775511</v>
      </c>
    </row>
    <row r="21" spans="2:26" ht="15" customHeight="1">
      <c r="B21" s="93"/>
      <c r="C21" s="96"/>
      <c r="D21" s="5">
        <v>0.5</v>
      </c>
      <c r="E21" s="27">
        <v>55</v>
      </c>
      <c r="F21" s="28">
        <v>135</v>
      </c>
      <c r="G21" s="28">
        <v>402</v>
      </c>
      <c r="H21" s="28">
        <v>812</v>
      </c>
      <c r="I21" s="28">
        <v>1704</v>
      </c>
      <c r="J21" s="28">
        <v>3792</v>
      </c>
      <c r="K21" s="28">
        <v>10176</v>
      </c>
      <c r="L21" s="28">
        <v>22656</v>
      </c>
      <c r="M21" s="29">
        <v>49920</v>
      </c>
      <c r="O21" s="93"/>
      <c r="P21" s="96"/>
      <c r="Q21" s="5">
        <v>0.5</v>
      </c>
      <c r="R21" s="18">
        <f t="shared" si="0"/>
        <v>0.32727272727272727</v>
      </c>
      <c r="S21" s="12">
        <f t="shared" si="1"/>
        <v>0.14074074074074075</v>
      </c>
      <c r="T21" s="12">
        <f t="shared" si="2"/>
        <v>0.54975124378109452</v>
      </c>
      <c r="U21" s="12">
        <f t="shared" si="3"/>
        <v>0.74384236453201968</v>
      </c>
      <c r="V21" s="12">
        <f t="shared" si="4"/>
        <v>0.76525821596244137</v>
      </c>
      <c r="W21" s="12">
        <f t="shared" si="5"/>
        <v>0.71308016877637126</v>
      </c>
      <c r="X21" s="12">
        <f t="shared" si="6"/>
        <v>0.37893081761006292</v>
      </c>
      <c r="Y21" s="12">
        <f t="shared" si="7"/>
        <v>0.4943502824858757</v>
      </c>
      <c r="Z21" s="19">
        <f t="shared" si="8"/>
        <v>0.53589743589743588</v>
      </c>
    </row>
    <row r="22" spans="2:26" ht="15" customHeight="1">
      <c r="B22" s="93"/>
      <c r="C22" s="96"/>
      <c r="D22" s="5">
        <v>0.75</v>
      </c>
      <c r="E22" s="27">
        <v>71</v>
      </c>
      <c r="F22" s="28">
        <v>203</v>
      </c>
      <c r="G22" s="28">
        <v>406</v>
      </c>
      <c r="H22" s="28">
        <v>812</v>
      </c>
      <c r="I22" s="28">
        <v>1624</v>
      </c>
      <c r="J22" s="28">
        <v>4640</v>
      </c>
      <c r="K22" s="28">
        <v>12224</v>
      </c>
      <c r="L22" s="28">
        <v>27520</v>
      </c>
      <c r="M22" s="29">
        <v>64256</v>
      </c>
      <c r="O22" s="93"/>
      <c r="P22" s="96"/>
      <c r="Q22" s="5">
        <v>0.75</v>
      </c>
      <c r="R22" s="18">
        <f t="shared" si="0"/>
        <v>0.25352112676056338</v>
      </c>
      <c r="S22" s="12">
        <f t="shared" si="1"/>
        <v>0.60098522167487689</v>
      </c>
      <c r="T22" s="12">
        <f t="shared" si="2"/>
        <v>0.60837438423645318</v>
      </c>
      <c r="U22" s="12">
        <f t="shared" si="3"/>
        <v>0.60344827586206895</v>
      </c>
      <c r="V22" s="12">
        <f t="shared" si="4"/>
        <v>0.60344827586206895</v>
      </c>
      <c r="W22" s="12">
        <f t="shared" si="5"/>
        <v>0.42586206896551726</v>
      </c>
      <c r="X22" s="12">
        <f t="shared" si="6"/>
        <v>0.31806282722513091</v>
      </c>
      <c r="Y22" s="12">
        <f t="shared" si="7"/>
        <v>0.47209302325581393</v>
      </c>
      <c r="Z22" s="19">
        <f t="shared" si="8"/>
        <v>0.50796812749003983</v>
      </c>
    </row>
    <row r="23" spans="2:26" ht="15" customHeight="1" thickBot="1">
      <c r="B23" s="93"/>
      <c r="C23" s="97"/>
      <c r="D23" s="6">
        <v>1</v>
      </c>
      <c r="E23" s="30">
        <v>105</v>
      </c>
      <c r="F23" s="31">
        <v>197</v>
      </c>
      <c r="G23" s="31">
        <v>390</v>
      </c>
      <c r="H23" s="31">
        <v>772</v>
      </c>
      <c r="I23" s="31">
        <v>1560</v>
      </c>
      <c r="J23" s="31">
        <v>3440</v>
      </c>
      <c r="K23" s="31">
        <v>9280</v>
      </c>
      <c r="L23" s="31">
        <v>18048</v>
      </c>
      <c r="M23" s="32">
        <v>32384</v>
      </c>
      <c r="O23" s="93"/>
      <c r="P23" s="97"/>
      <c r="Q23" s="6">
        <v>1</v>
      </c>
      <c r="R23" s="20">
        <f t="shared" si="0"/>
        <v>0.64761904761904765</v>
      </c>
      <c r="S23" s="21">
        <f t="shared" si="1"/>
        <v>0.6091370558375635</v>
      </c>
      <c r="T23" s="21">
        <f t="shared" si="2"/>
        <v>0.53076923076923077</v>
      </c>
      <c r="U23" s="21">
        <f t="shared" si="3"/>
        <v>0.48963730569948188</v>
      </c>
      <c r="V23" s="21">
        <f t="shared" si="4"/>
        <v>0.55128205128205132</v>
      </c>
      <c r="W23" s="21">
        <f t="shared" si="5"/>
        <v>0.42558139534883721</v>
      </c>
      <c r="X23" s="21">
        <f t="shared" si="6"/>
        <v>0.33275862068965517</v>
      </c>
      <c r="Y23" s="21">
        <f t="shared" si="7"/>
        <v>0.5</v>
      </c>
      <c r="Z23" s="22">
        <f t="shared" si="8"/>
        <v>0.77075098814229248</v>
      </c>
    </row>
    <row r="24" spans="2:26" ht="15" customHeight="1">
      <c r="B24" s="93"/>
      <c r="C24" s="95" t="s">
        <v>8</v>
      </c>
      <c r="D24" s="7">
        <v>0.25</v>
      </c>
      <c r="E24" s="33">
        <v>11047</v>
      </c>
      <c r="F24" s="34">
        <v>18057</v>
      </c>
      <c r="G24" s="34">
        <v>26682</v>
      </c>
      <c r="H24" s="34">
        <v>27122</v>
      </c>
      <c r="I24" s="34">
        <v>27148</v>
      </c>
      <c r="J24" s="34">
        <v>27131</v>
      </c>
      <c r="K24" s="34">
        <v>27163</v>
      </c>
      <c r="L24" s="34">
        <v>27151</v>
      </c>
      <c r="M24" s="35">
        <v>27139</v>
      </c>
      <c r="O24" s="93"/>
      <c r="P24" s="98" t="s">
        <v>8</v>
      </c>
      <c r="Q24" s="4">
        <v>0.25</v>
      </c>
      <c r="R24" s="15">
        <f t="shared" si="0"/>
        <v>1.4643794695392414</v>
      </c>
      <c r="S24" s="16">
        <f t="shared" si="1"/>
        <v>1.5084454782078973</v>
      </c>
      <c r="T24" s="16">
        <f t="shared" si="2"/>
        <v>1.4346001049396597</v>
      </c>
      <c r="U24" s="16">
        <f t="shared" si="3"/>
        <v>1.6130078902735787</v>
      </c>
      <c r="V24" s="16">
        <f t="shared" si="4"/>
        <v>1.6129733313687933</v>
      </c>
      <c r="W24" s="16">
        <f t="shared" si="5"/>
        <v>1.6137259960930301</v>
      </c>
      <c r="X24" s="16">
        <f t="shared" si="6"/>
        <v>1.6102786879210691</v>
      </c>
      <c r="Y24" s="16">
        <f t="shared" si="7"/>
        <v>1.6123899672203601</v>
      </c>
      <c r="Z24" s="17">
        <f t="shared" si="8"/>
        <v>1.6124396624783521</v>
      </c>
    </row>
    <row r="25" spans="2:26" ht="15" customHeight="1">
      <c r="B25" s="93"/>
      <c r="C25" s="96"/>
      <c r="D25" s="5">
        <v>0.5</v>
      </c>
      <c r="E25" s="27">
        <v>24454</v>
      </c>
      <c r="F25" s="28">
        <v>34625</v>
      </c>
      <c r="G25" s="28">
        <v>34940</v>
      </c>
      <c r="H25" s="28">
        <v>34758</v>
      </c>
      <c r="I25" s="28">
        <v>34582</v>
      </c>
      <c r="J25" s="28">
        <v>34631</v>
      </c>
      <c r="K25" s="28">
        <v>34646</v>
      </c>
      <c r="L25" s="28">
        <v>34662</v>
      </c>
      <c r="M25" s="29">
        <v>34655</v>
      </c>
      <c r="O25" s="93"/>
      <c r="P25" s="96"/>
      <c r="Q25" s="5">
        <v>0.5</v>
      </c>
      <c r="R25" s="18">
        <f t="shared" si="0"/>
        <v>1.5227365666148687</v>
      </c>
      <c r="S25" s="12">
        <f t="shared" si="1"/>
        <v>1.5783104693140795</v>
      </c>
      <c r="T25" s="12">
        <f t="shared" si="2"/>
        <v>1.8128506010303378</v>
      </c>
      <c r="U25" s="12">
        <f t="shared" si="3"/>
        <v>1.8222279762932274</v>
      </c>
      <c r="V25" s="12">
        <f t="shared" si="4"/>
        <v>1.8302295992134636</v>
      </c>
      <c r="W25" s="12">
        <f t="shared" si="5"/>
        <v>1.8292281481909272</v>
      </c>
      <c r="X25" s="12">
        <f t="shared" si="6"/>
        <v>1.9437453097038619</v>
      </c>
      <c r="Y25" s="12">
        <f t="shared" si="7"/>
        <v>1.9457619294905084</v>
      </c>
      <c r="Z25" s="19">
        <f t="shared" si="8"/>
        <v>1.9424902611455779</v>
      </c>
    </row>
    <row r="26" spans="2:26" ht="15" customHeight="1">
      <c r="B26" s="93"/>
      <c r="C26" s="96"/>
      <c r="D26" s="5">
        <v>0.75</v>
      </c>
      <c r="E26" s="27">
        <v>40130</v>
      </c>
      <c r="F26" s="28">
        <v>40292</v>
      </c>
      <c r="G26" s="28">
        <v>40374</v>
      </c>
      <c r="H26" s="28">
        <v>40522</v>
      </c>
      <c r="I26" s="28">
        <v>40654</v>
      </c>
      <c r="J26" s="28">
        <v>40725</v>
      </c>
      <c r="K26" s="28">
        <v>40824</v>
      </c>
      <c r="L26" s="28">
        <v>40738</v>
      </c>
      <c r="M26" s="29">
        <v>40727</v>
      </c>
      <c r="O26" s="93"/>
      <c r="P26" s="96"/>
      <c r="Q26" s="5">
        <v>0.75</v>
      </c>
      <c r="R26" s="18">
        <f t="shared" si="0"/>
        <v>1.7184151507600298</v>
      </c>
      <c r="S26" s="12">
        <f t="shared" si="1"/>
        <v>1.9344038518812667</v>
      </c>
      <c r="T26" s="12">
        <f t="shared" si="2"/>
        <v>1.9306236686976768</v>
      </c>
      <c r="U26" s="12">
        <f t="shared" si="3"/>
        <v>1.9228813977592418</v>
      </c>
      <c r="V26" s="12">
        <f t="shared" si="4"/>
        <v>1.9173759039700891</v>
      </c>
      <c r="W26" s="12">
        <f t="shared" si="5"/>
        <v>1.9132965009208103</v>
      </c>
      <c r="X26" s="12">
        <f t="shared" si="6"/>
        <v>1.9377327062512248</v>
      </c>
      <c r="Y26" s="12">
        <f t="shared" si="7"/>
        <v>1.9412587755903579</v>
      </c>
      <c r="Z26" s="19">
        <f t="shared" si="8"/>
        <v>1.941832199769195</v>
      </c>
    </row>
    <row r="27" spans="2:26" ht="15" customHeight="1" thickBot="1">
      <c r="B27" s="94"/>
      <c r="C27" s="97"/>
      <c r="D27" s="6">
        <v>1</v>
      </c>
      <c r="E27" s="30">
        <v>42051</v>
      </c>
      <c r="F27" s="31">
        <v>42178</v>
      </c>
      <c r="G27" s="31">
        <v>42166</v>
      </c>
      <c r="H27" s="31">
        <v>42157</v>
      </c>
      <c r="I27" s="31">
        <v>42170</v>
      </c>
      <c r="J27" s="31">
        <v>42159</v>
      </c>
      <c r="K27" s="31">
        <v>42156</v>
      </c>
      <c r="L27" s="31">
        <v>42165</v>
      </c>
      <c r="M27" s="32">
        <v>42072</v>
      </c>
      <c r="O27" s="94"/>
      <c r="P27" s="97"/>
      <c r="Q27" s="6">
        <v>1</v>
      </c>
      <c r="R27" s="20">
        <f t="shared" si="0"/>
        <v>2.0976908991462748</v>
      </c>
      <c r="S27" s="21">
        <f t="shared" si="1"/>
        <v>2.0913272322063636</v>
      </c>
      <c r="T27" s="21">
        <f t="shared" si="2"/>
        <v>2.0919935493051272</v>
      </c>
      <c r="U27" s="21">
        <f t="shared" si="3"/>
        <v>2.0924638850013046</v>
      </c>
      <c r="V27" s="21">
        <f t="shared" si="4"/>
        <v>2.0917714014702393</v>
      </c>
      <c r="W27" s="21">
        <f t="shared" si="5"/>
        <v>2.0923646196541665</v>
      </c>
      <c r="X27" s="21">
        <f t="shared" si="6"/>
        <v>2.0925135212069454</v>
      </c>
      <c r="Y27" s="21">
        <f t="shared" si="7"/>
        <v>2.0920668801138387</v>
      </c>
      <c r="Z27" s="22">
        <f t="shared" si="8"/>
        <v>2.0966438486404257</v>
      </c>
    </row>
    <row r="28" spans="2:26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2:26" ht="15" customHeight="1" thickBot="1">
      <c r="B29" s="112" t="s">
        <v>75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4"/>
      <c r="M29" s="85"/>
      <c r="O29" s="13" t="s">
        <v>20</v>
      </c>
      <c r="P29" s="14">
        <f>(COUNTIF(R4:Z11,"&lt;1.1")+COUNTIF(R16:Z23,"&lt;1.1"))/(COUNT(R4:Z11)+COUNT(R16:Z23))</f>
        <v>0.97916666666666663</v>
      </c>
      <c r="Q29" s="109" t="s">
        <v>19</v>
      </c>
      <c r="R29" s="110"/>
      <c r="S29" s="110"/>
      <c r="T29" s="110"/>
      <c r="U29" s="111"/>
    </row>
    <row r="30" spans="2:26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2" t="s">
        <v>23</v>
      </c>
      <c r="M30" s="3" t="s">
        <v>17</v>
      </c>
      <c r="O30" s="13" t="s">
        <v>21</v>
      </c>
      <c r="P30" s="23">
        <f>(COUNTIF(R4:Z11,"&lt;1.1"))/(COUNT(R4:Z11))</f>
        <v>0.97222222222222221</v>
      </c>
      <c r="Q30" s="109" t="s">
        <v>19</v>
      </c>
      <c r="R30" s="110"/>
      <c r="S30" s="110"/>
      <c r="T30" s="110"/>
      <c r="U30" s="111"/>
    </row>
    <row r="31" spans="2:26" ht="15" customHeight="1" thickBot="1">
      <c r="B31" s="92" t="s">
        <v>5</v>
      </c>
      <c r="C31" s="98" t="s">
        <v>6</v>
      </c>
      <c r="D31" s="4">
        <v>0.25</v>
      </c>
      <c r="E31" s="36">
        <v>382</v>
      </c>
      <c r="F31" s="37">
        <v>414</v>
      </c>
      <c r="G31" s="37">
        <v>430</v>
      </c>
      <c r="H31" s="37">
        <v>442</v>
      </c>
      <c r="I31" s="37">
        <v>442</v>
      </c>
      <c r="J31" s="37">
        <v>442</v>
      </c>
      <c r="K31" s="37">
        <v>1688</v>
      </c>
      <c r="L31" s="37">
        <v>7904</v>
      </c>
      <c r="M31" s="38">
        <v>22656</v>
      </c>
      <c r="O31" s="13" t="s">
        <v>22</v>
      </c>
      <c r="P31" s="23">
        <f>COUNTIF(R16:Z23,"&lt;1.1")/+COUNT(R16:Z23)</f>
        <v>0.98611111111111116</v>
      </c>
      <c r="Q31" s="109" t="s">
        <v>19</v>
      </c>
      <c r="R31" s="110"/>
      <c r="S31" s="110"/>
      <c r="T31" s="110"/>
      <c r="U31" s="111"/>
    </row>
    <row r="32" spans="2:26" ht="15" customHeight="1">
      <c r="B32" s="93"/>
      <c r="C32" s="96"/>
      <c r="D32" s="5">
        <v>0.5</v>
      </c>
      <c r="E32" s="39">
        <v>310</v>
      </c>
      <c r="F32" s="40">
        <v>378</v>
      </c>
      <c r="G32" s="40">
        <v>438</v>
      </c>
      <c r="H32" s="40">
        <v>450</v>
      </c>
      <c r="I32" s="40">
        <v>454</v>
      </c>
      <c r="J32" s="40">
        <v>462</v>
      </c>
      <c r="K32" s="40">
        <v>1768</v>
      </c>
      <c r="L32" s="40">
        <v>6816</v>
      </c>
      <c r="M32" s="41">
        <v>18816</v>
      </c>
    </row>
    <row r="33" spans="2:22" ht="15" customHeight="1">
      <c r="B33" s="93"/>
      <c r="C33" s="96"/>
      <c r="D33" s="5">
        <v>0.75</v>
      </c>
      <c r="E33" s="39">
        <v>258</v>
      </c>
      <c r="F33" s="40">
        <v>314</v>
      </c>
      <c r="G33" s="40">
        <v>398</v>
      </c>
      <c r="H33" s="40">
        <v>532</v>
      </c>
      <c r="I33" s="40">
        <v>804</v>
      </c>
      <c r="J33" s="40">
        <v>1304</v>
      </c>
      <c r="K33" s="40">
        <v>2320</v>
      </c>
      <c r="L33" s="40">
        <v>6560</v>
      </c>
      <c r="M33" s="41">
        <v>15936</v>
      </c>
    </row>
    <row r="34" spans="2:22" ht="15" customHeight="1" thickBot="1">
      <c r="B34" s="93"/>
      <c r="C34" s="97"/>
      <c r="D34" s="6">
        <v>1</v>
      </c>
      <c r="E34" s="42">
        <v>106</v>
      </c>
      <c r="F34" s="43">
        <v>120</v>
      </c>
      <c r="G34" s="43">
        <v>157</v>
      </c>
      <c r="H34" s="43">
        <v>241</v>
      </c>
      <c r="I34" s="43">
        <v>442</v>
      </c>
      <c r="J34" s="43">
        <v>892</v>
      </c>
      <c r="K34" s="43">
        <v>1704</v>
      </c>
      <c r="L34" s="43">
        <v>2864</v>
      </c>
      <c r="M34" s="44">
        <v>6432</v>
      </c>
    </row>
    <row r="35" spans="2:22" ht="15" customHeight="1">
      <c r="B35" s="93"/>
      <c r="C35" s="98" t="s">
        <v>7</v>
      </c>
      <c r="D35" s="4">
        <v>0.25</v>
      </c>
      <c r="E35" s="36">
        <v>884</v>
      </c>
      <c r="F35" s="37">
        <v>924</v>
      </c>
      <c r="G35" s="37">
        <v>964</v>
      </c>
      <c r="H35" s="37">
        <v>980</v>
      </c>
      <c r="I35" s="37">
        <v>988</v>
      </c>
      <c r="J35" s="37">
        <v>988</v>
      </c>
      <c r="K35" s="37">
        <v>1960</v>
      </c>
      <c r="L35" s="37">
        <v>10432</v>
      </c>
      <c r="M35" s="38">
        <v>30080</v>
      </c>
    </row>
    <row r="36" spans="2:22" ht="15" customHeight="1">
      <c r="B36" s="93"/>
      <c r="C36" s="96"/>
      <c r="D36" s="5">
        <v>0.5</v>
      </c>
      <c r="E36" s="39">
        <v>844</v>
      </c>
      <c r="F36" s="40">
        <v>884</v>
      </c>
      <c r="G36" s="40">
        <v>932</v>
      </c>
      <c r="H36" s="40">
        <v>1048</v>
      </c>
      <c r="I36" s="40">
        <v>1192</v>
      </c>
      <c r="J36" s="40">
        <v>1272</v>
      </c>
      <c r="K36" s="40">
        <v>2320</v>
      </c>
      <c r="L36" s="40">
        <v>8896</v>
      </c>
      <c r="M36" s="41">
        <v>24192</v>
      </c>
    </row>
    <row r="37" spans="2:22" ht="15" customHeight="1">
      <c r="B37" s="93"/>
      <c r="C37" s="96"/>
      <c r="D37" s="5">
        <v>0.75</v>
      </c>
      <c r="E37" s="39">
        <v>548</v>
      </c>
      <c r="F37" s="40">
        <v>724</v>
      </c>
      <c r="G37" s="40">
        <v>876</v>
      </c>
      <c r="H37" s="40">
        <v>980</v>
      </c>
      <c r="I37" s="40">
        <v>1336</v>
      </c>
      <c r="J37" s="40">
        <v>2096</v>
      </c>
      <c r="K37" s="40">
        <v>3120</v>
      </c>
      <c r="L37" s="40">
        <v>8256</v>
      </c>
      <c r="M37" s="41">
        <v>20096</v>
      </c>
    </row>
    <row r="38" spans="2:22" ht="15" customHeight="1" thickBot="1">
      <c r="B38" s="93"/>
      <c r="C38" s="97"/>
      <c r="D38" s="6">
        <v>1</v>
      </c>
      <c r="E38" s="42">
        <v>153</v>
      </c>
      <c r="F38" s="43">
        <v>191</v>
      </c>
      <c r="G38" s="43">
        <v>266</v>
      </c>
      <c r="H38" s="43">
        <v>430</v>
      </c>
      <c r="I38" s="43">
        <v>804</v>
      </c>
      <c r="J38" s="43">
        <v>1640</v>
      </c>
      <c r="K38" s="46">
        <v>3056</v>
      </c>
      <c r="L38" s="43">
        <v>4320</v>
      </c>
      <c r="M38" s="44">
        <v>7968</v>
      </c>
    </row>
    <row r="39" spans="2:22" ht="15" customHeight="1">
      <c r="B39" s="93"/>
      <c r="C39" s="98" t="s">
        <v>8</v>
      </c>
      <c r="D39" s="4">
        <v>0.25</v>
      </c>
      <c r="E39" s="36">
        <v>22988</v>
      </c>
      <c r="F39" s="37">
        <v>25990</v>
      </c>
      <c r="G39" s="37">
        <v>25974</v>
      </c>
      <c r="H39" s="37">
        <v>25958</v>
      </c>
      <c r="I39" s="37">
        <v>26002</v>
      </c>
      <c r="J39" s="37">
        <v>25950</v>
      </c>
      <c r="K39" s="37">
        <v>26385</v>
      </c>
      <c r="L39" s="37">
        <v>26361</v>
      </c>
      <c r="M39" s="38">
        <v>26371</v>
      </c>
    </row>
    <row r="40" spans="2:22" ht="15" customHeight="1">
      <c r="B40" s="93"/>
      <c r="C40" s="96"/>
      <c r="D40" s="5">
        <v>0.5</v>
      </c>
      <c r="E40" s="39">
        <v>37244</v>
      </c>
      <c r="F40" s="40">
        <v>54633</v>
      </c>
      <c r="G40" s="40">
        <v>63317</v>
      </c>
      <c r="H40" s="40">
        <v>63330</v>
      </c>
      <c r="I40" s="40">
        <v>63309</v>
      </c>
      <c r="J40" s="40">
        <v>63353</v>
      </c>
      <c r="K40" s="40">
        <v>67353</v>
      </c>
      <c r="L40" s="40">
        <v>67449</v>
      </c>
      <c r="M40" s="41">
        <v>67289</v>
      </c>
    </row>
    <row r="41" spans="2:22" ht="15" customHeight="1">
      <c r="B41" s="93"/>
      <c r="C41" s="96"/>
      <c r="D41" s="5">
        <v>0.75</v>
      </c>
      <c r="E41" s="39">
        <v>48535</v>
      </c>
      <c r="F41" s="40">
        <v>81677</v>
      </c>
      <c r="G41" s="40">
        <v>114814</v>
      </c>
      <c r="H41" s="40">
        <v>131262</v>
      </c>
      <c r="I41" s="40">
        <v>131344</v>
      </c>
      <c r="J41" s="40">
        <v>131352</v>
      </c>
      <c r="K41" s="40">
        <v>131212</v>
      </c>
      <c r="L41" s="40">
        <v>131319</v>
      </c>
      <c r="M41" s="41">
        <v>131281</v>
      </c>
    </row>
    <row r="42" spans="2:22" ht="15" customHeight="1" thickBot="1">
      <c r="B42" s="94"/>
      <c r="C42" s="97"/>
      <c r="D42" s="6">
        <v>1</v>
      </c>
      <c r="E42" s="42">
        <v>60801</v>
      </c>
      <c r="F42" s="43">
        <v>115815</v>
      </c>
      <c r="G42" s="43">
        <v>209417</v>
      </c>
      <c r="H42" s="43">
        <v>339243</v>
      </c>
      <c r="I42" s="43">
        <v>461662</v>
      </c>
      <c r="J42" s="43">
        <v>537213</v>
      </c>
      <c r="K42" s="43">
        <v>571112</v>
      </c>
      <c r="L42" s="43">
        <v>571260</v>
      </c>
      <c r="M42" s="44">
        <v>571259</v>
      </c>
    </row>
    <row r="43" spans="2:22" ht="15" customHeight="1">
      <c r="B43" s="83" t="s">
        <v>9</v>
      </c>
      <c r="C43" s="98" t="s">
        <v>6</v>
      </c>
      <c r="D43" s="4">
        <v>0.25</v>
      </c>
      <c r="E43" s="36">
        <v>13</v>
      </c>
      <c r="F43" s="37">
        <v>14</v>
      </c>
      <c r="G43" s="37">
        <v>16</v>
      </c>
      <c r="H43" s="37">
        <v>25</v>
      </c>
      <c r="I43" s="37">
        <v>58</v>
      </c>
      <c r="J43" s="37">
        <v>57</v>
      </c>
      <c r="K43" s="37">
        <v>58</v>
      </c>
      <c r="L43" s="37">
        <v>4576</v>
      </c>
      <c r="M43" s="38">
        <v>13888</v>
      </c>
    </row>
    <row r="44" spans="2:22" ht="15" customHeight="1">
      <c r="B44" s="93"/>
      <c r="C44" s="96"/>
      <c r="D44" s="5">
        <v>0.5</v>
      </c>
      <c r="E44" s="39">
        <v>13</v>
      </c>
      <c r="F44" s="40">
        <v>14</v>
      </c>
      <c r="G44" s="40">
        <v>169</v>
      </c>
      <c r="H44" s="40">
        <v>482</v>
      </c>
      <c r="I44" s="40">
        <v>1080</v>
      </c>
      <c r="J44" s="40">
        <v>2288</v>
      </c>
      <c r="K44" s="40">
        <v>3664</v>
      </c>
      <c r="L44" s="40">
        <v>9280</v>
      </c>
      <c r="M44" s="41">
        <v>21376</v>
      </c>
    </row>
    <row r="45" spans="2:22" ht="15" customHeight="1">
      <c r="B45" s="93"/>
      <c r="C45" s="96"/>
      <c r="D45" s="5">
        <v>0.75</v>
      </c>
      <c r="E45" s="39">
        <v>13</v>
      </c>
      <c r="F45" s="40">
        <v>120</v>
      </c>
      <c r="G45" s="40">
        <v>243</v>
      </c>
      <c r="H45" s="40">
        <v>490</v>
      </c>
      <c r="I45" s="40">
        <v>980</v>
      </c>
      <c r="J45" s="40">
        <v>1960</v>
      </c>
      <c r="K45" s="40">
        <v>3824</v>
      </c>
      <c r="L45" s="40">
        <v>10560</v>
      </c>
      <c r="M45" s="41">
        <v>25472</v>
      </c>
      <c r="V45" s="11" t="s">
        <v>64</v>
      </c>
    </row>
    <row r="46" spans="2:22" ht="15" customHeight="1" thickBot="1">
      <c r="B46" s="93"/>
      <c r="C46" s="97"/>
      <c r="D46" s="6">
        <v>1</v>
      </c>
      <c r="E46" s="42">
        <v>66</v>
      </c>
      <c r="F46" s="43">
        <v>101</v>
      </c>
      <c r="G46" s="43">
        <v>205</v>
      </c>
      <c r="H46" s="43">
        <v>374</v>
      </c>
      <c r="I46" s="43">
        <v>748</v>
      </c>
      <c r="J46" s="43">
        <v>1464</v>
      </c>
      <c r="K46" s="43">
        <v>2928</v>
      </c>
      <c r="L46" s="43">
        <v>8512</v>
      </c>
      <c r="M46" s="44">
        <v>19328</v>
      </c>
    </row>
    <row r="47" spans="2:22" ht="15" customHeight="1">
      <c r="B47" s="93"/>
      <c r="C47" s="98" t="s">
        <v>7</v>
      </c>
      <c r="D47" s="4">
        <v>0.25</v>
      </c>
      <c r="E47" s="36">
        <v>18</v>
      </c>
      <c r="F47" s="37">
        <v>19</v>
      </c>
      <c r="G47" s="37">
        <v>21</v>
      </c>
      <c r="H47" s="37">
        <v>104</v>
      </c>
      <c r="I47" s="37">
        <v>139</v>
      </c>
      <c r="J47" s="37">
        <v>137</v>
      </c>
      <c r="K47" s="37">
        <v>141</v>
      </c>
      <c r="L47" s="37">
        <v>6176</v>
      </c>
      <c r="M47" s="38">
        <v>18304</v>
      </c>
    </row>
    <row r="48" spans="2:22" ht="15" customHeight="1">
      <c r="B48" s="93"/>
      <c r="C48" s="96"/>
      <c r="D48" s="5">
        <v>0.5</v>
      </c>
      <c r="E48" s="39">
        <v>18</v>
      </c>
      <c r="F48" s="40">
        <v>19</v>
      </c>
      <c r="G48" s="40">
        <v>221</v>
      </c>
      <c r="H48" s="40">
        <v>604</v>
      </c>
      <c r="I48" s="40">
        <v>1304</v>
      </c>
      <c r="J48" s="40">
        <v>2704</v>
      </c>
      <c r="K48" s="40">
        <v>3856</v>
      </c>
      <c r="L48" s="40">
        <v>11200</v>
      </c>
      <c r="M48" s="41">
        <v>26752</v>
      </c>
    </row>
    <row r="49" spans="2:13" ht="15" customHeight="1">
      <c r="B49" s="93"/>
      <c r="C49" s="96"/>
      <c r="D49" s="5">
        <v>0.75</v>
      </c>
      <c r="E49" s="39">
        <v>18</v>
      </c>
      <c r="F49" s="40">
        <v>122</v>
      </c>
      <c r="G49" s="40">
        <v>247</v>
      </c>
      <c r="H49" s="40">
        <v>490</v>
      </c>
      <c r="I49" s="40">
        <v>980</v>
      </c>
      <c r="J49" s="40">
        <v>1976</v>
      </c>
      <c r="K49" s="40">
        <v>3888</v>
      </c>
      <c r="L49" s="40">
        <v>12992</v>
      </c>
      <c r="M49" s="41">
        <v>32640</v>
      </c>
    </row>
    <row r="50" spans="2:13" ht="15" customHeight="1" thickBot="1">
      <c r="B50" s="93"/>
      <c r="C50" s="97"/>
      <c r="D50" s="6">
        <v>1</v>
      </c>
      <c r="E50" s="42">
        <v>68</v>
      </c>
      <c r="F50" s="43">
        <v>120</v>
      </c>
      <c r="G50" s="43">
        <v>207</v>
      </c>
      <c r="H50" s="43">
        <v>378</v>
      </c>
      <c r="I50" s="43">
        <v>860</v>
      </c>
      <c r="J50" s="43">
        <v>1464</v>
      </c>
      <c r="K50" s="43">
        <v>3088</v>
      </c>
      <c r="L50" s="43">
        <v>9024</v>
      </c>
      <c r="M50" s="44">
        <v>24960</v>
      </c>
    </row>
    <row r="51" spans="2:13" ht="15" customHeight="1">
      <c r="B51" s="93"/>
      <c r="C51" s="98" t="s">
        <v>8</v>
      </c>
      <c r="D51" s="4">
        <v>0.25</v>
      </c>
      <c r="E51" s="24">
        <v>16177</v>
      </c>
      <c r="F51" s="25">
        <v>27238</v>
      </c>
      <c r="G51" s="25">
        <v>38278</v>
      </c>
      <c r="H51" s="25">
        <v>43748</v>
      </c>
      <c r="I51" s="25">
        <v>43789</v>
      </c>
      <c r="J51" s="25">
        <v>43782</v>
      </c>
      <c r="K51" s="25">
        <v>43740</v>
      </c>
      <c r="L51" s="25">
        <v>43778</v>
      </c>
      <c r="M51" s="26">
        <v>43760</v>
      </c>
    </row>
    <row r="52" spans="2:13" ht="15" customHeight="1">
      <c r="B52" s="93"/>
      <c r="C52" s="96"/>
      <c r="D52" s="5">
        <v>0.5</v>
      </c>
      <c r="E52" s="27">
        <v>37237</v>
      </c>
      <c r="F52" s="28">
        <v>54649</v>
      </c>
      <c r="G52" s="28">
        <v>63341</v>
      </c>
      <c r="H52" s="28">
        <v>63337</v>
      </c>
      <c r="I52" s="28">
        <v>63293</v>
      </c>
      <c r="J52" s="28">
        <v>63348</v>
      </c>
      <c r="K52" s="28">
        <v>67343</v>
      </c>
      <c r="L52" s="28">
        <v>67444</v>
      </c>
      <c r="M52" s="29">
        <v>67317</v>
      </c>
    </row>
    <row r="53" spans="2:13" ht="15" customHeight="1">
      <c r="B53" s="93"/>
      <c r="C53" s="96"/>
      <c r="D53" s="5">
        <v>0.75</v>
      </c>
      <c r="E53" s="27">
        <v>68960</v>
      </c>
      <c r="F53" s="28">
        <v>77941</v>
      </c>
      <c r="G53" s="28">
        <v>77947</v>
      </c>
      <c r="H53" s="28">
        <v>77919</v>
      </c>
      <c r="I53" s="28">
        <v>77949</v>
      </c>
      <c r="J53" s="28">
        <v>77919</v>
      </c>
      <c r="K53" s="28">
        <v>79106</v>
      </c>
      <c r="L53" s="28">
        <v>79083</v>
      </c>
      <c r="M53" s="29">
        <v>79085</v>
      </c>
    </row>
    <row r="54" spans="2:13" ht="15" customHeight="1" thickBot="1">
      <c r="B54" s="94"/>
      <c r="C54" s="97"/>
      <c r="D54" s="6">
        <v>1</v>
      </c>
      <c r="E54" s="30">
        <v>88210</v>
      </c>
      <c r="F54" s="31">
        <v>88208</v>
      </c>
      <c r="G54" s="31">
        <v>88211</v>
      </c>
      <c r="H54" s="31">
        <v>88212</v>
      </c>
      <c r="I54" s="31">
        <v>88210</v>
      </c>
      <c r="J54" s="31">
        <v>88212</v>
      </c>
      <c r="K54" s="31">
        <v>88212</v>
      </c>
      <c r="L54" s="31">
        <v>88212</v>
      </c>
      <c r="M54" s="32">
        <v>88210</v>
      </c>
    </row>
  </sheetData>
  <mergeCells count="33">
    <mergeCell ref="B2:D3"/>
    <mergeCell ref="E2:M2"/>
    <mergeCell ref="O2:Q3"/>
    <mergeCell ref="R2:Z2"/>
    <mergeCell ref="B4:B15"/>
    <mergeCell ref="C4:C7"/>
    <mergeCell ref="O4:O15"/>
    <mergeCell ref="P4:P7"/>
    <mergeCell ref="C8:C11"/>
    <mergeCell ref="P8:P11"/>
    <mergeCell ref="C12:C15"/>
    <mergeCell ref="P12:P15"/>
    <mergeCell ref="B16:B27"/>
    <mergeCell ref="C16:C19"/>
    <mergeCell ref="O16:O27"/>
    <mergeCell ref="P16:P19"/>
    <mergeCell ref="C20:C23"/>
    <mergeCell ref="P20:P23"/>
    <mergeCell ref="C24:C27"/>
    <mergeCell ref="P24:P27"/>
    <mergeCell ref="E29:M29"/>
    <mergeCell ref="Q29:U29"/>
    <mergeCell ref="Q30:U30"/>
    <mergeCell ref="B31:B42"/>
    <mergeCell ref="C31:C34"/>
    <mergeCell ref="Q31:U31"/>
    <mergeCell ref="C35:C38"/>
    <mergeCell ref="C39:C42"/>
    <mergeCell ref="B43:B54"/>
    <mergeCell ref="C43:C46"/>
    <mergeCell ref="C47:C50"/>
    <mergeCell ref="C51:C54"/>
    <mergeCell ref="B29:D30"/>
  </mergeCells>
  <phoneticPr fontId="1" type="noConversion"/>
  <conditionalFormatting sqref="P29">
    <cfRule type="cellIs" dxfId="67" priority="16" operator="lessThan">
      <formula>0.8</formula>
    </cfRule>
  </conditionalFormatting>
  <conditionalFormatting sqref="P30:P31">
    <cfRule type="cellIs" dxfId="66" priority="15" operator="lessThan">
      <formula>0.8</formula>
    </cfRule>
  </conditionalFormatting>
  <conditionalFormatting sqref="E16:J19 E23:J23 F22:J22 E21:J21 E20 G20:J20">
    <cfRule type="expression" dxfId="65" priority="14">
      <formula>R16&gt;1.1</formula>
    </cfRule>
  </conditionalFormatting>
  <conditionalFormatting sqref="K16:K23">
    <cfRule type="expression" dxfId="64" priority="11">
      <formula>W16&gt;1.1</formula>
    </cfRule>
  </conditionalFormatting>
  <conditionalFormatting sqref="L16:M23">
    <cfRule type="expression" dxfId="63" priority="12">
      <formula>Y16&gt;1.1</formula>
    </cfRule>
  </conditionalFormatting>
  <conditionalFormatting sqref="E43:M45 E50:M50 F49:M49 E48:M48 E46:E47 G46:M47">
    <cfRule type="expression" dxfId="62" priority="10">
      <formula>R16&gt;1.1</formula>
    </cfRule>
  </conditionalFormatting>
  <conditionalFormatting sqref="E31:M38">
    <cfRule type="expression" dxfId="61" priority="9">
      <formula>R4&gt;1.1</formula>
    </cfRule>
  </conditionalFormatting>
  <conditionalFormatting sqref="E4:M11">
    <cfRule type="expression" dxfId="60" priority="6">
      <formula>R4&gt;1.1</formula>
    </cfRule>
  </conditionalFormatting>
  <conditionalFormatting sqref="K4:K11">
    <cfRule type="expression" dxfId="59" priority="5">
      <formula>W4&gt;1.1</formula>
    </cfRule>
  </conditionalFormatting>
  <conditionalFormatting sqref="R4:Z11 R17:Z19 R16:S16 U16:Z16 R21:Z23 R20 U20:Z20">
    <cfRule type="cellIs" dxfId="58" priority="3" operator="lessThan">
      <formula>0.9</formula>
    </cfRule>
    <cfRule type="cellIs" dxfId="57" priority="4" operator="greaterThan">
      <formula>1.1</formula>
    </cfRule>
  </conditionalFormatting>
  <conditionalFormatting sqref="R12:Z15 R24:Z27">
    <cfRule type="cellIs" dxfId="56" priority="1" operator="lessThan">
      <formula>0.95</formula>
    </cfRule>
    <cfRule type="cellIs" dxfId="55" priority="2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N54"/>
  <sheetViews>
    <sheetView showGridLines="0" zoomScale="70" zoomScaleNormal="70" workbookViewId="0">
      <selection activeCell="B2" sqref="B2:AN54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9.69921875" style="11" customWidth="1"/>
    <col min="5" max="20" width="6.59765625" style="11" customWidth="1"/>
    <col min="21" max="21" width="3.09765625" style="11" customWidth="1"/>
    <col min="22" max="22" width="13.09765625" style="11" customWidth="1"/>
    <col min="23" max="23" width="11" style="11" bestFit="1" customWidth="1"/>
    <col min="24" max="24" width="8.09765625" style="11" customWidth="1"/>
    <col min="25" max="40" width="7.5" style="11" customWidth="1"/>
    <col min="41" max="16384" width="9" style="11"/>
  </cols>
  <sheetData>
    <row r="1" spans="2:40" ht="15" customHeight="1" thickBot="1"/>
    <row r="2" spans="2:40" ht="15" customHeight="1">
      <c r="B2" s="99" t="s">
        <v>70</v>
      </c>
      <c r="C2" s="100"/>
      <c r="D2" s="101"/>
      <c r="E2" s="83" t="s">
        <v>14</v>
      </c>
      <c r="F2" s="84"/>
      <c r="G2" s="84"/>
      <c r="H2" s="84"/>
      <c r="I2" s="84"/>
      <c r="J2" s="84"/>
      <c r="K2" s="84"/>
      <c r="L2" s="85"/>
      <c r="M2" s="83" t="s">
        <v>24</v>
      </c>
      <c r="N2" s="84"/>
      <c r="O2" s="84"/>
      <c r="P2" s="84"/>
      <c r="Q2" s="84"/>
      <c r="R2" s="84"/>
      <c r="S2" s="84"/>
      <c r="T2" s="85"/>
      <c r="V2" s="105" t="str">
        <f>CONCATENATE(B2, CHAR(10), "vs ", B29)</f>
        <v>PM983a_EDW73F2Q_20191110
vs PM9A3_GEA70F24 20210112</v>
      </c>
      <c r="W2" s="106"/>
      <c r="X2" s="106"/>
      <c r="Y2" s="83" t="s">
        <v>14</v>
      </c>
      <c r="Z2" s="84"/>
      <c r="AA2" s="84"/>
      <c r="AB2" s="84"/>
      <c r="AC2" s="84"/>
      <c r="AD2" s="84"/>
      <c r="AE2" s="84"/>
      <c r="AF2" s="85"/>
      <c r="AG2" s="83" t="s">
        <v>24</v>
      </c>
      <c r="AH2" s="84"/>
      <c r="AI2" s="84"/>
      <c r="AJ2" s="84"/>
      <c r="AK2" s="84"/>
      <c r="AL2" s="84"/>
      <c r="AM2" s="84"/>
      <c r="AN2" s="85"/>
    </row>
    <row r="3" spans="2:40" ht="20.25" customHeight="1" thickBot="1">
      <c r="B3" s="102"/>
      <c r="C3" s="103"/>
      <c r="D3" s="104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3" t="s">
        <v>17</v>
      </c>
      <c r="M3" s="1" t="s">
        <v>0</v>
      </c>
      <c r="N3" s="2" t="s">
        <v>1</v>
      </c>
      <c r="O3" s="2" t="s">
        <v>2</v>
      </c>
      <c r="P3" s="2" t="s">
        <v>3</v>
      </c>
      <c r="Q3" s="2" t="s">
        <v>4</v>
      </c>
      <c r="R3" s="2" t="s">
        <v>18</v>
      </c>
      <c r="S3" s="2" t="s">
        <v>16</v>
      </c>
      <c r="T3" s="3" t="s">
        <v>17</v>
      </c>
      <c r="V3" s="107"/>
      <c r="W3" s="108"/>
      <c r="X3" s="108"/>
      <c r="Y3" s="1" t="s">
        <v>0</v>
      </c>
      <c r="Z3" s="2" t="s">
        <v>1</v>
      </c>
      <c r="AA3" s="2" t="s">
        <v>2</v>
      </c>
      <c r="AB3" s="2" t="s">
        <v>3</v>
      </c>
      <c r="AC3" s="2" t="s">
        <v>4</v>
      </c>
      <c r="AD3" s="2" t="s">
        <v>18</v>
      </c>
      <c r="AE3" s="2" t="s">
        <v>16</v>
      </c>
      <c r="AF3" s="3" t="s">
        <v>17</v>
      </c>
      <c r="AG3" s="1" t="s">
        <v>0</v>
      </c>
      <c r="AH3" s="2" t="s">
        <v>1</v>
      </c>
      <c r="AI3" s="2" t="s">
        <v>2</v>
      </c>
      <c r="AJ3" s="2" t="s">
        <v>3</v>
      </c>
      <c r="AK3" s="2" t="s">
        <v>4</v>
      </c>
      <c r="AL3" s="2" t="s">
        <v>18</v>
      </c>
      <c r="AM3" s="2" t="s">
        <v>16</v>
      </c>
      <c r="AN3" s="3" t="s">
        <v>17</v>
      </c>
    </row>
    <row r="4" spans="2:40" ht="15" customHeight="1">
      <c r="B4" s="86" t="s">
        <v>5</v>
      </c>
      <c r="C4" s="89" t="s">
        <v>6</v>
      </c>
      <c r="D4" s="4">
        <v>0.25</v>
      </c>
      <c r="E4" s="24">
        <v>510</v>
      </c>
      <c r="F4" s="25">
        <v>572</v>
      </c>
      <c r="G4" s="25">
        <v>660</v>
      </c>
      <c r="H4" s="25">
        <v>700</v>
      </c>
      <c r="I4" s="25">
        <v>804</v>
      </c>
      <c r="J4" s="25">
        <v>1064</v>
      </c>
      <c r="K4" s="25">
        <v>1704</v>
      </c>
      <c r="L4" s="26">
        <v>5344</v>
      </c>
      <c r="M4" s="24">
        <v>852</v>
      </c>
      <c r="N4" s="25">
        <v>948</v>
      </c>
      <c r="O4" s="25">
        <v>1048</v>
      </c>
      <c r="P4" s="25">
        <v>1112</v>
      </c>
      <c r="Q4" s="25">
        <v>1176</v>
      </c>
      <c r="R4" s="25">
        <v>1320</v>
      </c>
      <c r="S4" s="25">
        <v>1688</v>
      </c>
      <c r="T4" s="26">
        <v>4384</v>
      </c>
      <c r="V4" s="92" t="s">
        <v>5</v>
      </c>
      <c r="W4" s="95" t="s">
        <v>6</v>
      </c>
      <c r="X4" s="7">
        <v>0.25</v>
      </c>
      <c r="Y4" s="15">
        <f t="shared" ref="Y4:AN19" si="0">E31/E4</f>
        <v>0.52156862745098043</v>
      </c>
      <c r="Z4" s="16">
        <f t="shared" si="0"/>
        <v>0.54895104895104896</v>
      </c>
      <c r="AA4" s="16">
        <f t="shared" si="0"/>
        <v>0.57878787878787874</v>
      </c>
      <c r="AB4" s="16">
        <f t="shared" si="0"/>
        <v>0.59142857142857141</v>
      </c>
      <c r="AC4" s="16">
        <f t="shared" si="0"/>
        <v>0.53482587064676612</v>
      </c>
      <c r="AD4" s="16">
        <f t="shared" si="0"/>
        <v>0.40789473684210525</v>
      </c>
      <c r="AE4" s="16">
        <f t="shared" si="0"/>
        <v>0.25704225352112675</v>
      </c>
      <c r="AF4" s="17">
        <f t="shared" si="0"/>
        <v>0.31586826347305391</v>
      </c>
      <c r="AG4" s="15">
        <f t="shared" si="0"/>
        <v>0.38732394366197181</v>
      </c>
      <c r="AH4" s="16">
        <f t="shared" si="0"/>
        <v>0.41983122362869196</v>
      </c>
      <c r="AI4" s="16">
        <f t="shared" si="0"/>
        <v>0.4713740458015267</v>
      </c>
      <c r="AJ4" s="16">
        <f t="shared" si="0"/>
        <v>0.5071942446043165</v>
      </c>
      <c r="AK4" s="16">
        <f t="shared" si="0"/>
        <v>0.52040816326530615</v>
      </c>
      <c r="AL4" s="16">
        <f t="shared" si="0"/>
        <v>0.49393939393939396</v>
      </c>
      <c r="AM4" s="16">
        <f t="shared" si="0"/>
        <v>0.40521327014218012</v>
      </c>
      <c r="AN4" s="17">
        <f t="shared" si="0"/>
        <v>0.47080291970802918</v>
      </c>
    </row>
    <row r="5" spans="2:40" ht="15" customHeight="1">
      <c r="B5" s="87"/>
      <c r="C5" s="90"/>
      <c r="D5" s="5">
        <v>0.5</v>
      </c>
      <c r="E5" s="27">
        <v>414</v>
      </c>
      <c r="F5" s="28">
        <v>478</v>
      </c>
      <c r="G5" s="28">
        <v>524</v>
      </c>
      <c r="H5" s="28">
        <v>604</v>
      </c>
      <c r="I5" s="28">
        <v>708</v>
      </c>
      <c r="J5" s="28">
        <v>916</v>
      </c>
      <c r="K5" s="28">
        <v>1416</v>
      </c>
      <c r="L5" s="29">
        <v>4640</v>
      </c>
      <c r="M5" s="27">
        <v>510</v>
      </c>
      <c r="N5" s="28">
        <v>732</v>
      </c>
      <c r="O5" s="28">
        <v>868</v>
      </c>
      <c r="P5" s="28">
        <v>948</v>
      </c>
      <c r="Q5" s="28">
        <v>1032</v>
      </c>
      <c r="R5" s="28">
        <v>1144</v>
      </c>
      <c r="S5" s="28">
        <v>1400</v>
      </c>
      <c r="T5" s="29">
        <v>3504</v>
      </c>
      <c r="V5" s="93"/>
      <c r="W5" s="96"/>
      <c r="X5" s="5">
        <v>0.5</v>
      </c>
      <c r="Y5" s="18">
        <f t="shared" si="0"/>
        <v>0.50966183574879231</v>
      </c>
      <c r="Z5" s="12">
        <f t="shared" si="0"/>
        <v>0.53974895397489542</v>
      </c>
      <c r="AA5" s="12">
        <f t="shared" si="0"/>
        <v>0.59160305343511455</v>
      </c>
      <c r="AB5" s="12">
        <f t="shared" si="0"/>
        <v>0.6258278145695364</v>
      </c>
      <c r="AC5" s="12">
        <f t="shared" si="0"/>
        <v>0.61864406779661019</v>
      </c>
      <c r="AD5" s="12">
        <f t="shared" si="0"/>
        <v>0.48689956331877732</v>
      </c>
      <c r="AE5" s="12">
        <f t="shared" si="0"/>
        <v>0.31779661016949151</v>
      </c>
      <c r="AF5" s="19">
        <f t="shared" si="0"/>
        <v>0.3775862068965517</v>
      </c>
      <c r="AG5" s="18">
        <f t="shared" si="0"/>
        <v>0.41764705882352943</v>
      </c>
      <c r="AH5" s="12">
        <f t="shared" si="0"/>
        <v>0.41803278688524592</v>
      </c>
      <c r="AI5" s="12">
        <f t="shared" si="0"/>
        <v>0.42626728110599077</v>
      </c>
      <c r="AJ5" s="12">
        <f t="shared" si="0"/>
        <v>0.49156118143459915</v>
      </c>
      <c r="AK5" s="12">
        <f t="shared" si="0"/>
        <v>0.55426356589147285</v>
      </c>
      <c r="AL5" s="12">
        <f t="shared" si="0"/>
        <v>0.65384615384615385</v>
      </c>
      <c r="AM5" s="12">
        <f t="shared" si="0"/>
        <v>0.72857142857142854</v>
      </c>
      <c r="AN5" s="19">
        <f t="shared" si="0"/>
        <v>1.0456621004566211</v>
      </c>
    </row>
    <row r="6" spans="2:40" ht="15" customHeight="1">
      <c r="B6" s="87"/>
      <c r="C6" s="90"/>
      <c r="D6" s="5">
        <v>0.75</v>
      </c>
      <c r="E6" s="27">
        <v>298</v>
      </c>
      <c r="F6" s="28">
        <v>362</v>
      </c>
      <c r="G6" s="28">
        <v>434</v>
      </c>
      <c r="H6" s="28">
        <v>494</v>
      </c>
      <c r="I6" s="28">
        <v>572</v>
      </c>
      <c r="J6" s="28">
        <v>748</v>
      </c>
      <c r="K6" s="28">
        <v>1080</v>
      </c>
      <c r="L6" s="29">
        <v>3216</v>
      </c>
      <c r="M6" s="27">
        <v>231</v>
      </c>
      <c r="N6" s="28">
        <v>370</v>
      </c>
      <c r="O6" s="28">
        <v>596</v>
      </c>
      <c r="P6" s="28">
        <v>732</v>
      </c>
      <c r="Q6" s="28">
        <v>844</v>
      </c>
      <c r="R6" s="28">
        <v>956</v>
      </c>
      <c r="S6" s="28">
        <v>1176</v>
      </c>
      <c r="T6" s="29">
        <v>2640</v>
      </c>
      <c r="V6" s="93"/>
      <c r="W6" s="96"/>
      <c r="X6" s="5">
        <v>0.75</v>
      </c>
      <c r="Y6" s="18">
        <f t="shared" si="0"/>
        <v>0.41610738255033558</v>
      </c>
      <c r="Z6" s="12">
        <f t="shared" si="0"/>
        <v>0.54419889502762431</v>
      </c>
      <c r="AA6" s="12">
        <f t="shared" si="0"/>
        <v>0.59447004608294929</v>
      </c>
      <c r="AB6" s="12">
        <f t="shared" si="0"/>
        <v>0.63562753036437247</v>
      </c>
      <c r="AC6" s="12">
        <f t="shared" si="0"/>
        <v>0.69580419580419584</v>
      </c>
      <c r="AD6" s="12">
        <f t="shared" si="0"/>
        <v>0.71122994652406413</v>
      </c>
      <c r="AE6" s="12">
        <f t="shared" si="0"/>
        <v>0.73703703703703705</v>
      </c>
      <c r="AF6" s="19">
        <f t="shared" si="0"/>
        <v>0.72139303482587069</v>
      </c>
      <c r="AG6" s="18">
        <f t="shared" si="0"/>
        <v>0.48484848484848486</v>
      </c>
      <c r="AH6" s="12">
        <f t="shared" si="0"/>
        <v>0.47837837837837838</v>
      </c>
      <c r="AI6" s="12">
        <f t="shared" si="0"/>
        <v>0.45302013422818793</v>
      </c>
      <c r="AJ6" s="12">
        <f t="shared" si="0"/>
        <v>0.47267759562841533</v>
      </c>
      <c r="AK6" s="12">
        <f t="shared" si="0"/>
        <v>0.52843601895734593</v>
      </c>
      <c r="AL6" s="12">
        <f t="shared" si="0"/>
        <v>0.61506276150627615</v>
      </c>
      <c r="AM6" s="12">
        <f t="shared" si="0"/>
        <v>0.71768707482993199</v>
      </c>
      <c r="AN6" s="19">
        <f t="shared" si="0"/>
        <v>0.79393939393939394</v>
      </c>
    </row>
    <row r="7" spans="2:40" ht="15" customHeight="1" thickBot="1">
      <c r="B7" s="87"/>
      <c r="C7" s="91"/>
      <c r="D7" s="6">
        <v>1</v>
      </c>
      <c r="E7" s="30">
        <v>96</v>
      </c>
      <c r="F7" s="31">
        <v>124</v>
      </c>
      <c r="G7" s="31">
        <v>139</v>
      </c>
      <c r="H7" s="31">
        <v>157</v>
      </c>
      <c r="I7" s="31">
        <v>201</v>
      </c>
      <c r="J7" s="31">
        <v>294</v>
      </c>
      <c r="K7" s="31">
        <v>540</v>
      </c>
      <c r="L7" s="32">
        <v>1528</v>
      </c>
      <c r="M7" s="30">
        <v>88</v>
      </c>
      <c r="N7" s="31">
        <v>92</v>
      </c>
      <c r="O7" s="31">
        <v>118</v>
      </c>
      <c r="P7" s="31">
        <v>135</v>
      </c>
      <c r="Q7" s="31">
        <v>159</v>
      </c>
      <c r="R7" s="31">
        <v>211</v>
      </c>
      <c r="S7" s="31">
        <v>338</v>
      </c>
      <c r="T7" s="32">
        <v>788</v>
      </c>
      <c r="V7" s="93"/>
      <c r="W7" s="97"/>
      <c r="X7" s="6">
        <v>1</v>
      </c>
      <c r="Y7" s="20">
        <f t="shared" si="0"/>
        <v>0.71875</v>
      </c>
      <c r="Z7" s="21">
        <f t="shared" si="0"/>
        <v>0.717741935483871</v>
      </c>
      <c r="AA7" s="21">
        <f t="shared" si="0"/>
        <v>0.75539568345323738</v>
      </c>
      <c r="AB7" s="21">
        <f t="shared" si="0"/>
        <v>0.76433121019108285</v>
      </c>
      <c r="AC7" s="21">
        <f t="shared" si="0"/>
        <v>0.79104477611940294</v>
      </c>
      <c r="AD7" s="21">
        <f t="shared" si="0"/>
        <v>0.81972789115646261</v>
      </c>
      <c r="AE7" s="21">
        <f t="shared" si="0"/>
        <v>0.81851851851851853</v>
      </c>
      <c r="AF7" s="22">
        <f t="shared" si="0"/>
        <v>0.70680628272251311</v>
      </c>
      <c r="AG7" s="20">
        <f t="shared" si="0"/>
        <v>0.77272727272727271</v>
      </c>
      <c r="AH7" s="21">
        <f t="shared" si="0"/>
        <v>0.78260869565217395</v>
      </c>
      <c r="AI7" s="21">
        <f t="shared" si="0"/>
        <v>0.82203389830508478</v>
      </c>
      <c r="AJ7" s="21">
        <f t="shared" si="0"/>
        <v>0.8</v>
      </c>
      <c r="AK7" s="21">
        <f t="shared" si="0"/>
        <v>0.78616352201257866</v>
      </c>
      <c r="AL7" s="21">
        <f t="shared" si="0"/>
        <v>0.78199052132701419</v>
      </c>
      <c r="AM7" s="21">
        <f t="shared" si="0"/>
        <v>0.71301775147928992</v>
      </c>
      <c r="AN7" s="22">
        <f t="shared" si="0"/>
        <v>0.74619289340101524</v>
      </c>
    </row>
    <row r="8" spans="2:40" ht="15" customHeight="1">
      <c r="B8" s="87"/>
      <c r="C8" s="89" t="s">
        <v>7</v>
      </c>
      <c r="D8" s="4">
        <v>0.25</v>
      </c>
      <c r="E8" s="24">
        <v>884</v>
      </c>
      <c r="F8" s="25">
        <v>996</v>
      </c>
      <c r="G8" s="25">
        <v>1160</v>
      </c>
      <c r="H8" s="25">
        <v>1208</v>
      </c>
      <c r="I8" s="25">
        <v>1304</v>
      </c>
      <c r="J8" s="25">
        <v>1560</v>
      </c>
      <c r="K8" s="25">
        <v>2160</v>
      </c>
      <c r="L8" s="26">
        <v>5984</v>
      </c>
      <c r="M8" s="24">
        <v>1592</v>
      </c>
      <c r="N8" s="25">
        <v>1640</v>
      </c>
      <c r="O8" s="25">
        <v>1704</v>
      </c>
      <c r="P8" s="25">
        <v>1784</v>
      </c>
      <c r="Q8" s="25">
        <v>1864</v>
      </c>
      <c r="R8" s="25">
        <v>2064</v>
      </c>
      <c r="S8" s="25">
        <v>2512</v>
      </c>
      <c r="T8" s="26">
        <v>5344</v>
      </c>
      <c r="V8" s="93"/>
      <c r="W8" s="98" t="s">
        <v>7</v>
      </c>
      <c r="X8" s="4">
        <v>0.25</v>
      </c>
      <c r="Y8" s="15">
        <f t="shared" si="0"/>
        <v>0.6470588235294118</v>
      </c>
      <c r="Z8" s="16">
        <f t="shared" si="0"/>
        <v>0.85542168674698793</v>
      </c>
      <c r="AA8" s="16">
        <f t="shared" si="0"/>
        <v>0.76206896551724135</v>
      </c>
      <c r="AB8" s="16">
        <f t="shared" si="0"/>
        <v>0.75827814569536423</v>
      </c>
      <c r="AC8" s="16">
        <f t="shared" si="0"/>
        <v>0.73926380368098155</v>
      </c>
      <c r="AD8" s="16">
        <f t="shared" si="0"/>
        <v>0.62820512820512819</v>
      </c>
      <c r="AE8" s="16">
        <f t="shared" si="0"/>
        <v>0.45370370370370372</v>
      </c>
      <c r="AF8" s="17">
        <f t="shared" si="0"/>
        <v>0.32754010695187163</v>
      </c>
      <c r="AG8" s="15">
        <f t="shared" si="0"/>
        <v>0.46984924623115576</v>
      </c>
      <c r="AH8" s="16">
        <f t="shared" si="0"/>
        <v>0.50487804878048781</v>
      </c>
      <c r="AI8" s="16">
        <f t="shared" si="0"/>
        <v>0.52347417840375587</v>
      </c>
      <c r="AJ8" s="16">
        <f t="shared" si="0"/>
        <v>0.5358744394618834</v>
      </c>
      <c r="AK8" s="16">
        <f t="shared" si="0"/>
        <v>0.5429184549356223</v>
      </c>
      <c r="AL8" s="16">
        <f t="shared" si="0"/>
        <v>0.52325581395348841</v>
      </c>
      <c r="AM8" s="16">
        <f t="shared" si="0"/>
        <v>0.46178343949044587</v>
      </c>
      <c r="AN8" s="17">
        <f t="shared" si="0"/>
        <v>0.55389221556886226</v>
      </c>
    </row>
    <row r="9" spans="2:40" ht="15" customHeight="1">
      <c r="B9" s="87"/>
      <c r="C9" s="90"/>
      <c r="D9" s="5">
        <v>0.5</v>
      </c>
      <c r="E9" s="27">
        <v>812</v>
      </c>
      <c r="F9" s="28">
        <v>860</v>
      </c>
      <c r="G9" s="28">
        <v>916</v>
      </c>
      <c r="H9" s="28">
        <v>1064</v>
      </c>
      <c r="I9" s="28">
        <v>1160</v>
      </c>
      <c r="J9" s="28">
        <v>1384</v>
      </c>
      <c r="K9" s="28">
        <v>2008</v>
      </c>
      <c r="L9" s="29">
        <v>5344</v>
      </c>
      <c r="M9" s="27">
        <v>1576</v>
      </c>
      <c r="N9" s="28">
        <v>1608</v>
      </c>
      <c r="O9" s="28">
        <v>1656</v>
      </c>
      <c r="P9" s="28">
        <v>1704</v>
      </c>
      <c r="Q9" s="28">
        <v>1784</v>
      </c>
      <c r="R9" s="28">
        <v>1912</v>
      </c>
      <c r="S9" s="28">
        <v>2160</v>
      </c>
      <c r="T9" s="29">
        <v>4384</v>
      </c>
      <c r="V9" s="93"/>
      <c r="W9" s="96"/>
      <c r="X9" s="5">
        <v>0.5</v>
      </c>
      <c r="Y9" s="18">
        <f t="shared" si="0"/>
        <v>0.65517241379310343</v>
      </c>
      <c r="Z9" s="12">
        <f t="shared" si="0"/>
        <v>0.64651162790697669</v>
      </c>
      <c r="AA9" s="12">
        <f t="shared" si="0"/>
        <v>0.92139737991266379</v>
      </c>
      <c r="AB9" s="12">
        <f t="shared" si="0"/>
        <v>0.83082706766917291</v>
      </c>
      <c r="AC9" s="12">
        <f t="shared" si="0"/>
        <v>0.80344827586206902</v>
      </c>
      <c r="AD9" s="12">
        <f t="shared" si="0"/>
        <v>0.75722543352601157</v>
      </c>
      <c r="AE9" s="12">
        <f t="shared" si="0"/>
        <v>0.58565737051792832</v>
      </c>
      <c r="AF9" s="19">
        <f t="shared" si="0"/>
        <v>0.41017964071856289</v>
      </c>
      <c r="AG9" s="18">
        <f t="shared" si="0"/>
        <v>0.45939086294416243</v>
      </c>
      <c r="AH9" s="12">
        <f t="shared" si="0"/>
        <v>0.46019900497512439</v>
      </c>
      <c r="AI9" s="12">
        <f t="shared" si="0"/>
        <v>0.48550724637681159</v>
      </c>
      <c r="AJ9" s="12">
        <f t="shared" si="0"/>
        <v>0.51877934272300474</v>
      </c>
      <c r="AK9" s="12">
        <f t="shared" si="0"/>
        <v>0.54484304932735428</v>
      </c>
      <c r="AL9" s="12">
        <f t="shared" si="0"/>
        <v>0.62343096234309625</v>
      </c>
      <c r="AM9" s="12">
        <f t="shared" si="0"/>
        <v>0.69259259259259254</v>
      </c>
      <c r="AN9" s="19">
        <f t="shared" si="0"/>
        <v>1.0583941605839415</v>
      </c>
    </row>
    <row r="10" spans="2:40" ht="15" customHeight="1">
      <c r="B10" s="87"/>
      <c r="C10" s="90"/>
      <c r="D10" s="5">
        <v>0.75</v>
      </c>
      <c r="E10" s="27">
        <v>756</v>
      </c>
      <c r="F10" s="28">
        <v>796</v>
      </c>
      <c r="G10" s="28">
        <v>828</v>
      </c>
      <c r="H10" s="28">
        <v>900</v>
      </c>
      <c r="I10" s="28">
        <v>996</v>
      </c>
      <c r="J10" s="28">
        <v>1160</v>
      </c>
      <c r="K10" s="28">
        <v>1512</v>
      </c>
      <c r="L10" s="29">
        <v>3760</v>
      </c>
      <c r="M10" s="27">
        <v>1384</v>
      </c>
      <c r="N10" s="28">
        <v>1576</v>
      </c>
      <c r="O10" s="28">
        <v>1592</v>
      </c>
      <c r="P10" s="28">
        <v>1608</v>
      </c>
      <c r="Q10" s="28">
        <v>1720</v>
      </c>
      <c r="R10" s="28">
        <v>2480</v>
      </c>
      <c r="S10" s="28">
        <v>2896</v>
      </c>
      <c r="T10" s="29">
        <v>4192</v>
      </c>
      <c r="V10" s="93"/>
      <c r="W10" s="96"/>
      <c r="X10" s="5">
        <v>0.75</v>
      </c>
      <c r="Y10" s="18">
        <f t="shared" si="0"/>
        <v>0.64814814814814814</v>
      </c>
      <c r="Z10" s="12">
        <f t="shared" si="0"/>
        <v>0.66834170854271358</v>
      </c>
      <c r="AA10" s="12">
        <f t="shared" si="0"/>
        <v>0.67149758454106279</v>
      </c>
      <c r="AB10" s="12">
        <f t="shared" si="0"/>
        <v>0.77777777777777779</v>
      </c>
      <c r="AC10" s="12">
        <f t="shared" si="0"/>
        <v>0.87951807228915657</v>
      </c>
      <c r="AD10" s="12">
        <f t="shared" si="0"/>
        <v>0.84482758620689657</v>
      </c>
      <c r="AE10" s="12">
        <f t="shared" si="0"/>
        <v>0.8835978835978836</v>
      </c>
      <c r="AF10" s="19">
        <f t="shared" si="0"/>
        <v>0.84680851063829787</v>
      </c>
      <c r="AG10" s="18">
        <f t="shared" si="0"/>
        <v>0.47687861271676302</v>
      </c>
      <c r="AH10" s="12">
        <f t="shared" si="0"/>
        <v>0.44923857868020306</v>
      </c>
      <c r="AI10" s="12">
        <f t="shared" si="0"/>
        <v>0.45477386934673369</v>
      </c>
      <c r="AJ10" s="12">
        <f t="shared" si="0"/>
        <v>0.48507462686567165</v>
      </c>
      <c r="AK10" s="12">
        <f t="shared" si="0"/>
        <v>0.50930232558139532</v>
      </c>
      <c r="AL10" s="12">
        <f t="shared" si="0"/>
        <v>0.42903225806451611</v>
      </c>
      <c r="AM10" s="12">
        <f t="shared" si="0"/>
        <v>0.47790055248618785</v>
      </c>
      <c r="AN10" s="19">
        <f t="shared" si="0"/>
        <v>0.64503816793893132</v>
      </c>
    </row>
    <row r="11" spans="2:40" ht="15" customHeight="1" thickBot="1">
      <c r="B11" s="87"/>
      <c r="C11" s="91"/>
      <c r="D11" s="6">
        <v>1</v>
      </c>
      <c r="E11" s="30">
        <v>135</v>
      </c>
      <c r="F11" s="31">
        <v>157</v>
      </c>
      <c r="G11" s="31">
        <v>197</v>
      </c>
      <c r="H11" s="31">
        <v>245</v>
      </c>
      <c r="I11" s="31">
        <v>322</v>
      </c>
      <c r="J11" s="31">
        <v>498</v>
      </c>
      <c r="K11" s="31">
        <v>948</v>
      </c>
      <c r="L11" s="32">
        <v>2352</v>
      </c>
      <c r="M11" s="30">
        <v>111</v>
      </c>
      <c r="N11" s="31">
        <v>151</v>
      </c>
      <c r="O11" s="31">
        <v>177</v>
      </c>
      <c r="P11" s="31">
        <v>205</v>
      </c>
      <c r="Q11" s="31">
        <v>258</v>
      </c>
      <c r="R11" s="31">
        <v>358</v>
      </c>
      <c r="S11" s="31">
        <v>596</v>
      </c>
      <c r="T11" s="32">
        <v>1144</v>
      </c>
      <c r="V11" s="93"/>
      <c r="W11" s="97"/>
      <c r="X11" s="6">
        <v>1</v>
      </c>
      <c r="Y11" s="20">
        <f t="shared" si="0"/>
        <v>0.66666666666666663</v>
      </c>
      <c r="Z11" s="21">
        <f t="shared" si="0"/>
        <v>0.76433121019108285</v>
      </c>
      <c r="AA11" s="21">
        <f t="shared" si="0"/>
        <v>0.7766497461928934</v>
      </c>
      <c r="AB11" s="21">
        <f t="shared" si="0"/>
        <v>0.7795918367346939</v>
      </c>
      <c r="AC11" s="21">
        <f t="shared" si="0"/>
        <v>0.82608695652173914</v>
      </c>
      <c r="AD11" s="21">
        <f t="shared" si="0"/>
        <v>0.85542168674698793</v>
      </c>
      <c r="AE11" s="21">
        <f t="shared" si="0"/>
        <v>0.83966244725738393</v>
      </c>
      <c r="AF11" s="22">
        <f t="shared" si="0"/>
        <v>0.7857142857142857</v>
      </c>
      <c r="AG11" s="20">
        <f t="shared" si="0"/>
        <v>0.65765765765765771</v>
      </c>
      <c r="AH11" s="21">
        <f t="shared" si="0"/>
        <v>0.77483443708609268</v>
      </c>
      <c r="AI11" s="21">
        <f t="shared" si="0"/>
        <v>0.78531073446327682</v>
      </c>
      <c r="AJ11" s="21">
        <f t="shared" si="0"/>
        <v>0.78536585365853662</v>
      </c>
      <c r="AK11" s="21">
        <f t="shared" si="0"/>
        <v>0.78682170542635654</v>
      </c>
      <c r="AL11" s="21">
        <f t="shared" si="0"/>
        <v>0.78770949720670391</v>
      </c>
      <c r="AM11" s="21">
        <f t="shared" si="0"/>
        <v>0.70805369127516782</v>
      </c>
      <c r="AN11" s="22">
        <f t="shared" si="0"/>
        <v>0.68181818181818177</v>
      </c>
    </row>
    <row r="12" spans="2:40" ht="15" customHeight="1">
      <c r="B12" s="87"/>
      <c r="C12" s="89" t="s">
        <v>8</v>
      </c>
      <c r="D12" s="4">
        <v>0.25</v>
      </c>
      <c r="E12" s="24">
        <v>5928</v>
      </c>
      <c r="F12" s="25">
        <v>10102</v>
      </c>
      <c r="G12" s="25">
        <v>13382</v>
      </c>
      <c r="H12" s="25">
        <v>13407</v>
      </c>
      <c r="I12" s="25">
        <v>13470</v>
      </c>
      <c r="J12" s="25">
        <v>13533</v>
      </c>
      <c r="K12" s="25">
        <v>13556</v>
      </c>
      <c r="L12" s="26">
        <v>13576</v>
      </c>
      <c r="M12" s="24">
        <v>6237</v>
      </c>
      <c r="N12" s="25">
        <v>10690</v>
      </c>
      <c r="O12" s="25">
        <v>16620</v>
      </c>
      <c r="P12" s="25">
        <v>17991</v>
      </c>
      <c r="Q12" s="25">
        <v>18102</v>
      </c>
      <c r="R12" s="25">
        <v>18079</v>
      </c>
      <c r="S12" s="25">
        <v>18068</v>
      </c>
      <c r="T12" s="26">
        <v>18071</v>
      </c>
      <c r="V12" s="93"/>
      <c r="W12" s="98" t="s">
        <v>8</v>
      </c>
      <c r="X12" s="4">
        <v>0.25</v>
      </c>
      <c r="Y12" s="15">
        <f t="shared" si="0"/>
        <v>1.4795883940620782</v>
      </c>
      <c r="Z12" s="16">
        <f t="shared" si="0"/>
        <v>1.4972282716293803</v>
      </c>
      <c r="AA12" s="16">
        <f t="shared" si="0"/>
        <v>1.7371842773875354</v>
      </c>
      <c r="AB12" s="16">
        <f t="shared" si="0"/>
        <v>1.9350339374953383</v>
      </c>
      <c r="AC12" s="16">
        <f t="shared" si="0"/>
        <v>1.9237564959168523</v>
      </c>
      <c r="AD12" s="16">
        <f t="shared" si="0"/>
        <v>1.9177565949900244</v>
      </c>
      <c r="AE12" s="16">
        <f t="shared" si="0"/>
        <v>1.9148716435526705</v>
      </c>
      <c r="AF12" s="17">
        <f t="shared" si="0"/>
        <v>1.939304655274013</v>
      </c>
      <c r="AG12" s="15">
        <f t="shared" si="0"/>
        <v>1.4112554112554112</v>
      </c>
      <c r="AH12" s="16">
        <f t="shared" si="0"/>
        <v>1.4502338634237606</v>
      </c>
      <c r="AI12" s="16">
        <f t="shared" si="0"/>
        <v>1.4768351383874849</v>
      </c>
      <c r="AJ12" s="16">
        <f t="shared" si="0"/>
        <v>1.7724417764437774</v>
      </c>
      <c r="AK12" s="16">
        <f t="shared" si="0"/>
        <v>1.7573196331897027</v>
      </c>
      <c r="AL12" s="16">
        <f t="shared" si="0"/>
        <v>1.7591680955805078</v>
      </c>
      <c r="AM12" s="16">
        <f t="shared" si="0"/>
        <v>1.757969891520921</v>
      </c>
      <c r="AN12" s="17">
        <f t="shared" si="0"/>
        <v>1.8012284876321178</v>
      </c>
    </row>
    <row r="13" spans="2:40" ht="15" customHeight="1">
      <c r="B13" s="87"/>
      <c r="C13" s="90"/>
      <c r="D13" s="5">
        <v>0.5</v>
      </c>
      <c r="E13" s="27">
        <v>8555</v>
      </c>
      <c r="F13" s="28">
        <v>15192</v>
      </c>
      <c r="G13" s="28">
        <v>24610</v>
      </c>
      <c r="H13" s="28">
        <v>34603</v>
      </c>
      <c r="I13" s="28">
        <v>34951</v>
      </c>
      <c r="J13" s="28">
        <v>34780</v>
      </c>
      <c r="K13" s="28">
        <v>34683</v>
      </c>
      <c r="L13" s="29">
        <v>34584</v>
      </c>
      <c r="M13" s="27">
        <v>9309</v>
      </c>
      <c r="N13" s="28">
        <v>16552</v>
      </c>
      <c r="O13" s="28">
        <v>26929</v>
      </c>
      <c r="P13" s="28">
        <v>41267</v>
      </c>
      <c r="Q13" s="28">
        <v>50850</v>
      </c>
      <c r="R13" s="28">
        <v>50378</v>
      </c>
      <c r="S13" s="28">
        <v>50382</v>
      </c>
      <c r="T13" s="29">
        <v>50492</v>
      </c>
      <c r="V13" s="93"/>
      <c r="W13" s="96"/>
      <c r="X13" s="5">
        <v>0.5</v>
      </c>
      <c r="Y13" s="18">
        <f t="shared" si="0"/>
        <v>1.4223261250730568</v>
      </c>
      <c r="Z13" s="12">
        <f t="shared" si="0"/>
        <v>1.4678778304370721</v>
      </c>
      <c r="AA13" s="12">
        <f t="shared" si="0"/>
        <v>1.5292563998374644</v>
      </c>
      <c r="AB13" s="12">
        <f t="shared" si="0"/>
        <v>1.5836199173482068</v>
      </c>
      <c r="AC13" s="12">
        <f t="shared" si="0"/>
        <v>1.8090469514463106</v>
      </c>
      <c r="AD13" s="12">
        <f t="shared" si="0"/>
        <v>1.8179700977573319</v>
      </c>
      <c r="AE13" s="12">
        <f t="shared" si="0"/>
        <v>1.8219588847562207</v>
      </c>
      <c r="AF13" s="19">
        <f t="shared" si="0"/>
        <v>1.9467383761276891</v>
      </c>
      <c r="AG13" s="18">
        <f t="shared" si="0"/>
        <v>1.3079815232570631</v>
      </c>
      <c r="AH13" s="12">
        <f t="shared" si="0"/>
        <v>1.3654543257612373</v>
      </c>
      <c r="AI13" s="12">
        <f t="shared" si="0"/>
        <v>1.4671543688959858</v>
      </c>
      <c r="AJ13" s="12">
        <f t="shared" si="0"/>
        <v>1.4893740761383187</v>
      </c>
      <c r="AK13" s="12">
        <f t="shared" si="0"/>
        <v>1.6098525073746313</v>
      </c>
      <c r="AL13" s="12">
        <f t="shared" si="0"/>
        <v>1.6008178173012029</v>
      </c>
      <c r="AM13" s="12">
        <f t="shared" si="0"/>
        <v>1.5996983049501807</v>
      </c>
      <c r="AN13" s="19">
        <f t="shared" si="0"/>
        <v>1.7216588766537273</v>
      </c>
    </row>
    <row r="14" spans="2:40" ht="15" customHeight="1">
      <c r="B14" s="87"/>
      <c r="C14" s="90"/>
      <c r="D14" s="5">
        <v>0.75</v>
      </c>
      <c r="E14" s="27">
        <v>10527</v>
      </c>
      <c r="F14" s="28">
        <v>19486</v>
      </c>
      <c r="G14" s="28">
        <v>33356</v>
      </c>
      <c r="H14" s="28">
        <v>54432</v>
      </c>
      <c r="I14" s="28">
        <v>80147</v>
      </c>
      <c r="J14" s="28">
        <v>81404</v>
      </c>
      <c r="K14" s="28">
        <v>81455</v>
      </c>
      <c r="L14" s="29">
        <v>81478</v>
      </c>
      <c r="M14" s="27">
        <v>11574</v>
      </c>
      <c r="N14" s="28">
        <v>21833</v>
      </c>
      <c r="O14" s="28">
        <v>38160</v>
      </c>
      <c r="P14" s="28">
        <v>62191</v>
      </c>
      <c r="Q14" s="28">
        <v>94309</v>
      </c>
      <c r="R14" s="28">
        <v>124940</v>
      </c>
      <c r="S14" s="28">
        <v>124231</v>
      </c>
      <c r="T14" s="29">
        <v>124601</v>
      </c>
      <c r="V14" s="93"/>
      <c r="W14" s="96"/>
      <c r="X14" s="5">
        <v>0.75</v>
      </c>
      <c r="Y14" s="18">
        <f t="shared" si="0"/>
        <v>1.3526170798898072</v>
      </c>
      <c r="Z14" s="12">
        <f t="shared" si="0"/>
        <v>1.3878168941804372</v>
      </c>
      <c r="AA14" s="12">
        <f t="shared" si="0"/>
        <v>1.4749370428108886</v>
      </c>
      <c r="AB14" s="12">
        <f t="shared" si="0"/>
        <v>1.5091306584362141</v>
      </c>
      <c r="AC14" s="12">
        <f t="shared" si="0"/>
        <v>1.4324803174167466</v>
      </c>
      <c r="AD14" s="12">
        <f t="shared" si="0"/>
        <v>1.6099700260429464</v>
      </c>
      <c r="AE14" s="12">
        <f t="shared" si="0"/>
        <v>1.6092689214903935</v>
      </c>
      <c r="AF14" s="19">
        <f t="shared" si="0"/>
        <v>1.6096001374604187</v>
      </c>
      <c r="AG14" s="18">
        <f t="shared" si="0"/>
        <v>1.2257646448937274</v>
      </c>
      <c r="AH14" s="12">
        <f t="shared" si="0"/>
        <v>1.2467823936243301</v>
      </c>
      <c r="AI14" s="12">
        <f t="shared" si="0"/>
        <v>1.3224318658280922</v>
      </c>
      <c r="AJ14" s="12">
        <f t="shared" si="0"/>
        <v>1.422472705053786</v>
      </c>
      <c r="AK14" s="12">
        <f t="shared" si="0"/>
        <v>1.4499146422928884</v>
      </c>
      <c r="AL14" s="12">
        <f t="shared" si="0"/>
        <v>1.4077397150632303</v>
      </c>
      <c r="AM14" s="12">
        <f t="shared" si="0"/>
        <v>1.4372338627234749</v>
      </c>
      <c r="AN14" s="19">
        <f t="shared" si="0"/>
        <v>1.4325968491424628</v>
      </c>
    </row>
    <row r="15" spans="2:40" ht="15" customHeight="1" thickBot="1">
      <c r="B15" s="88"/>
      <c r="C15" s="91"/>
      <c r="D15" s="6">
        <v>1</v>
      </c>
      <c r="E15" s="30">
        <v>12155</v>
      </c>
      <c r="F15" s="31">
        <v>23847</v>
      </c>
      <c r="G15" s="31">
        <v>43845</v>
      </c>
      <c r="H15" s="31">
        <v>78841</v>
      </c>
      <c r="I15" s="31">
        <v>144177</v>
      </c>
      <c r="J15" s="31">
        <v>249358</v>
      </c>
      <c r="K15" s="31">
        <v>352365</v>
      </c>
      <c r="L15" s="32">
        <v>410601</v>
      </c>
      <c r="M15" s="30">
        <v>13352</v>
      </c>
      <c r="N15" s="31">
        <v>27118</v>
      </c>
      <c r="O15" s="31">
        <v>53095</v>
      </c>
      <c r="P15" s="31">
        <v>101934</v>
      </c>
      <c r="Q15" s="31">
        <v>188481</v>
      </c>
      <c r="R15" s="31">
        <v>323166</v>
      </c>
      <c r="S15" s="31">
        <v>472574</v>
      </c>
      <c r="T15" s="32">
        <v>525984</v>
      </c>
      <c r="V15" s="94"/>
      <c r="W15" s="97"/>
      <c r="X15" s="6">
        <v>1</v>
      </c>
      <c r="Y15" s="20">
        <f t="shared" si="0"/>
        <v>1.3186343068696009</v>
      </c>
      <c r="Z15" s="21">
        <f t="shared" si="0"/>
        <v>1.3273367719209963</v>
      </c>
      <c r="AA15" s="21">
        <f t="shared" si="0"/>
        <v>1.4032614893374387</v>
      </c>
      <c r="AB15" s="21">
        <f t="shared" si="0"/>
        <v>1.4777717177610634</v>
      </c>
      <c r="AC15" s="21">
        <f t="shared" si="0"/>
        <v>1.4510774950234782</v>
      </c>
      <c r="AD15" s="21">
        <f t="shared" si="0"/>
        <v>1.3533955196945757</v>
      </c>
      <c r="AE15" s="21">
        <f t="shared" si="0"/>
        <v>1.3052601705617755</v>
      </c>
      <c r="AF15" s="22">
        <f t="shared" si="0"/>
        <v>1.2820426642896632</v>
      </c>
      <c r="AG15" s="20">
        <f t="shared" si="0"/>
        <v>1.2022917914919113</v>
      </c>
      <c r="AH15" s="21">
        <f t="shared" si="0"/>
        <v>1.1747916513017185</v>
      </c>
      <c r="AI15" s="21">
        <f t="shared" si="0"/>
        <v>1.1779451925793389</v>
      </c>
      <c r="AJ15" s="21">
        <f t="shared" si="0"/>
        <v>1.1857083995526516</v>
      </c>
      <c r="AK15" s="21">
        <f t="shared" si="0"/>
        <v>1.1997867159023987</v>
      </c>
      <c r="AL15" s="21">
        <f t="shared" si="0"/>
        <v>1.2240489407920387</v>
      </c>
      <c r="AM15" s="21">
        <f t="shared" si="0"/>
        <v>1.1484381282084921</v>
      </c>
      <c r="AN15" s="22">
        <f t="shared" si="0"/>
        <v>1.0594827979558314</v>
      </c>
    </row>
    <row r="16" spans="2:40" ht="15" customHeight="1">
      <c r="B16" s="83" t="s">
        <v>9</v>
      </c>
      <c r="C16" s="98" t="s">
        <v>6</v>
      </c>
      <c r="D16" s="4">
        <v>0.25</v>
      </c>
      <c r="E16" s="24">
        <v>25</v>
      </c>
      <c r="F16" s="25">
        <v>13</v>
      </c>
      <c r="G16" s="25">
        <v>13</v>
      </c>
      <c r="H16" s="25">
        <v>14</v>
      </c>
      <c r="I16" s="25">
        <v>78</v>
      </c>
      <c r="J16" s="25">
        <v>394</v>
      </c>
      <c r="K16" s="25">
        <v>764</v>
      </c>
      <c r="L16" s="26">
        <v>2992</v>
      </c>
      <c r="M16" s="24">
        <v>17</v>
      </c>
      <c r="N16" s="25">
        <v>14</v>
      </c>
      <c r="O16" s="25">
        <v>13</v>
      </c>
      <c r="P16" s="25">
        <v>15</v>
      </c>
      <c r="Q16" s="25">
        <v>17</v>
      </c>
      <c r="R16" s="25">
        <v>129</v>
      </c>
      <c r="S16" s="25">
        <v>430</v>
      </c>
      <c r="T16" s="26">
        <v>2040</v>
      </c>
      <c r="V16" s="86" t="s">
        <v>9</v>
      </c>
      <c r="W16" s="98" t="s">
        <v>6</v>
      </c>
      <c r="X16" s="4">
        <v>0.25</v>
      </c>
      <c r="Y16" s="15">
        <f t="shared" si="0"/>
        <v>0.44</v>
      </c>
      <c r="Z16" s="16">
        <f t="shared" si="0"/>
        <v>1</v>
      </c>
      <c r="AA16" s="16">
        <f t="shared" si="0"/>
        <v>1.1538461538461537</v>
      </c>
      <c r="AB16" s="16">
        <f t="shared" si="0"/>
        <v>1.2142857142857142</v>
      </c>
      <c r="AC16" s="16">
        <f t="shared" si="0"/>
        <v>0.24358974358974358</v>
      </c>
      <c r="AD16" s="16">
        <f t="shared" si="0"/>
        <v>0.24873096446700507</v>
      </c>
      <c r="AE16" s="16">
        <f t="shared" si="0"/>
        <v>0.15052356020942409</v>
      </c>
      <c r="AF16" s="17">
        <f t="shared" si="0"/>
        <v>3.8435828877005349E-2</v>
      </c>
      <c r="AG16" s="15">
        <f t="shared" si="0"/>
        <v>0.6470588235294118</v>
      </c>
      <c r="AH16" s="16">
        <f t="shared" si="0"/>
        <v>0.9285714285714286</v>
      </c>
      <c r="AI16" s="16">
        <f t="shared" si="0"/>
        <v>1.1538461538461537</v>
      </c>
      <c r="AJ16" s="16">
        <f t="shared" si="0"/>
        <v>1.1333333333333333</v>
      </c>
      <c r="AK16" s="16">
        <f t="shared" si="0"/>
        <v>1.1764705882352942</v>
      </c>
      <c r="AL16" s="16">
        <f t="shared" si="0"/>
        <v>0.17829457364341086</v>
      </c>
      <c r="AM16" s="16">
        <f t="shared" si="0"/>
        <v>5.1162790697674418E-2</v>
      </c>
      <c r="AN16" s="17">
        <f t="shared" si="0"/>
        <v>1.1274509803921568E-2</v>
      </c>
    </row>
    <row r="17" spans="2:40" ht="15" customHeight="1">
      <c r="B17" s="93"/>
      <c r="C17" s="96"/>
      <c r="D17" s="5">
        <v>0.5</v>
      </c>
      <c r="E17" s="27">
        <v>22</v>
      </c>
      <c r="F17" s="28">
        <v>14</v>
      </c>
      <c r="G17" s="28">
        <v>13</v>
      </c>
      <c r="H17" s="28">
        <v>73</v>
      </c>
      <c r="I17" s="28">
        <v>326</v>
      </c>
      <c r="J17" s="28">
        <v>716</v>
      </c>
      <c r="K17" s="28">
        <v>1560</v>
      </c>
      <c r="L17" s="29">
        <v>4704</v>
      </c>
      <c r="M17" s="27">
        <v>17</v>
      </c>
      <c r="N17" s="28">
        <v>15</v>
      </c>
      <c r="O17" s="28">
        <v>14</v>
      </c>
      <c r="P17" s="28">
        <v>15</v>
      </c>
      <c r="Q17" s="28">
        <v>151</v>
      </c>
      <c r="R17" s="28">
        <v>454</v>
      </c>
      <c r="S17" s="28">
        <v>1004</v>
      </c>
      <c r="T17" s="29">
        <v>3280</v>
      </c>
      <c r="V17" s="87"/>
      <c r="W17" s="96"/>
      <c r="X17" s="5">
        <v>0.5</v>
      </c>
      <c r="Y17" s="18">
        <f t="shared" si="0"/>
        <v>0.5</v>
      </c>
      <c r="Z17" s="12">
        <f t="shared" si="0"/>
        <v>0.9285714285714286</v>
      </c>
      <c r="AA17" s="12">
        <f t="shared" si="0"/>
        <v>1.1538461538461537</v>
      </c>
      <c r="AB17" s="12">
        <f t="shared" si="0"/>
        <v>0.23287671232876711</v>
      </c>
      <c r="AC17" s="12">
        <f t="shared" si="0"/>
        <v>0.53067484662576692</v>
      </c>
      <c r="AD17" s="12">
        <f t="shared" si="0"/>
        <v>0.68435754189944131</v>
      </c>
      <c r="AE17" s="12">
        <f t="shared" si="0"/>
        <v>0.70256410256410251</v>
      </c>
      <c r="AF17" s="19">
        <f t="shared" si="0"/>
        <v>0.77891156462585032</v>
      </c>
      <c r="AG17" s="18">
        <f t="shared" si="0"/>
        <v>0.70588235294117652</v>
      </c>
      <c r="AH17" s="12">
        <f t="shared" si="0"/>
        <v>0.8666666666666667</v>
      </c>
      <c r="AI17" s="12">
        <f t="shared" si="0"/>
        <v>1.0714285714285714</v>
      </c>
      <c r="AJ17" s="12">
        <f t="shared" si="0"/>
        <v>1.2</v>
      </c>
      <c r="AK17" s="12">
        <f t="shared" si="0"/>
        <v>0.13245033112582782</v>
      </c>
      <c r="AL17" s="12">
        <f t="shared" si="0"/>
        <v>0.88546255506607929</v>
      </c>
      <c r="AM17" s="12">
        <f t="shared" si="0"/>
        <v>0.88844621513944222</v>
      </c>
      <c r="AN17" s="19">
        <f t="shared" si="0"/>
        <v>1.0292682926829269</v>
      </c>
    </row>
    <row r="18" spans="2:40" ht="15" customHeight="1">
      <c r="B18" s="93"/>
      <c r="C18" s="96"/>
      <c r="D18" s="5">
        <v>0.75</v>
      </c>
      <c r="E18" s="27">
        <v>22</v>
      </c>
      <c r="F18" s="28">
        <v>15</v>
      </c>
      <c r="G18" s="28">
        <v>54</v>
      </c>
      <c r="H18" s="28">
        <v>189</v>
      </c>
      <c r="I18" s="28">
        <v>374</v>
      </c>
      <c r="J18" s="28">
        <v>756</v>
      </c>
      <c r="K18" s="28">
        <v>1528</v>
      </c>
      <c r="L18" s="29">
        <v>5408</v>
      </c>
      <c r="M18" s="27">
        <v>18</v>
      </c>
      <c r="N18" s="28">
        <v>16</v>
      </c>
      <c r="O18" s="28">
        <v>14</v>
      </c>
      <c r="P18" s="28">
        <v>116</v>
      </c>
      <c r="Q18" s="28">
        <v>270</v>
      </c>
      <c r="R18" s="28">
        <v>548</v>
      </c>
      <c r="S18" s="28">
        <v>1112</v>
      </c>
      <c r="T18" s="29">
        <v>4016</v>
      </c>
      <c r="V18" s="87"/>
      <c r="W18" s="96"/>
      <c r="X18" s="5">
        <v>0.75</v>
      </c>
      <c r="Y18" s="18">
        <f t="shared" si="0"/>
        <v>0.5</v>
      </c>
      <c r="Z18" s="12">
        <f t="shared" si="0"/>
        <v>0.8666666666666667</v>
      </c>
      <c r="AA18" s="12">
        <f t="shared" si="0"/>
        <v>0.27777777777777779</v>
      </c>
      <c r="AB18" s="12">
        <f t="shared" si="0"/>
        <v>0.64021164021164023</v>
      </c>
      <c r="AC18" s="12">
        <f t="shared" si="0"/>
        <v>0.64973262032085566</v>
      </c>
      <c r="AD18" s="12">
        <f t="shared" si="0"/>
        <v>0.64814814814814814</v>
      </c>
      <c r="AE18" s="12">
        <f t="shared" si="0"/>
        <v>0.6413612565445026</v>
      </c>
      <c r="AF18" s="19">
        <f t="shared" si="0"/>
        <v>0.70710059171597628</v>
      </c>
      <c r="AG18" s="18">
        <f t="shared" si="0"/>
        <v>0.72222222222222221</v>
      </c>
      <c r="AH18" s="12">
        <f t="shared" si="0"/>
        <v>0.875</v>
      </c>
      <c r="AI18" s="12">
        <f t="shared" si="0"/>
        <v>1.0714285714285714</v>
      </c>
      <c r="AJ18" s="12">
        <f t="shared" si="0"/>
        <v>0.91379310344827591</v>
      </c>
      <c r="AK18" s="12">
        <f t="shared" si="0"/>
        <v>0.8925925925925926</v>
      </c>
      <c r="AL18" s="12">
        <f t="shared" si="0"/>
        <v>0.88686131386861311</v>
      </c>
      <c r="AM18" s="12">
        <f t="shared" si="0"/>
        <v>0.87410071942446044</v>
      </c>
      <c r="AN18" s="19">
        <f t="shared" si="0"/>
        <v>0.96015936254980083</v>
      </c>
    </row>
    <row r="19" spans="2:40" ht="15" customHeight="1" thickBot="1">
      <c r="B19" s="93"/>
      <c r="C19" s="97"/>
      <c r="D19" s="6">
        <v>1</v>
      </c>
      <c r="E19" s="30">
        <v>27</v>
      </c>
      <c r="F19" s="31">
        <v>47</v>
      </c>
      <c r="G19" s="31">
        <v>96</v>
      </c>
      <c r="H19" s="31">
        <v>193</v>
      </c>
      <c r="I19" s="31">
        <v>382</v>
      </c>
      <c r="J19" s="31">
        <v>764</v>
      </c>
      <c r="K19" s="31">
        <v>1560</v>
      </c>
      <c r="L19" s="32">
        <v>6112</v>
      </c>
      <c r="M19" s="30">
        <v>22</v>
      </c>
      <c r="N19" s="31">
        <v>37</v>
      </c>
      <c r="O19" s="31">
        <v>75</v>
      </c>
      <c r="P19" s="31">
        <v>151</v>
      </c>
      <c r="Q19" s="31">
        <v>298</v>
      </c>
      <c r="R19" s="31">
        <v>588</v>
      </c>
      <c r="S19" s="31">
        <v>1224</v>
      </c>
      <c r="T19" s="32">
        <v>4768</v>
      </c>
      <c r="V19" s="87"/>
      <c r="W19" s="97"/>
      <c r="X19" s="6">
        <v>1</v>
      </c>
      <c r="Y19" s="20">
        <f t="shared" si="0"/>
        <v>0.40740740740740738</v>
      </c>
      <c r="Z19" s="21">
        <f t="shared" si="0"/>
        <v>0.68085106382978722</v>
      </c>
      <c r="AA19" s="21">
        <f t="shared" si="0"/>
        <v>0.66666666666666663</v>
      </c>
      <c r="AB19" s="21">
        <f t="shared" si="0"/>
        <v>0.51813471502590669</v>
      </c>
      <c r="AC19" s="21">
        <f t="shared" si="0"/>
        <v>0.52617801047120416</v>
      </c>
      <c r="AD19" s="21">
        <f t="shared" si="0"/>
        <v>0.48952879581151831</v>
      </c>
      <c r="AE19" s="21">
        <f t="shared" si="0"/>
        <v>0.4794871794871795</v>
      </c>
      <c r="AF19" s="22">
        <f t="shared" si="0"/>
        <v>0.47905759162303663</v>
      </c>
      <c r="AG19" s="20">
        <f t="shared" si="0"/>
        <v>0.5</v>
      </c>
      <c r="AH19" s="21">
        <f t="shared" si="0"/>
        <v>0.78378378378378377</v>
      </c>
      <c r="AI19" s="21">
        <f t="shared" si="0"/>
        <v>0.8</v>
      </c>
      <c r="AJ19" s="21">
        <f t="shared" si="0"/>
        <v>0.80132450331125826</v>
      </c>
      <c r="AK19" s="21">
        <f t="shared" si="0"/>
        <v>0.81543624161073824</v>
      </c>
      <c r="AL19" s="21">
        <f t="shared" si="0"/>
        <v>0.83333333333333337</v>
      </c>
      <c r="AM19" s="21">
        <f t="shared" si="0"/>
        <v>0.80065359477124187</v>
      </c>
      <c r="AN19" s="22">
        <f t="shared" ref="AN19:AN27" si="1">T46/T19</f>
        <v>0.68120805369127513</v>
      </c>
    </row>
    <row r="20" spans="2:40" ht="15" customHeight="1">
      <c r="B20" s="93"/>
      <c r="C20" s="98" t="s">
        <v>7</v>
      </c>
      <c r="D20" s="4">
        <v>0.25</v>
      </c>
      <c r="E20" s="24">
        <v>34</v>
      </c>
      <c r="F20" s="25">
        <v>18</v>
      </c>
      <c r="G20" s="25">
        <v>17</v>
      </c>
      <c r="H20" s="25">
        <v>18</v>
      </c>
      <c r="I20" s="25">
        <v>147</v>
      </c>
      <c r="J20" s="25">
        <v>532</v>
      </c>
      <c r="K20" s="25">
        <v>932</v>
      </c>
      <c r="L20" s="26">
        <v>3376</v>
      </c>
      <c r="M20" s="24">
        <v>25</v>
      </c>
      <c r="N20" s="25">
        <v>18</v>
      </c>
      <c r="O20" s="25">
        <v>17</v>
      </c>
      <c r="P20" s="25">
        <v>19</v>
      </c>
      <c r="Q20" s="25">
        <v>22</v>
      </c>
      <c r="R20" s="25">
        <v>217</v>
      </c>
      <c r="S20" s="25">
        <v>548</v>
      </c>
      <c r="T20" s="26">
        <v>2288</v>
      </c>
      <c r="V20" s="87"/>
      <c r="W20" s="98" t="s">
        <v>7</v>
      </c>
      <c r="X20" s="4">
        <v>0.25</v>
      </c>
      <c r="Y20" s="15">
        <f t="shared" ref="Y20:AM27" si="2">E47/E20</f>
        <v>0.47058823529411764</v>
      </c>
      <c r="Z20" s="16">
        <f t="shared" si="2"/>
        <v>0.94444444444444442</v>
      </c>
      <c r="AA20" s="16">
        <f t="shared" si="2"/>
        <v>1.1176470588235294</v>
      </c>
      <c r="AB20" s="16">
        <f t="shared" si="2"/>
        <v>1.2777777777777777</v>
      </c>
      <c r="AC20" s="16">
        <f t="shared" si="2"/>
        <v>0.18367346938775511</v>
      </c>
      <c r="AD20" s="16">
        <f t="shared" si="2"/>
        <v>0.35150375939849626</v>
      </c>
      <c r="AE20" s="16">
        <f t="shared" si="2"/>
        <v>0.23927038626609443</v>
      </c>
      <c r="AF20" s="17">
        <f t="shared" si="2"/>
        <v>6.6646919431279622E-2</v>
      </c>
      <c r="AG20" s="15">
        <f t="shared" si="2"/>
        <v>1.08</v>
      </c>
      <c r="AH20" s="16">
        <f t="shared" si="2"/>
        <v>1.6666666666666667</v>
      </c>
      <c r="AI20" s="16">
        <f t="shared" si="2"/>
        <v>1.588235294117647</v>
      </c>
      <c r="AJ20" s="16">
        <f t="shared" si="2"/>
        <v>1.2105263157894737</v>
      </c>
      <c r="AK20" s="16">
        <f t="shared" si="2"/>
        <v>1.2727272727272727</v>
      </c>
      <c r="AL20" s="16">
        <f t="shared" si="2"/>
        <v>0.17972350230414746</v>
      </c>
      <c r="AM20" s="16">
        <f t="shared" si="2"/>
        <v>0.13868613138686131</v>
      </c>
      <c r="AN20" s="17">
        <f t="shared" si="1"/>
        <v>0.17395104895104896</v>
      </c>
    </row>
    <row r="21" spans="2:40" ht="15" customHeight="1">
      <c r="B21" s="93"/>
      <c r="C21" s="96"/>
      <c r="D21" s="5">
        <v>0.5</v>
      </c>
      <c r="E21" s="27">
        <v>31</v>
      </c>
      <c r="F21" s="28">
        <v>19</v>
      </c>
      <c r="G21" s="28">
        <v>18</v>
      </c>
      <c r="H21" s="28">
        <v>120</v>
      </c>
      <c r="I21" s="28">
        <v>402</v>
      </c>
      <c r="J21" s="28">
        <v>812</v>
      </c>
      <c r="K21" s="28">
        <v>1688</v>
      </c>
      <c r="L21" s="29">
        <v>5280</v>
      </c>
      <c r="M21" s="27">
        <v>25</v>
      </c>
      <c r="N21" s="28">
        <v>19</v>
      </c>
      <c r="O21" s="28">
        <v>18</v>
      </c>
      <c r="P21" s="28">
        <v>20</v>
      </c>
      <c r="Q21" s="28">
        <v>209</v>
      </c>
      <c r="R21" s="28">
        <v>540</v>
      </c>
      <c r="S21" s="28">
        <v>1160</v>
      </c>
      <c r="T21" s="29">
        <v>3664</v>
      </c>
      <c r="V21" s="87"/>
      <c r="W21" s="96"/>
      <c r="X21" s="5">
        <v>0.5</v>
      </c>
      <c r="Y21" s="18">
        <f t="shared" si="2"/>
        <v>0.5161290322580645</v>
      </c>
      <c r="Z21" s="12">
        <f t="shared" si="2"/>
        <v>0.89473684210526316</v>
      </c>
      <c r="AA21" s="12">
        <f t="shared" si="2"/>
        <v>1.1111111111111112</v>
      </c>
      <c r="AB21" s="12">
        <f t="shared" si="2"/>
        <v>0.19166666666666668</v>
      </c>
      <c r="AC21" s="12">
        <f t="shared" si="2"/>
        <v>0.56467661691542292</v>
      </c>
      <c r="AD21" s="12">
        <f t="shared" si="2"/>
        <v>0.75369458128078815</v>
      </c>
      <c r="AE21" s="12">
        <f t="shared" si="2"/>
        <v>0.77251184834123221</v>
      </c>
      <c r="AF21" s="19">
        <f t="shared" si="2"/>
        <v>0.73030303030303034</v>
      </c>
      <c r="AG21" s="18">
        <f t="shared" si="2"/>
        <v>1.1599999999999999</v>
      </c>
      <c r="AH21" s="12">
        <f t="shared" si="2"/>
        <v>1.736842105263158</v>
      </c>
      <c r="AI21" s="12">
        <f t="shared" si="2"/>
        <v>1.5555555555555556</v>
      </c>
      <c r="AJ21" s="12">
        <f t="shared" si="2"/>
        <v>1.2</v>
      </c>
      <c r="AK21" s="12">
        <f t="shared" si="2"/>
        <v>0.68421052631578949</v>
      </c>
      <c r="AL21" s="12">
        <f t="shared" si="2"/>
        <v>0.85555555555555551</v>
      </c>
      <c r="AM21" s="12">
        <f t="shared" si="2"/>
        <v>0.82413793103448274</v>
      </c>
      <c r="AN21" s="19">
        <f t="shared" si="1"/>
        <v>1.0524017467248907</v>
      </c>
    </row>
    <row r="22" spans="2:40" ht="15" customHeight="1">
      <c r="B22" s="93"/>
      <c r="C22" s="96"/>
      <c r="D22" s="5">
        <v>0.75</v>
      </c>
      <c r="E22" s="27">
        <v>31</v>
      </c>
      <c r="F22" s="28">
        <v>20</v>
      </c>
      <c r="G22" s="28">
        <v>70</v>
      </c>
      <c r="H22" s="28">
        <v>203</v>
      </c>
      <c r="I22" s="28">
        <v>406</v>
      </c>
      <c r="J22" s="28">
        <v>812</v>
      </c>
      <c r="K22" s="28">
        <v>1624</v>
      </c>
      <c r="L22" s="29">
        <v>5792</v>
      </c>
      <c r="M22" s="27">
        <v>26</v>
      </c>
      <c r="N22" s="28">
        <v>21</v>
      </c>
      <c r="O22" s="28">
        <v>19</v>
      </c>
      <c r="P22" s="28">
        <v>131</v>
      </c>
      <c r="Q22" s="28">
        <v>290</v>
      </c>
      <c r="R22" s="28">
        <v>588</v>
      </c>
      <c r="S22" s="28">
        <v>1160</v>
      </c>
      <c r="T22" s="29">
        <v>4384</v>
      </c>
      <c r="V22" s="87"/>
      <c r="W22" s="96"/>
      <c r="X22" s="5">
        <v>0.75</v>
      </c>
      <c r="Y22" s="18">
        <f t="shared" si="2"/>
        <v>0.5161290322580645</v>
      </c>
      <c r="Z22" s="12">
        <f t="shared" si="2"/>
        <v>0.9</v>
      </c>
      <c r="AA22" s="12">
        <f t="shared" si="2"/>
        <v>0.2857142857142857</v>
      </c>
      <c r="AB22" s="12">
        <f t="shared" si="2"/>
        <v>0.61576354679802958</v>
      </c>
      <c r="AC22" s="12">
        <f t="shared" si="2"/>
        <v>0.61330049261083741</v>
      </c>
      <c r="AD22" s="12">
        <f t="shared" si="2"/>
        <v>0.60837438423645318</v>
      </c>
      <c r="AE22" s="12">
        <f t="shared" si="2"/>
        <v>0.60837438423645318</v>
      </c>
      <c r="AF22" s="19">
        <f t="shared" si="2"/>
        <v>0.67127071823204421</v>
      </c>
      <c r="AG22" s="18">
        <f t="shared" si="2"/>
        <v>1.1538461538461537</v>
      </c>
      <c r="AH22" s="12">
        <f t="shared" si="2"/>
        <v>1.6190476190476191</v>
      </c>
      <c r="AI22" s="12">
        <f t="shared" si="2"/>
        <v>1.5789473684210527</v>
      </c>
      <c r="AJ22" s="12">
        <f t="shared" si="2"/>
        <v>0.94656488549618323</v>
      </c>
      <c r="AK22" s="12">
        <f t="shared" si="2"/>
        <v>0.85862068965517246</v>
      </c>
      <c r="AL22" s="12">
        <f t="shared" si="2"/>
        <v>0.84013605442176875</v>
      </c>
      <c r="AM22" s="12">
        <f t="shared" si="2"/>
        <v>0.85172413793103452</v>
      </c>
      <c r="AN22" s="19">
        <f t="shared" si="1"/>
        <v>0.8941605839416058</v>
      </c>
    </row>
    <row r="23" spans="2:40" ht="15" customHeight="1" thickBot="1">
      <c r="B23" s="93"/>
      <c r="C23" s="97"/>
      <c r="D23" s="6">
        <v>1</v>
      </c>
      <c r="E23" s="30">
        <v>32</v>
      </c>
      <c r="F23" s="31">
        <v>52</v>
      </c>
      <c r="G23" s="31">
        <v>100</v>
      </c>
      <c r="H23" s="31">
        <v>197</v>
      </c>
      <c r="I23" s="31">
        <v>386</v>
      </c>
      <c r="J23" s="31">
        <v>772</v>
      </c>
      <c r="K23" s="31">
        <v>1560</v>
      </c>
      <c r="L23" s="32">
        <v>7648</v>
      </c>
      <c r="M23" s="30">
        <v>27</v>
      </c>
      <c r="N23" s="31">
        <v>41</v>
      </c>
      <c r="O23" s="31">
        <v>79</v>
      </c>
      <c r="P23" s="31">
        <v>155</v>
      </c>
      <c r="Q23" s="31">
        <v>302</v>
      </c>
      <c r="R23" s="31">
        <v>604</v>
      </c>
      <c r="S23" s="31">
        <v>1224</v>
      </c>
      <c r="T23" s="32">
        <v>5664</v>
      </c>
      <c r="V23" s="87"/>
      <c r="W23" s="97"/>
      <c r="X23" s="6">
        <v>1</v>
      </c>
      <c r="Y23" s="20">
        <f t="shared" si="2"/>
        <v>0.5</v>
      </c>
      <c r="Z23" s="21">
        <f t="shared" si="2"/>
        <v>0.63461538461538458</v>
      </c>
      <c r="AA23" s="21">
        <f t="shared" si="2"/>
        <v>0.67</v>
      </c>
      <c r="AB23" s="21">
        <f t="shared" si="2"/>
        <v>0.6091370558375635</v>
      </c>
      <c r="AC23" s="21">
        <f t="shared" si="2"/>
        <v>0.6295336787564767</v>
      </c>
      <c r="AD23" s="21">
        <f t="shared" si="2"/>
        <v>0.57772020725388606</v>
      </c>
      <c r="AE23" s="21">
        <f t="shared" si="2"/>
        <v>0.56153846153846154</v>
      </c>
      <c r="AF23" s="22">
        <f t="shared" si="2"/>
        <v>0.38284518828451886</v>
      </c>
      <c r="AG23" s="20">
        <f t="shared" si="2"/>
        <v>0.55555555555555558</v>
      </c>
      <c r="AH23" s="21">
        <f t="shared" si="2"/>
        <v>0.73170731707317072</v>
      </c>
      <c r="AI23" s="21">
        <f t="shared" si="2"/>
        <v>0.77215189873417722</v>
      </c>
      <c r="AJ23" s="21">
        <f t="shared" si="2"/>
        <v>0.7870967741935484</v>
      </c>
      <c r="AK23" s="21">
        <f t="shared" si="2"/>
        <v>0.8112582781456954</v>
      </c>
      <c r="AL23" s="21">
        <f t="shared" si="2"/>
        <v>0.8112582781456954</v>
      </c>
      <c r="AM23" s="21">
        <f t="shared" si="2"/>
        <v>0.80065359477124187</v>
      </c>
      <c r="AN23" s="22">
        <f t="shared" si="1"/>
        <v>0.68644067796610164</v>
      </c>
    </row>
    <row r="24" spans="2:40" ht="15" customHeight="1">
      <c r="B24" s="93"/>
      <c r="C24" s="95" t="s">
        <v>8</v>
      </c>
      <c r="D24" s="7">
        <v>0.25</v>
      </c>
      <c r="E24" s="33">
        <v>3507</v>
      </c>
      <c r="F24" s="34">
        <v>6485</v>
      </c>
      <c r="G24" s="34">
        <v>11114</v>
      </c>
      <c r="H24" s="34">
        <v>18148</v>
      </c>
      <c r="I24" s="34">
        <v>26709</v>
      </c>
      <c r="J24" s="34">
        <v>27127</v>
      </c>
      <c r="K24" s="34">
        <v>27141</v>
      </c>
      <c r="L24" s="35">
        <v>27165</v>
      </c>
      <c r="M24" s="33">
        <v>3857</v>
      </c>
      <c r="N24" s="34">
        <v>7282</v>
      </c>
      <c r="O24" s="34">
        <v>12722</v>
      </c>
      <c r="P24" s="34">
        <v>20729</v>
      </c>
      <c r="Q24" s="34">
        <v>31445</v>
      </c>
      <c r="R24" s="34">
        <v>41658</v>
      </c>
      <c r="S24" s="34">
        <v>41408</v>
      </c>
      <c r="T24" s="35">
        <v>41537</v>
      </c>
      <c r="V24" s="87"/>
      <c r="W24" s="89" t="s">
        <v>8</v>
      </c>
      <c r="X24" s="4">
        <v>0.25</v>
      </c>
      <c r="Y24" s="15">
        <f t="shared" si="2"/>
        <v>1.3541488451668093</v>
      </c>
      <c r="Z24" s="16">
        <f t="shared" si="2"/>
        <v>1.3901310717039321</v>
      </c>
      <c r="AA24" s="16">
        <f t="shared" si="2"/>
        <v>1.4748965269030052</v>
      </c>
      <c r="AB24" s="16">
        <f t="shared" si="2"/>
        <v>1.5088163985012122</v>
      </c>
      <c r="AC24" s="16">
        <f t="shared" si="2"/>
        <v>1.4328503500692651</v>
      </c>
      <c r="AD24" s="16">
        <f t="shared" si="2"/>
        <v>1.609945810447156</v>
      </c>
      <c r="AE24" s="16">
        <f t="shared" si="2"/>
        <v>1.6095943406654138</v>
      </c>
      <c r="AF24" s="17">
        <f t="shared" si="2"/>
        <v>1.6091662065157371</v>
      </c>
      <c r="AG24" s="15">
        <f t="shared" si="2"/>
        <v>1.2263417163598651</v>
      </c>
      <c r="AH24" s="16">
        <f t="shared" si="2"/>
        <v>1.247459489151332</v>
      </c>
      <c r="AI24" s="16">
        <f t="shared" si="2"/>
        <v>1.3225907876120107</v>
      </c>
      <c r="AJ24" s="16">
        <f t="shared" si="2"/>
        <v>1.4229340537411357</v>
      </c>
      <c r="AK24" s="16">
        <f t="shared" si="2"/>
        <v>1.4493560184449037</v>
      </c>
      <c r="AL24" s="16">
        <f t="shared" si="2"/>
        <v>1.4072687118920735</v>
      </c>
      <c r="AM24" s="16">
        <f t="shared" si="2"/>
        <v>1.4374758500772797</v>
      </c>
      <c r="AN24" s="17">
        <f t="shared" si="1"/>
        <v>1.4325781833064497</v>
      </c>
    </row>
    <row r="25" spans="2:40" ht="15" customHeight="1">
      <c r="B25" s="93"/>
      <c r="C25" s="96"/>
      <c r="D25" s="5">
        <v>0.5</v>
      </c>
      <c r="E25" s="27">
        <v>8547</v>
      </c>
      <c r="F25" s="28">
        <v>15191</v>
      </c>
      <c r="G25" s="28">
        <v>24596</v>
      </c>
      <c r="H25" s="28">
        <v>34601</v>
      </c>
      <c r="I25" s="28">
        <v>34946</v>
      </c>
      <c r="J25" s="28">
        <v>34797</v>
      </c>
      <c r="K25" s="28">
        <v>34666</v>
      </c>
      <c r="L25" s="29">
        <v>34585</v>
      </c>
      <c r="M25" s="27">
        <v>9310</v>
      </c>
      <c r="N25" s="28">
        <v>16552</v>
      </c>
      <c r="O25" s="28">
        <v>26933</v>
      </c>
      <c r="P25" s="28">
        <v>41267</v>
      </c>
      <c r="Q25" s="28">
        <v>50853</v>
      </c>
      <c r="R25" s="28">
        <v>50381</v>
      </c>
      <c r="S25" s="28">
        <v>50380</v>
      </c>
      <c r="T25" s="29">
        <v>50513</v>
      </c>
      <c r="V25" s="87"/>
      <c r="W25" s="90"/>
      <c r="X25" s="5">
        <v>0.5</v>
      </c>
      <c r="Y25" s="18">
        <f t="shared" si="2"/>
        <v>1.4234234234234233</v>
      </c>
      <c r="Z25" s="12">
        <f t="shared" si="2"/>
        <v>1.46797445856099</v>
      </c>
      <c r="AA25" s="12">
        <f t="shared" si="2"/>
        <v>1.5296389656854774</v>
      </c>
      <c r="AB25" s="12">
        <f t="shared" si="2"/>
        <v>1.5835958498309297</v>
      </c>
      <c r="AC25" s="12">
        <f t="shared" si="2"/>
        <v>1.8096205574314657</v>
      </c>
      <c r="AD25" s="12">
        <f t="shared" si="2"/>
        <v>1.8171106704600972</v>
      </c>
      <c r="AE25" s="12">
        <f t="shared" si="2"/>
        <v>1.8231408296313392</v>
      </c>
      <c r="AF25" s="19">
        <f t="shared" si="2"/>
        <v>1.9468555732253867</v>
      </c>
      <c r="AG25" s="18">
        <f t="shared" si="2"/>
        <v>1.3083780880773361</v>
      </c>
      <c r="AH25" s="12">
        <f t="shared" si="2"/>
        <v>1.3658168197196714</v>
      </c>
      <c r="AI25" s="12">
        <f t="shared" si="2"/>
        <v>1.4670107303308209</v>
      </c>
      <c r="AJ25" s="12">
        <f t="shared" si="2"/>
        <v>1.4896648653888094</v>
      </c>
      <c r="AK25" s="12">
        <f t="shared" si="2"/>
        <v>1.6092462588244547</v>
      </c>
      <c r="AL25" s="12">
        <f t="shared" si="2"/>
        <v>1.6008018896012386</v>
      </c>
      <c r="AM25" s="12">
        <f t="shared" si="2"/>
        <v>1.5995236204843191</v>
      </c>
      <c r="AN25" s="19">
        <f t="shared" si="1"/>
        <v>1.7211806861599983</v>
      </c>
    </row>
    <row r="26" spans="2:40" ht="15" customHeight="1">
      <c r="B26" s="93"/>
      <c r="C26" s="96"/>
      <c r="D26" s="5">
        <v>0.75</v>
      </c>
      <c r="E26" s="27">
        <v>17776</v>
      </c>
      <c r="F26" s="28">
        <v>30318</v>
      </c>
      <c r="G26" s="28">
        <v>40140</v>
      </c>
      <c r="H26" s="28">
        <v>40220</v>
      </c>
      <c r="I26" s="28">
        <v>40408</v>
      </c>
      <c r="J26" s="28">
        <v>40596</v>
      </c>
      <c r="K26" s="28">
        <v>40675</v>
      </c>
      <c r="L26" s="29">
        <v>40742</v>
      </c>
      <c r="M26" s="27">
        <v>18706</v>
      </c>
      <c r="N26" s="28">
        <v>32062</v>
      </c>
      <c r="O26" s="28">
        <v>49851</v>
      </c>
      <c r="P26" s="28">
        <v>54006</v>
      </c>
      <c r="Q26" s="28">
        <v>54313</v>
      </c>
      <c r="R26" s="28">
        <v>54195</v>
      </c>
      <c r="S26" s="28">
        <v>54198</v>
      </c>
      <c r="T26" s="29">
        <v>54204</v>
      </c>
      <c r="V26" s="87"/>
      <c r="W26" s="90"/>
      <c r="X26" s="5">
        <v>0.75</v>
      </c>
      <c r="Y26" s="18">
        <f t="shared" si="2"/>
        <v>1.4798042304230423</v>
      </c>
      <c r="Z26" s="12">
        <f t="shared" si="2"/>
        <v>1.496899531631374</v>
      </c>
      <c r="AA26" s="12">
        <f t="shared" si="2"/>
        <v>1.7373692077727951</v>
      </c>
      <c r="AB26" s="12">
        <f t="shared" si="2"/>
        <v>1.9343361511685728</v>
      </c>
      <c r="AC26" s="12">
        <f t="shared" si="2"/>
        <v>1.9249653533953672</v>
      </c>
      <c r="AD26" s="12">
        <f t="shared" si="2"/>
        <v>1.9182678096364174</v>
      </c>
      <c r="AE26" s="12">
        <f t="shared" si="2"/>
        <v>1.9142962507682852</v>
      </c>
      <c r="AF26" s="19">
        <f t="shared" si="2"/>
        <v>1.9383682686171517</v>
      </c>
      <c r="AG26" s="18">
        <f t="shared" si="2"/>
        <v>1.4112584197583662</v>
      </c>
      <c r="AH26" s="12">
        <f t="shared" si="2"/>
        <v>1.4506892895015906</v>
      </c>
      <c r="AI26" s="12">
        <f t="shared" si="2"/>
        <v>1.4768008665824155</v>
      </c>
      <c r="AJ26" s="12">
        <f t="shared" si="2"/>
        <v>1.7709328593119282</v>
      </c>
      <c r="AK26" s="12">
        <f t="shared" si="2"/>
        <v>1.7567064975236131</v>
      </c>
      <c r="AL26" s="12">
        <f t="shared" si="2"/>
        <v>1.7614909124457976</v>
      </c>
      <c r="AM26" s="12">
        <f t="shared" si="2"/>
        <v>1.7579615483966198</v>
      </c>
      <c r="AN26" s="19">
        <f t="shared" si="1"/>
        <v>1.8023393107519741</v>
      </c>
    </row>
    <row r="27" spans="2:40" ht="15" customHeight="1" thickBot="1">
      <c r="B27" s="94"/>
      <c r="C27" s="97"/>
      <c r="D27" s="6">
        <v>1</v>
      </c>
      <c r="E27" s="30">
        <v>42048</v>
      </c>
      <c r="F27" s="31">
        <v>42159</v>
      </c>
      <c r="G27" s="31">
        <v>42219</v>
      </c>
      <c r="H27" s="31">
        <v>42245</v>
      </c>
      <c r="I27" s="31">
        <v>42192</v>
      </c>
      <c r="J27" s="31">
        <v>42181</v>
      </c>
      <c r="K27" s="31">
        <v>42167</v>
      </c>
      <c r="L27" s="32">
        <v>42159</v>
      </c>
      <c r="M27" s="30">
        <v>54073</v>
      </c>
      <c r="N27" s="31">
        <v>54121</v>
      </c>
      <c r="O27" s="31">
        <v>54355</v>
      </c>
      <c r="P27" s="31">
        <v>54277</v>
      </c>
      <c r="Q27" s="31">
        <v>54253</v>
      </c>
      <c r="R27" s="31">
        <v>54303</v>
      </c>
      <c r="S27" s="31">
        <v>54208</v>
      </c>
      <c r="T27" s="32">
        <v>54273</v>
      </c>
      <c r="V27" s="88"/>
      <c r="W27" s="91"/>
      <c r="X27" s="6">
        <v>1</v>
      </c>
      <c r="Y27" s="20">
        <f t="shared" si="2"/>
        <v>2.085140791476408</v>
      </c>
      <c r="Z27" s="21">
        <f t="shared" si="2"/>
        <v>2.0922697407433763</v>
      </c>
      <c r="AA27" s="21">
        <f t="shared" si="2"/>
        <v>2.0893199744191002</v>
      </c>
      <c r="AB27" s="21">
        <f t="shared" si="2"/>
        <v>2.0879867439933721</v>
      </c>
      <c r="AC27" s="21">
        <f t="shared" si="2"/>
        <v>2.0906332954114526</v>
      </c>
      <c r="AD27" s="21">
        <f t="shared" si="2"/>
        <v>2.0912259073990658</v>
      </c>
      <c r="AE27" s="21">
        <f t="shared" si="2"/>
        <v>2.0919202219745299</v>
      </c>
      <c r="AF27" s="22">
        <f t="shared" si="2"/>
        <v>2.0923883393818641</v>
      </c>
      <c r="AG27" s="20">
        <f t="shared" si="2"/>
        <v>1.6205130101899283</v>
      </c>
      <c r="AH27" s="21">
        <f t="shared" si="2"/>
        <v>2.01374697437224</v>
      </c>
      <c r="AI27" s="21">
        <f t="shared" si="2"/>
        <v>2.0039738754484406</v>
      </c>
      <c r="AJ27" s="21">
        <f t="shared" si="2"/>
        <v>2.0076091162002321</v>
      </c>
      <c r="AK27" s="21">
        <f t="shared" si="2"/>
        <v>2.0097874771902013</v>
      </c>
      <c r="AL27" s="21">
        <f t="shared" si="2"/>
        <v>2.0058007844870449</v>
      </c>
      <c r="AM27" s="21">
        <f t="shared" si="2"/>
        <v>2.0096480224321134</v>
      </c>
      <c r="AN27" s="22">
        <f t="shared" si="1"/>
        <v>2.0082177141488402</v>
      </c>
    </row>
    <row r="28" spans="2:40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2:40" ht="15" customHeight="1" thickBot="1">
      <c r="B29" s="112" t="s">
        <v>72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5"/>
      <c r="M29" s="83" t="s">
        <v>24</v>
      </c>
      <c r="N29" s="84"/>
      <c r="O29" s="84"/>
      <c r="P29" s="84"/>
      <c r="Q29" s="84"/>
      <c r="R29" s="84"/>
      <c r="S29" s="84"/>
      <c r="T29" s="85"/>
      <c r="V29" s="13" t="s">
        <v>20</v>
      </c>
      <c r="W29" s="14">
        <f>(COUNTIF(Y4:AN11,"&lt;1.1")+COUNTIF(Y16:AN23,"&lt;1.1"))/(COUNT(Y4:AN11)+COUNT(Y16:AN23))</f>
        <v>0.91796875</v>
      </c>
      <c r="X29" s="109" t="s">
        <v>19</v>
      </c>
      <c r="Y29" s="110"/>
      <c r="Z29" s="110"/>
      <c r="AA29" s="110"/>
      <c r="AB29" s="111"/>
    </row>
    <row r="30" spans="2:40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3" t="s">
        <v>17</v>
      </c>
      <c r="M30" s="1" t="s">
        <v>0</v>
      </c>
      <c r="N30" s="2" t="s">
        <v>1</v>
      </c>
      <c r="O30" s="2" t="s">
        <v>2</v>
      </c>
      <c r="P30" s="2" t="s">
        <v>3</v>
      </c>
      <c r="Q30" s="2" t="s">
        <v>4</v>
      </c>
      <c r="R30" s="2" t="s">
        <v>18</v>
      </c>
      <c r="S30" s="2" t="s">
        <v>16</v>
      </c>
      <c r="T30" s="3" t="s">
        <v>17</v>
      </c>
      <c r="V30" s="13" t="s">
        <v>21</v>
      </c>
      <c r="W30" s="23">
        <f>(COUNTIF(Y4:AN11,"&lt;1.1"))/(COUNT(Y4:AN11))</f>
        <v>1</v>
      </c>
      <c r="X30" s="109" t="s">
        <v>19</v>
      </c>
      <c r="Y30" s="110"/>
      <c r="Z30" s="110"/>
      <c r="AA30" s="110"/>
      <c r="AB30" s="111"/>
    </row>
    <row r="31" spans="2:40" ht="15" customHeight="1" thickBot="1">
      <c r="B31" s="92" t="s">
        <v>5</v>
      </c>
      <c r="C31" s="98" t="s">
        <v>6</v>
      </c>
      <c r="D31" s="4">
        <v>0.25</v>
      </c>
      <c r="E31" s="36">
        <v>266</v>
      </c>
      <c r="F31" s="37">
        <v>314</v>
      </c>
      <c r="G31" s="37">
        <v>382</v>
      </c>
      <c r="H31" s="37">
        <v>414</v>
      </c>
      <c r="I31" s="37">
        <v>430</v>
      </c>
      <c r="J31" s="37">
        <v>434</v>
      </c>
      <c r="K31" s="37">
        <v>438</v>
      </c>
      <c r="L31" s="38">
        <v>1688</v>
      </c>
      <c r="M31" s="36">
        <v>330</v>
      </c>
      <c r="N31" s="37">
        <v>398</v>
      </c>
      <c r="O31" s="37">
        <v>494</v>
      </c>
      <c r="P31" s="37">
        <v>564</v>
      </c>
      <c r="Q31" s="37">
        <v>612</v>
      </c>
      <c r="R31" s="37">
        <v>652</v>
      </c>
      <c r="S31" s="37">
        <v>684</v>
      </c>
      <c r="T31" s="38">
        <v>2064</v>
      </c>
      <c r="V31" s="13" t="s">
        <v>22</v>
      </c>
      <c r="W31" s="23">
        <f>COUNTIF(Y16:AN23,"&lt;1.1")/+COUNT(Y16:AN23)</f>
        <v>0.8359375</v>
      </c>
      <c r="X31" s="109" t="s">
        <v>19</v>
      </c>
      <c r="Y31" s="110"/>
      <c r="Z31" s="110"/>
      <c r="AA31" s="110"/>
      <c r="AB31" s="111"/>
    </row>
    <row r="32" spans="2:40" ht="15" customHeight="1">
      <c r="B32" s="93"/>
      <c r="C32" s="96"/>
      <c r="D32" s="5">
        <v>0.5</v>
      </c>
      <c r="E32" s="39">
        <v>211</v>
      </c>
      <c r="F32" s="40">
        <v>258</v>
      </c>
      <c r="G32" s="40">
        <v>310</v>
      </c>
      <c r="H32" s="40">
        <v>378</v>
      </c>
      <c r="I32" s="40">
        <v>438</v>
      </c>
      <c r="J32" s="40">
        <v>446</v>
      </c>
      <c r="K32" s="40">
        <v>450</v>
      </c>
      <c r="L32" s="41">
        <v>1752</v>
      </c>
      <c r="M32" s="39">
        <v>213</v>
      </c>
      <c r="N32" s="40">
        <v>306</v>
      </c>
      <c r="O32" s="40">
        <v>370</v>
      </c>
      <c r="P32" s="40">
        <v>466</v>
      </c>
      <c r="Q32" s="40">
        <v>572</v>
      </c>
      <c r="R32" s="40">
        <v>748</v>
      </c>
      <c r="S32" s="40">
        <v>1020</v>
      </c>
      <c r="T32" s="41">
        <v>3664</v>
      </c>
    </row>
    <row r="33" spans="2:20" ht="15" customHeight="1">
      <c r="B33" s="93"/>
      <c r="C33" s="96"/>
      <c r="D33" s="5">
        <v>0.75</v>
      </c>
      <c r="E33" s="39">
        <v>124</v>
      </c>
      <c r="F33" s="40">
        <v>197</v>
      </c>
      <c r="G33" s="40">
        <v>258</v>
      </c>
      <c r="H33" s="40">
        <v>314</v>
      </c>
      <c r="I33" s="40">
        <v>398</v>
      </c>
      <c r="J33" s="40">
        <v>532</v>
      </c>
      <c r="K33" s="40">
        <v>796</v>
      </c>
      <c r="L33" s="41">
        <v>2320</v>
      </c>
      <c r="M33" s="39">
        <v>112</v>
      </c>
      <c r="N33" s="40">
        <v>177</v>
      </c>
      <c r="O33" s="40">
        <v>270</v>
      </c>
      <c r="P33" s="40">
        <v>346</v>
      </c>
      <c r="Q33" s="40">
        <v>446</v>
      </c>
      <c r="R33" s="40">
        <v>588</v>
      </c>
      <c r="S33" s="40">
        <v>844</v>
      </c>
      <c r="T33" s="41">
        <v>2096</v>
      </c>
    </row>
    <row r="34" spans="2:20" ht="15" customHeight="1" thickBot="1">
      <c r="B34" s="93"/>
      <c r="C34" s="97"/>
      <c r="D34" s="6">
        <v>1</v>
      </c>
      <c r="E34" s="42">
        <v>69</v>
      </c>
      <c r="F34" s="43">
        <v>89</v>
      </c>
      <c r="G34" s="43">
        <v>105</v>
      </c>
      <c r="H34" s="43">
        <v>120</v>
      </c>
      <c r="I34" s="43">
        <v>159</v>
      </c>
      <c r="J34" s="43">
        <v>241</v>
      </c>
      <c r="K34" s="43">
        <v>442</v>
      </c>
      <c r="L34" s="44">
        <v>1080</v>
      </c>
      <c r="M34" s="42">
        <v>68</v>
      </c>
      <c r="N34" s="43">
        <v>72</v>
      </c>
      <c r="O34" s="43">
        <v>97</v>
      </c>
      <c r="P34" s="43">
        <v>108</v>
      </c>
      <c r="Q34" s="43">
        <v>125</v>
      </c>
      <c r="R34" s="43">
        <v>165</v>
      </c>
      <c r="S34" s="43">
        <v>241</v>
      </c>
      <c r="T34" s="44">
        <v>588</v>
      </c>
    </row>
    <row r="35" spans="2:20" ht="15" customHeight="1">
      <c r="B35" s="93"/>
      <c r="C35" s="98" t="s">
        <v>7</v>
      </c>
      <c r="D35" s="4">
        <v>0.25</v>
      </c>
      <c r="E35" s="36">
        <v>572</v>
      </c>
      <c r="F35" s="37">
        <v>852</v>
      </c>
      <c r="G35" s="37">
        <v>884</v>
      </c>
      <c r="H35" s="37">
        <v>916</v>
      </c>
      <c r="I35" s="37">
        <v>964</v>
      </c>
      <c r="J35" s="37">
        <v>980</v>
      </c>
      <c r="K35" s="37">
        <v>980</v>
      </c>
      <c r="L35" s="38">
        <v>1960</v>
      </c>
      <c r="M35" s="36">
        <v>748</v>
      </c>
      <c r="N35" s="37">
        <v>828</v>
      </c>
      <c r="O35" s="37">
        <v>892</v>
      </c>
      <c r="P35" s="37">
        <v>956</v>
      </c>
      <c r="Q35" s="37">
        <v>1012</v>
      </c>
      <c r="R35" s="37">
        <v>1080</v>
      </c>
      <c r="S35" s="37">
        <v>1160</v>
      </c>
      <c r="T35" s="38">
        <v>2960</v>
      </c>
    </row>
    <row r="36" spans="2:20" ht="15" customHeight="1">
      <c r="B36" s="93"/>
      <c r="C36" s="96"/>
      <c r="D36" s="5">
        <v>0.5</v>
      </c>
      <c r="E36" s="39">
        <v>532</v>
      </c>
      <c r="F36" s="40">
        <v>556</v>
      </c>
      <c r="G36" s="40">
        <v>844</v>
      </c>
      <c r="H36" s="40">
        <v>884</v>
      </c>
      <c r="I36" s="40">
        <v>932</v>
      </c>
      <c r="J36" s="40">
        <v>1048</v>
      </c>
      <c r="K36" s="40">
        <v>1176</v>
      </c>
      <c r="L36" s="41">
        <v>2192</v>
      </c>
      <c r="M36" s="39">
        <v>724</v>
      </c>
      <c r="N36" s="40">
        <v>740</v>
      </c>
      <c r="O36" s="40">
        <v>804</v>
      </c>
      <c r="P36" s="40">
        <v>884</v>
      </c>
      <c r="Q36" s="40">
        <v>972</v>
      </c>
      <c r="R36" s="40">
        <v>1192</v>
      </c>
      <c r="S36" s="40">
        <v>1496</v>
      </c>
      <c r="T36" s="41">
        <v>4640</v>
      </c>
    </row>
    <row r="37" spans="2:20" ht="15" customHeight="1">
      <c r="B37" s="93"/>
      <c r="C37" s="96"/>
      <c r="D37" s="5">
        <v>0.75</v>
      </c>
      <c r="E37" s="39">
        <v>490</v>
      </c>
      <c r="F37" s="40">
        <v>532</v>
      </c>
      <c r="G37" s="40">
        <v>556</v>
      </c>
      <c r="H37" s="40">
        <v>700</v>
      </c>
      <c r="I37" s="40">
        <v>876</v>
      </c>
      <c r="J37" s="40">
        <v>980</v>
      </c>
      <c r="K37" s="40">
        <v>1336</v>
      </c>
      <c r="L37" s="41">
        <v>3184</v>
      </c>
      <c r="M37" s="39">
        <v>660</v>
      </c>
      <c r="N37" s="40">
        <v>708</v>
      </c>
      <c r="O37" s="40">
        <v>724</v>
      </c>
      <c r="P37" s="40">
        <v>780</v>
      </c>
      <c r="Q37" s="40">
        <v>876</v>
      </c>
      <c r="R37" s="40">
        <v>1064</v>
      </c>
      <c r="S37" s="40">
        <v>1384</v>
      </c>
      <c r="T37" s="41">
        <v>2704</v>
      </c>
    </row>
    <row r="38" spans="2:20" ht="15" customHeight="1" thickBot="1">
      <c r="B38" s="93"/>
      <c r="C38" s="97"/>
      <c r="D38" s="6">
        <v>1</v>
      </c>
      <c r="E38" s="42">
        <v>90</v>
      </c>
      <c r="F38" s="43">
        <v>120</v>
      </c>
      <c r="G38" s="43">
        <v>153</v>
      </c>
      <c r="H38" s="43">
        <v>191</v>
      </c>
      <c r="I38" s="43">
        <v>266</v>
      </c>
      <c r="J38" s="43">
        <v>426</v>
      </c>
      <c r="K38" s="43">
        <v>796</v>
      </c>
      <c r="L38" s="44">
        <v>1848</v>
      </c>
      <c r="M38" s="42">
        <v>73</v>
      </c>
      <c r="N38" s="43">
        <v>117</v>
      </c>
      <c r="O38" s="43">
        <v>139</v>
      </c>
      <c r="P38" s="43">
        <v>161</v>
      </c>
      <c r="Q38" s="43">
        <v>203</v>
      </c>
      <c r="R38" s="43">
        <v>282</v>
      </c>
      <c r="S38" s="43">
        <v>422</v>
      </c>
      <c r="T38" s="44">
        <v>780</v>
      </c>
    </row>
    <row r="39" spans="2:20" ht="15" customHeight="1">
      <c r="B39" s="93"/>
      <c r="C39" s="98" t="s">
        <v>8</v>
      </c>
      <c r="D39" s="4">
        <v>0.25</v>
      </c>
      <c r="E39" s="36">
        <v>8771</v>
      </c>
      <c r="F39" s="37">
        <v>15125</v>
      </c>
      <c r="G39" s="37">
        <v>23247</v>
      </c>
      <c r="H39" s="37">
        <v>25943</v>
      </c>
      <c r="I39" s="37">
        <v>25913</v>
      </c>
      <c r="J39" s="37">
        <v>25953</v>
      </c>
      <c r="K39" s="37">
        <v>25958</v>
      </c>
      <c r="L39" s="38">
        <v>26328</v>
      </c>
      <c r="M39" s="36">
        <v>8802</v>
      </c>
      <c r="N39" s="37">
        <v>15503</v>
      </c>
      <c r="O39" s="37">
        <v>24545</v>
      </c>
      <c r="P39" s="37">
        <v>31888</v>
      </c>
      <c r="Q39" s="37">
        <v>31811</v>
      </c>
      <c r="R39" s="37">
        <v>31804</v>
      </c>
      <c r="S39" s="37">
        <v>31763</v>
      </c>
      <c r="T39" s="38">
        <v>32550</v>
      </c>
    </row>
    <row r="40" spans="2:20" ht="15" customHeight="1">
      <c r="B40" s="93"/>
      <c r="C40" s="96"/>
      <c r="D40" s="5">
        <v>0.5</v>
      </c>
      <c r="E40" s="39">
        <v>12168</v>
      </c>
      <c r="F40" s="40">
        <v>22300</v>
      </c>
      <c r="G40" s="40">
        <v>37635</v>
      </c>
      <c r="H40" s="40">
        <v>54798</v>
      </c>
      <c r="I40" s="40">
        <v>63228</v>
      </c>
      <c r="J40" s="40">
        <v>63229</v>
      </c>
      <c r="K40" s="40">
        <v>63191</v>
      </c>
      <c r="L40" s="41">
        <v>67326</v>
      </c>
      <c r="M40" s="39">
        <v>12176</v>
      </c>
      <c r="N40" s="40">
        <v>22601</v>
      </c>
      <c r="O40" s="40">
        <v>39509</v>
      </c>
      <c r="P40" s="40">
        <v>61462</v>
      </c>
      <c r="Q40" s="40">
        <v>81861</v>
      </c>
      <c r="R40" s="40">
        <v>80646</v>
      </c>
      <c r="S40" s="40">
        <v>80596</v>
      </c>
      <c r="T40" s="41">
        <v>86930</v>
      </c>
    </row>
    <row r="41" spans="2:20" ht="15" customHeight="1">
      <c r="B41" s="93"/>
      <c r="C41" s="96"/>
      <c r="D41" s="5">
        <v>0.75</v>
      </c>
      <c r="E41" s="39">
        <v>14239</v>
      </c>
      <c r="F41" s="40">
        <v>27043</v>
      </c>
      <c r="G41" s="40">
        <v>49198</v>
      </c>
      <c r="H41" s="40">
        <v>82145</v>
      </c>
      <c r="I41" s="40">
        <v>114809</v>
      </c>
      <c r="J41" s="40">
        <v>131058</v>
      </c>
      <c r="K41" s="40">
        <v>131083</v>
      </c>
      <c r="L41" s="41">
        <v>131147</v>
      </c>
      <c r="M41" s="39">
        <v>14187</v>
      </c>
      <c r="N41" s="40">
        <v>27221</v>
      </c>
      <c r="O41" s="40">
        <v>50464</v>
      </c>
      <c r="P41" s="40">
        <v>88465</v>
      </c>
      <c r="Q41" s="40">
        <v>136740</v>
      </c>
      <c r="R41" s="40">
        <v>175883</v>
      </c>
      <c r="S41" s="40">
        <v>178549</v>
      </c>
      <c r="T41" s="41">
        <v>178503</v>
      </c>
    </row>
    <row r="42" spans="2:20" ht="15" customHeight="1" thickBot="1">
      <c r="B42" s="94"/>
      <c r="C42" s="97"/>
      <c r="D42" s="6">
        <v>1</v>
      </c>
      <c r="E42" s="42">
        <v>16028</v>
      </c>
      <c r="F42" s="43">
        <v>31653</v>
      </c>
      <c r="G42" s="43">
        <v>61526</v>
      </c>
      <c r="H42" s="43">
        <v>116509</v>
      </c>
      <c r="I42" s="43">
        <v>209212</v>
      </c>
      <c r="J42" s="43">
        <v>337480</v>
      </c>
      <c r="K42" s="43">
        <v>459928</v>
      </c>
      <c r="L42" s="44">
        <v>526408</v>
      </c>
      <c r="M42" s="42">
        <v>16053</v>
      </c>
      <c r="N42" s="43">
        <v>31858</v>
      </c>
      <c r="O42" s="43">
        <v>62543</v>
      </c>
      <c r="P42" s="43">
        <v>120864</v>
      </c>
      <c r="Q42" s="43">
        <v>226137</v>
      </c>
      <c r="R42" s="43">
        <v>395571</v>
      </c>
      <c r="S42" s="43">
        <v>542722</v>
      </c>
      <c r="T42" s="44">
        <v>557271</v>
      </c>
    </row>
    <row r="43" spans="2:20" ht="15" customHeight="1">
      <c r="B43" s="83" t="s">
        <v>9</v>
      </c>
      <c r="C43" s="98" t="s">
        <v>6</v>
      </c>
      <c r="D43" s="4">
        <v>0.25</v>
      </c>
      <c r="E43" s="36">
        <v>11</v>
      </c>
      <c r="F43" s="37">
        <v>13</v>
      </c>
      <c r="G43" s="37">
        <v>15</v>
      </c>
      <c r="H43" s="37">
        <v>17</v>
      </c>
      <c r="I43" s="37">
        <v>19</v>
      </c>
      <c r="J43" s="37">
        <v>98</v>
      </c>
      <c r="K43" s="37">
        <v>115</v>
      </c>
      <c r="L43" s="38">
        <v>115</v>
      </c>
      <c r="M43" s="36">
        <v>11</v>
      </c>
      <c r="N43" s="37">
        <v>13</v>
      </c>
      <c r="O43" s="37">
        <v>15</v>
      </c>
      <c r="P43" s="37">
        <v>17</v>
      </c>
      <c r="Q43" s="37">
        <v>20</v>
      </c>
      <c r="R43" s="37">
        <v>23</v>
      </c>
      <c r="S43" s="37">
        <v>22</v>
      </c>
      <c r="T43" s="38">
        <v>23</v>
      </c>
    </row>
    <row r="44" spans="2:20" ht="15" customHeight="1">
      <c r="B44" s="93"/>
      <c r="C44" s="96"/>
      <c r="D44" s="5">
        <v>0.5</v>
      </c>
      <c r="E44" s="39">
        <v>11</v>
      </c>
      <c r="F44" s="40">
        <v>13</v>
      </c>
      <c r="G44" s="40">
        <v>15</v>
      </c>
      <c r="H44" s="40">
        <v>17</v>
      </c>
      <c r="I44" s="40">
        <v>173</v>
      </c>
      <c r="J44" s="40">
        <v>490</v>
      </c>
      <c r="K44" s="40">
        <v>1096</v>
      </c>
      <c r="L44" s="41">
        <v>3664</v>
      </c>
      <c r="M44" s="39">
        <v>12</v>
      </c>
      <c r="N44" s="40">
        <v>13</v>
      </c>
      <c r="O44" s="40">
        <v>15</v>
      </c>
      <c r="P44" s="40">
        <v>18</v>
      </c>
      <c r="Q44" s="40">
        <v>20</v>
      </c>
      <c r="R44" s="40">
        <v>402</v>
      </c>
      <c r="S44" s="40">
        <v>892</v>
      </c>
      <c r="T44" s="41">
        <v>3376</v>
      </c>
    </row>
    <row r="45" spans="2:20" ht="15" customHeight="1">
      <c r="B45" s="93"/>
      <c r="C45" s="96"/>
      <c r="D45" s="5">
        <v>0.75</v>
      </c>
      <c r="E45" s="39">
        <v>11</v>
      </c>
      <c r="F45" s="40">
        <v>13</v>
      </c>
      <c r="G45" s="40">
        <v>15</v>
      </c>
      <c r="H45" s="40">
        <v>121</v>
      </c>
      <c r="I45" s="40">
        <v>243</v>
      </c>
      <c r="J45" s="40">
        <v>490</v>
      </c>
      <c r="K45" s="40">
        <v>980</v>
      </c>
      <c r="L45" s="41">
        <v>3824</v>
      </c>
      <c r="M45" s="39">
        <v>13</v>
      </c>
      <c r="N45" s="40">
        <v>14</v>
      </c>
      <c r="O45" s="40">
        <v>15</v>
      </c>
      <c r="P45" s="40">
        <v>106</v>
      </c>
      <c r="Q45" s="40">
        <v>241</v>
      </c>
      <c r="R45" s="40">
        <v>486</v>
      </c>
      <c r="S45" s="40">
        <v>972</v>
      </c>
      <c r="T45" s="41">
        <v>3856</v>
      </c>
    </row>
    <row r="46" spans="2:20" ht="15" customHeight="1" thickBot="1">
      <c r="B46" s="93"/>
      <c r="C46" s="97"/>
      <c r="D46" s="6">
        <v>1</v>
      </c>
      <c r="E46" s="42">
        <v>11</v>
      </c>
      <c r="F46" s="43">
        <v>32</v>
      </c>
      <c r="G46" s="43">
        <v>64</v>
      </c>
      <c r="H46" s="43">
        <v>100</v>
      </c>
      <c r="I46" s="43">
        <v>201</v>
      </c>
      <c r="J46" s="43">
        <v>374</v>
      </c>
      <c r="K46" s="43">
        <v>748</v>
      </c>
      <c r="L46" s="44">
        <v>2928</v>
      </c>
      <c r="M46" s="42">
        <v>11</v>
      </c>
      <c r="N46" s="43">
        <v>29</v>
      </c>
      <c r="O46" s="43">
        <v>60</v>
      </c>
      <c r="P46" s="43">
        <v>121</v>
      </c>
      <c r="Q46" s="43">
        <v>243</v>
      </c>
      <c r="R46" s="43">
        <v>490</v>
      </c>
      <c r="S46" s="43">
        <v>980</v>
      </c>
      <c r="T46" s="44">
        <v>3248</v>
      </c>
    </row>
    <row r="47" spans="2:20" ht="15" customHeight="1">
      <c r="B47" s="93"/>
      <c r="C47" s="98" t="s">
        <v>7</v>
      </c>
      <c r="D47" s="4">
        <v>0.25</v>
      </c>
      <c r="E47" s="36">
        <v>16</v>
      </c>
      <c r="F47" s="37">
        <v>17</v>
      </c>
      <c r="G47" s="37">
        <v>19</v>
      </c>
      <c r="H47" s="37">
        <v>23</v>
      </c>
      <c r="I47" s="37">
        <v>27</v>
      </c>
      <c r="J47" s="37">
        <v>187</v>
      </c>
      <c r="K47" s="37">
        <v>223</v>
      </c>
      <c r="L47" s="38">
        <v>225</v>
      </c>
      <c r="M47" s="36">
        <v>27</v>
      </c>
      <c r="N47" s="37">
        <v>30</v>
      </c>
      <c r="O47" s="37">
        <v>27</v>
      </c>
      <c r="P47" s="37">
        <v>23</v>
      </c>
      <c r="Q47" s="37">
        <v>28</v>
      </c>
      <c r="R47" s="37">
        <v>39</v>
      </c>
      <c r="S47" s="37">
        <v>76</v>
      </c>
      <c r="T47" s="38">
        <v>398</v>
      </c>
    </row>
    <row r="48" spans="2:20" ht="15" customHeight="1">
      <c r="B48" s="93"/>
      <c r="C48" s="96"/>
      <c r="D48" s="5">
        <v>0.5</v>
      </c>
      <c r="E48" s="39">
        <v>16</v>
      </c>
      <c r="F48" s="40">
        <v>17</v>
      </c>
      <c r="G48" s="40">
        <v>20</v>
      </c>
      <c r="H48" s="40">
        <v>23</v>
      </c>
      <c r="I48" s="40">
        <v>227</v>
      </c>
      <c r="J48" s="40">
        <v>612</v>
      </c>
      <c r="K48" s="40">
        <v>1304</v>
      </c>
      <c r="L48" s="41">
        <v>3856</v>
      </c>
      <c r="M48" s="39">
        <v>29</v>
      </c>
      <c r="N48" s="40">
        <v>33</v>
      </c>
      <c r="O48" s="40">
        <v>28</v>
      </c>
      <c r="P48" s="40">
        <v>24</v>
      </c>
      <c r="Q48" s="40">
        <v>143</v>
      </c>
      <c r="R48" s="40">
        <v>462</v>
      </c>
      <c r="S48" s="40">
        <v>956</v>
      </c>
      <c r="T48" s="41">
        <v>3856</v>
      </c>
    </row>
    <row r="49" spans="2:20" ht="15" customHeight="1">
      <c r="B49" s="93"/>
      <c r="C49" s="96"/>
      <c r="D49" s="5">
        <v>0.75</v>
      </c>
      <c r="E49" s="39">
        <v>16</v>
      </c>
      <c r="F49" s="40">
        <v>18</v>
      </c>
      <c r="G49" s="40">
        <v>20</v>
      </c>
      <c r="H49" s="40">
        <v>125</v>
      </c>
      <c r="I49" s="40">
        <v>249</v>
      </c>
      <c r="J49" s="40">
        <v>494</v>
      </c>
      <c r="K49" s="40">
        <v>988</v>
      </c>
      <c r="L49" s="41">
        <v>3888</v>
      </c>
      <c r="M49" s="39">
        <v>30</v>
      </c>
      <c r="N49" s="40">
        <v>34</v>
      </c>
      <c r="O49" s="40">
        <v>30</v>
      </c>
      <c r="P49" s="40">
        <v>124</v>
      </c>
      <c r="Q49" s="40">
        <v>249</v>
      </c>
      <c r="R49" s="40">
        <v>494</v>
      </c>
      <c r="S49" s="40">
        <v>988</v>
      </c>
      <c r="T49" s="41">
        <v>3920</v>
      </c>
    </row>
    <row r="50" spans="2:20" ht="15" customHeight="1" thickBot="1">
      <c r="B50" s="93"/>
      <c r="C50" s="97"/>
      <c r="D50" s="6">
        <v>1</v>
      </c>
      <c r="E50" s="42">
        <v>16</v>
      </c>
      <c r="F50" s="43">
        <v>33</v>
      </c>
      <c r="G50" s="43">
        <v>67</v>
      </c>
      <c r="H50" s="43">
        <v>120</v>
      </c>
      <c r="I50" s="43">
        <v>243</v>
      </c>
      <c r="J50" s="43">
        <v>446</v>
      </c>
      <c r="K50" s="43">
        <v>876</v>
      </c>
      <c r="L50" s="44">
        <v>2928</v>
      </c>
      <c r="M50" s="42">
        <v>15</v>
      </c>
      <c r="N50" s="43">
        <v>30</v>
      </c>
      <c r="O50" s="43">
        <v>61</v>
      </c>
      <c r="P50" s="43">
        <v>122</v>
      </c>
      <c r="Q50" s="43">
        <v>245</v>
      </c>
      <c r="R50" s="43">
        <v>490</v>
      </c>
      <c r="S50" s="43">
        <v>980</v>
      </c>
      <c r="T50" s="44">
        <v>3888</v>
      </c>
    </row>
    <row r="51" spans="2:20" ht="15" customHeight="1">
      <c r="B51" s="93"/>
      <c r="C51" s="98" t="s">
        <v>8</v>
      </c>
      <c r="D51" s="4">
        <v>0.25</v>
      </c>
      <c r="E51" s="24">
        <v>4749</v>
      </c>
      <c r="F51" s="25">
        <v>9015</v>
      </c>
      <c r="G51" s="25">
        <v>16392</v>
      </c>
      <c r="H51" s="25">
        <v>27382</v>
      </c>
      <c r="I51" s="25">
        <v>38270</v>
      </c>
      <c r="J51" s="25">
        <v>43673</v>
      </c>
      <c r="K51" s="25">
        <v>43686</v>
      </c>
      <c r="L51" s="26">
        <v>43713</v>
      </c>
      <c r="M51" s="24">
        <v>4730</v>
      </c>
      <c r="N51" s="25">
        <v>9084</v>
      </c>
      <c r="O51" s="25">
        <v>16826</v>
      </c>
      <c r="P51" s="25">
        <v>29496</v>
      </c>
      <c r="Q51" s="25">
        <v>45575</v>
      </c>
      <c r="R51" s="25">
        <v>58624</v>
      </c>
      <c r="S51" s="25">
        <v>59523</v>
      </c>
      <c r="T51" s="26">
        <v>59505</v>
      </c>
    </row>
    <row r="52" spans="2:20" ht="15" customHeight="1">
      <c r="B52" s="93"/>
      <c r="C52" s="96"/>
      <c r="D52" s="5">
        <v>0.5</v>
      </c>
      <c r="E52" s="27">
        <v>12166</v>
      </c>
      <c r="F52" s="28">
        <v>22300</v>
      </c>
      <c r="G52" s="28">
        <v>37623</v>
      </c>
      <c r="H52" s="28">
        <v>54794</v>
      </c>
      <c r="I52" s="28">
        <v>63239</v>
      </c>
      <c r="J52" s="28">
        <v>63230</v>
      </c>
      <c r="K52" s="28">
        <v>63201</v>
      </c>
      <c r="L52" s="29">
        <v>67332</v>
      </c>
      <c r="M52" s="27">
        <v>12181</v>
      </c>
      <c r="N52" s="28">
        <v>22607</v>
      </c>
      <c r="O52" s="28">
        <v>39511</v>
      </c>
      <c r="P52" s="28">
        <v>61474</v>
      </c>
      <c r="Q52" s="28">
        <v>81835</v>
      </c>
      <c r="R52" s="28">
        <v>80650</v>
      </c>
      <c r="S52" s="28">
        <v>80584</v>
      </c>
      <c r="T52" s="29">
        <v>86942</v>
      </c>
    </row>
    <row r="53" spans="2:20" ht="15" customHeight="1">
      <c r="B53" s="93"/>
      <c r="C53" s="96"/>
      <c r="D53" s="5">
        <v>0.75</v>
      </c>
      <c r="E53" s="27">
        <v>26305</v>
      </c>
      <c r="F53" s="28">
        <v>45383</v>
      </c>
      <c r="G53" s="28">
        <v>69738</v>
      </c>
      <c r="H53" s="28">
        <v>77799</v>
      </c>
      <c r="I53" s="28">
        <v>77784</v>
      </c>
      <c r="J53" s="28">
        <v>77874</v>
      </c>
      <c r="K53" s="28">
        <v>77864</v>
      </c>
      <c r="L53" s="29">
        <v>78973</v>
      </c>
      <c r="M53" s="27">
        <v>26399</v>
      </c>
      <c r="N53" s="28">
        <v>46512</v>
      </c>
      <c r="O53" s="28">
        <v>73620</v>
      </c>
      <c r="P53" s="28">
        <v>95641</v>
      </c>
      <c r="Q53" s="28">
        <v>95412</v>
      </c>
      <c r="R53" s="28">
        <v>95464</v>
      </c>
      <c r="S53" s="28">
        <v>95278</v>
      </c>
      <c r="T53" s="29">
        <v>97694</v>
      </c>
    </row>
    <row r="54" spans="2:20" ht="15" customHeight="1" thickBot="1">
      <c r="B54" s="94"/>
      <c r="C54" s="97"/>
      <c r="D54" s="6">
        <v>1</v>
      </c>
      <c r="E54" s="30">
        <v>87676</v>
      </c>
      <c r="F54" s="31">
        <v>88208</v>
      </c>
      <c r="G54" s="31">
        <v>88209</v>
      </c>
      <c r="H54" s="31">
        <v>88207</v>
      </c>
      <c r="I54" s="31">
        <v>88208</v>
      </c>
      <c r="J54" s="31">
        <v>88210</v>
      </c>
      <c r="K54" s="31">
        <v>88210</v>
      </c>
      <c r="L54" s="32">
        <v>88213</v>
      </c>
      <c r="M54" s="30">
        <v>87626</v>
      </c>
      <c r="N54" s="31">
        <v>108986</v>
      </c>
      <c r="O54" s="31">
        <v>108926</v>
      </c>
      <c r="P54" s="31">
        <v>108967</v>
      </c>
      <c r="Q54" s="31">
        <v>109037</v>
      </c>
      <c r="R54" s="31">
        <v>108921</v>
      </c>
      <c r="S54" s="31">
        <v>108939</v>
      </c>
      <c r="T54" s="32">
        <v>108992</v>
      </c>
    </row>
  </sheetData>
  <mergeCells count="36">
    <mergeCell ref="AG2:AN2"/>
    <mergeCell ref="B2:D3"/>
    <mergeCell ref="E2:L2"/>
    <mergeCell ref="M2:T2"/>
    <mergeCell ref="V2:X3"/>
    <mergeCell ref="Y2:AF2"/>
    <mergeCell ref="B4:B15"/>
    <mergeCell ref="C4:C7"/>
    <mergeCell ref="V4:V15"/>
    <mergeCell ref="W4:W7"/>
    <mergeCell ref="C8:C11"/>
    <mergeCell ref="W8:W11"/>
    <mergeCell ref="C12:C15"/>
    <mergeCell ref="W12:W15"/>
    <mergeCell ref="B16:B27"/>
    <mergeCell ref="C16:C19"/>
    <mergeCell ref="V16:V27"/>
    <mergeCell ref="W16:W19"/>
    <mergeCell ref="C20:C23"/>
    <mergeCell ref="W20:W23"/>
    <mergeCell ref="C24:C27"/>
    <mergeCell ref="W24:W27"/>
    <mergeCell ref="E29:L29"/>
    <mergeCell ref="M29:T29"/>
    <mergeCell ref="X29:AB29"/>
    <mergeCell ref="X30:AB30"/>
    <mergeCell ref="B31:B42"/>
    <mergeCell ref="C31:C34"/>
    <mergeCell ref="X31:AB31"/>
    <mergeCell ref="C35:C38"/>
    <mergeCell ref="C39:C42"/>
    <mergeCell ref="B43:B54"/>
    <mergeCell ref="C43:C46"/>
    <mergeCell ref="C47:C50"/>
    <mergeCell ref="C51:C54"/>
    <mergeCell ref="B29:D30"/>
  </mergeCells>
  <phoneticPr fontId="1" type="noConversion"/>
  <conditionalFormatting sqref="W29">
    <cfRule type="cellIs" dxfId="54" priority="9" operator="lessThan">
      <formula>0.8</formula>
    </cfRule>
  </conditionalFormatting>
  <conditionalFormatting sqref="W30:W31">
    <cfRule type="cellIs" dxfId="53" priority="8" operator="lessThan">
      <formula>0.8</formula>
    </cfRule>
  </conditionalFormatting>
  <conditionalFormatting sqref="E4:T11">
    <cfRule type="expression" dxfId="52" priority="6">
      <formula>Y4&gt;1.1</formula>
    </cfRule>
  </conditionalFormatting>
  <conditionalFormatting sqref="E16:T23">
    <cfRule type="expression" dxfId="51" priority="7">
      <formula>Y16&gt;1.1</formula>
    </cfRule>
  </conditionalFormatting>
  <conditionalFormatting sqref="E31:T38">
    <cfRule type="expression" dxfId="50" priority="5">
      <formula>Y4&gt;1.1</formula>
    </cfRule>
  </conditionalFormatting>
  <conditionalFormatting sqref="E43:T50">
    <cfRule type="expression" dxfId="49" priority="4">
      <formula>Y16&gt;1.1</formula>
    </cfRule>
  </conditionalFormatting>
  <conditionalFormatting sqref="Y4:AN11 Y19:AN19 AD16:AH16 AC17:AH17 Y16:Z18 AB18:AN18 Y23:AN23 AD20:AG20 AL20:AN20 Y20:Z21 AK21:AN21 AL16:AN16 AK17:AN17 AB21:AF21 Y22:AF22 AJ22:AN22">
    <cfRule type="cellIs" dxfId="48" priority="2" operator="lessThan">
      <formula>0.9</formula>
    </cfRule>
    <cfRule type="cellIs" dxfId="47" priority="3" operator="greaterThan">
      <formula>1.1</formula>
    </cfRule>
  </conditionalFormatting>
  <conditionalFormatting sqref="Y12:AN15 Y24:AN27">
    <cfRule type="cellIs" dxfId="46" priority="1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R54"/>
  <sheetViews>
    <sheetView showGridLines="0" zoomScale="70" zoomScaleNormal="70" workbookViewId="0">
      <selection activeCell="B2" sqref="B2:AN54"/>
    </sheetView>
  </sheetViews>
  <sheetFormatPr defaultColWidth="9" defaultRowHeight="15" customHeight="1"/>
  <cols>
    <col min="1" max="1" width="5" style="11" customWidth="1"/>
    <col min="2" max="2" width="9.8984375" style="11" customWidth="1"/>
    <col min="3" max="3" width="11.5" style="11" customWidth="1"/>
    <col min="4" max="4" width="11.69921875" style="11" customWidth="1"/>
    <col min="5" max="22" width="6.59765625" style="11" customWidth="1"/>
    <col min="23" max="23" width="3.09765625" style="11" customWidth="1"/>
    <col min="24" max="24" width="13.09765625" style="11" customWidth="1"/>
    <col min="25" max="25" width="11" style="11" bestFit="1" customWidth="1"/>
    <col min="26" max="26" width="11.5" style="11" customWidth="1"/>
    <col min="27" max="44" width="6.59765625" style="11" customWidth="1"/>
    <col min="45" max="16384" width="9" style="11"/>
  </cols>
  <sheetData>
    <row r="1" spans="2:44" ht="15" customHeight="1" thickBot="1"/>
    <row r="2" spans="2:44" ht="15" customHeight="1">
      <c r="B2" s="99" t="s">
        <v>71</v>
      </c>
      <c r="C2" s="118"/>
      <c r="D2" s="119"/>
      <c r="E2" s="83" t="s">
        <v>14</v>
      </c>
      <c r="F2" s="84"/>
      <c r="G2" s="84"/>
      <c r="H2" s="84"/>
      <c r="I2" s="84"/>
      <c r="J2" s="84"/>
      <c r="K2" s="84"/>
      <c r="L2" s="84"/>
      <c r="M2" s="85"/>
      <c r="N2" s="83" t="s">
        <v>24</v>
      </c>
      <c r="O2" s="84"/>
      <c r="P2" s="84"/>
      <c r="Q2" s="84"/>
      <c r="R2" s="84"/>
      <c r="S2" s="84"/>
      <c r="T2" s="84"/>
      <c r="U2" s="84"/>
      <c r="V2" s="85"/>
      <c r="X2" s="105" t="str">
        <f>CONCATENATE(B2, CHAR(10), "vs ", B29)</f>
        <v>PM983a_EDW73F2Q_20191110_TH4
vs PM9A3_GEA70F24 20210112_TH4</v>
      </c>
      <c r="Y2" s="106"/>
      <c r="Z2" s="106"/>
      <c r="AA2" s="83" t="s">
        <v>14</v>
      </c>
      <c r="AB2" s="84"/>
      <c r="AC2" s="84"/>
      <c r="AD2" s="84"/>
      <c r="AE2" s="84"/>
      <c r="AF2" s="84"/>
      <c r="AG2" s="84"/>
      <c r="AH2" s="84"/>
      <c r="AI2" s="85"/>
      <c r="AJ2" s="83" t="s">
        <v>24</v>
      </c>
      <c r="AK2" s="84"/>
      <c r="AL2" s="84"/>
      <c r="AM2" s="84"/>
      <c r="AN2" s="84"/>
      <c r="AO2" s="84"/>
      <c r="AP2" s="84"/>
      <c r="AQ2" s="84"/>
      <c r="AR2" s="85"/>
    </row>
    <row r="3" spans="2:44" ht="20.25" customHeight="1" thickBot="1">
      <c r="B3" s="120"/>
      <c r="C3" s="121"/>
      <c r="D3" s="122"/>
      <c r="E3" s="1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18</v>
      </c>
      <c r="K3" s="2" t="s">
        <v>16</v>
      </c>
      <c r="L3" s="2" t="s">
        <v>23</v>
      </c>
      <c r="M3" s="3" t="s">
        <v>17</v>
      </c>
      <c r="N3" s="1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18</v>
      </c>
      <c r="T3" s="2" t="s">
        <v>16</v>
      </c>
      <c r="U3" s="2" t="s">
        <v>23</v>
      </c>
      <c r="V3" s="3" t="s">
        <v>17</v>
      </c>
      <c r="X3" s="107"/>
      <c r="Y3" s="108"/>
      <c r="Z3" s="108"/>
      <c r="AA3" s="1" t="s">
        <v>0</v>
      </c>
      <c r="AB3" s="2" t="s">
        <v>1</v>
      </c>
      <c r="AC3" s="2" t="s">
        <v>2</v>
      </c>
      <c r="AD3" s="2" t="s">
        <v>3</v>
      </c>
      <c r="AE3" s="2" t="s">
        <v>4</v>
      </c>
      <c r="AF3" s="2" t="s">
        <v>18</v>
      </c>
      <c r="AG3" s="2" t="s">
        <v>16</v>
      </c>
      <c r="AH3" s="2" t="s">
        <v>23</v>
      </c>
      <c r="AI3" s="3" t="s">
        <v>17</v>
      </c>
      <c r="AJ3" s="1" t="s">
        <v>0</v>
      </c>
      <c r="AK3" s="2" t="s">
        <v>1</v>
      </c>
      <c r="AL3" s="2" t="s">
        <v>2</v>
      </c>
      <c r="AM3" s="2" t="s">
        <v>3</v>
      </c>
      <c r="AN3" s="2" t="s">
        <v>4</v>
      </c>
      <c r="AO3" s="2" t="s">
        <v>18</v>
      </c>
      <c r="AP3" s="2" t="s">
        <v>16</v>
      </c>
      <c r="AQ3" s="2" t="s">
        <v>23</v>
      </c>
      <c r="AR3" s="3" t="s">
        <v>17</v>
      </c>
    </row>
    <row r="4" spans="2:44" ht="15" customHeight="1">
      <c r="B4" s="92" t="s">
        <v>5</v>
      </c>
      <c r="C4" s="98" t="s">
        <v>6</v>
      </c>
      <c r="D4" s="4">
        <v>0.25</v>
      </c>
      <c r="E4" s="24">
        <v>660</v>
      </c>
      <c r="F4" s="25">
        <v>708</v>
      </c>
      <c r="G4" s="25">
        <v>812</v>
      </c>
      <c r="H4" s="25">
        <v>1064</v>
      </c>
      <c r="I4" s="25">
        <v>1704</v>
      </c>
      <c r="J4" s="25">
        <v>3856</v>
      </c>
      <c r="K4" s="25">
        <v>8512</v>
      </c>
      <c r="L4" s="25">
        <v>19328</v>
      </c>
      <c r="M4" s="26">
        <v>43776</v>
      </c>
      <c r="N4" s="24">
        <v>1064</v>
      </c>
      <c r="O4" s="25">
        <v>1112</v>
      </c>
      <c r="P4" s="25">
        <v>1176</v>
      </c>
      <c r="Q4" s="25">
        <v>1336</v>
      </c>
      <c r="R4" s="25">
        <v>1688</v>
      </c>
      <c r="S4" s="25">
        <v>3024</v>
      </c>
      <c r="T4" s="25">
        <v>6432</v>
      </c>
      <c r="U4" s="25">
        <v>14656</v>
      </c>
      <c r="V4" s="26">
        <v>32128</v>
      </c>
      <c r="X4" s="92" t="s">
        <v>5</v>
      </c>
      <c r="Y4" s="95" t="s">
        <v>6</v>
      </c>
      <c r="Z4" s="7">
        <v>0.25</v>
      </c>
      <c r="AA4" s="15">
        <f t="shared" ref="AA4:AP19" si="0">E31/E4</f>
        <v>0.57878787878787874</v>
      </c>
      <c r="AB4" s="16">
        <f t="shared" si="0"/>
        <v>0.5847457627118644</v>
      </c>
      <c r="AC4" s="16">
        <f t="shared" si="0"/>
        <v>0.52955665024630538</v>
      </c>
      <c r="AD4" s="16">
        <f t="shared" si="0"/>
        <v>0.41165413533834588</v>
      </c>
      <c r="AE4" s="16">
        <f t="shared" si="0"/>
        <v>0.25704225352112675</v>
      </c>
      <c r="AF4" s="16">
        <f t="shared" si="0"/>
        <v>0.11358921161825726</v>
      </c>
      <c r="AG4" s="16">
        <f t="shared" si="0"/>
        <v>0.19830827067669174</v>
      </c>
      <c r="AH4" s="16">
        <f t="shared" si="0"/>
        <v>0.41887417218543044</v>
      </c>
      <c r="AI4" s="17">
        <f t="shared" si="0"/>
        <v>0.52339181286549707</v>
      </c>
      <c r="AJ4" s="15">
        <f t="shared" si="0"/>
        <v>0.46052631578947367</v>
      </c>
      <c r="AK4" s="16">
        <f t="shared" si="0"/>
        <v>0.5071942446043165</v>
      </c>
      <c r="AL4" s="16">
        <f t="shared" si="0"/>
        <v>0.51360544217687076</v>
      </c>
      <c r="AM4" s="16">
        <f t="shared" si="0"/>
        <v>0.4940119760479042</v>
      </c>
      <c r="AN4" s="16">
        <f t="shared" si="0"/>
        <v>0.41469194312796209</v>
      </c>
      <c r="AO4" s="16">
        <f t="shared" si="0"/>
        <v>0.24470899470899471</v>
      </c>
      <c r="AP4" s="16">
        <f t="shared" si="0"/>
        <v>0.32089552238805968</v>
      </c>
      <c r="AQ4" s="16">
        <f t="shared" ref="AD4:AR19" si="1">U31/U4</f>
        <v>0.47379912663755458</v>
      </c>
      <c r="AR4" s="17">
        <f t="shared" si="1"/>
        <v>0.57768924302788849</v>
      </c>
    </row>
    <row r="5" spans="2:44" ht="15" customHeight="1">
      <c r="B5" s="93"/>
      <c r="C5" s="96"/>
      <c r="D5" s="5">
        <v>0.5</v>
      </c>
      <c r="E5" s="27">
        <v>524</v>
      </c>
      <c r="F5" s="28">
        <v>604</v>
      </c>
      <c r="G5" s="28">
        <v>708</v>
      </c>
      <c r="H5" s="28">
        <v>916</v>
      </c>
      <c r="I5" s="28">
        <v>1416</v>
      </c>
      <c r="J5" s="28">
        <v>3056</v>
      </c>
      <c r="K5" s="28">
        <v>6880</v>
      </c>
      <c r="L5" s="28">
        <v>15552</v>
      </c>
      <c r="M5" s="29">
        <v>34560</v>
      </c>
      <c r="N5" s="27">
        <v>876</v>
      </c>
      <c r="O5" s="28">
        <v>956</v>
      </c>
      <c r="P5" s="28">
        <v>1032</v>
      </c>
      <c r="Q5" s="28">
        <v>1144</v>
      </c>
      <c r="R5" s="28">
        <v>1400</v>
      </c>
      <c r="S5" s="28">
        <v>2224</v>
      </c>
      <c r="T5" s="28">
        <v>4832</v>
      </c>
      <c r="U5" s="28">
        <v>10688</v>
      </c>
      <c r="V5" s="29">
        <v>23680</v>
      </c>
      <c r="X5" s="93"/>
      <c r="Y5" s="96"/>
      <c r="Z5" s="5">
        <v>0.5</v>
      </c>
      <c r="AA5" s="18">
        <f t="shared" si="0"/>
        <v>0.59160305343511455</v>
      </c>
      <c r="AB5" s="12">
        <f t="shared" si="0"/>
        <v>0.6258278145695364</v>
      </c>
      <c r="AC5" s="12">
        <f t="shared" si="0"/>
        <v>0.61864406779661019</v>
      </c>
      <c r="AD5" s="12">
        <f t="shared" si="0"/>
        <v>0.48689956331877732</v>
      </c>
      <c r="AE5" s="12">
        <f t="shared" si="0"/>
        <v>0.31779661016949151</v>
      </c>
      <c r="AF5" s="12">
        <f t="shared" si="0"/>
        <v>0.14856020942408377</v>
      </c>
      <c r="AG5" s="12">
        <f t="shared" si="0"/>
        <v>0.25465116279069766</v>
      </c>
      <c r="AH5" s="12">
        <f t="shared" si="0"/>
        <v>0.43004115226337447</v>
      </c>
      <c r="AI5" s="19">
        <f t="shared" si="0"/>
        <v>0.52222222222222225</v>
      </c>
      <c r="AJ5" s="18">
        <f t="shared" si="0"/>
        <v>0.4178082191780822</v>
      </c>
      <c r="AK5" s="12">
        <f t="shared" si="0"/>
        <v>0.4874476987447699</v>
      </c>
      <c r="AL5" s="12">
        <f t="shared" si="0"/>
        <v>0.55426356589147285</v>
      </c>
      <c r="AM5" s="12">
        <f t="shared" si="0"/>
        <v>0.65384615384615385</v>
      </c>
      <c r="AN5" s="12">
        <f t="shared" si="0"/>
        <v>0.72857142857142854</v>
      </c>
      <c r="AO5" s="12">
        <f t="shared" si="0"/>
        <v>0.66546762589928055</v>
      </c>
      <c r="AP5" s="12">
        <f t="shared" si="0"/>
        <v>0.76490066225165565</v>
      </c>
      <c r="AQ5" s="12">
        <f t="shared" si="1"/>
        <v>0.60778443113772451</v>
      </c>
      <c r="AR5" s="19">
        <f t="shared" si="1"/>
        <v>0.65135135135135136</v>
      </c>
    </row>
    <row r="6" spans="2:44" ht="15" customHeight="1">
      <c r="B6" s="93"/>
      <c r="C6" s="96"/>
      <c r="D6" s="5">
        <v>0.75</v>
      </c>
      <c r="E6" s="27">
        <v>434</v>
      </c>
      <c r="F6" s="28">
        <v>498</v>
      </c>
      <c r="G6" s="28">
        <v>572</v>
      </c>
      <c r="H6" s="28">
        <v>748</v>
      </c>
      <c r="I6" s="28">
        <v>1080</v>
      </c>
      <c r="J6" s="28">
        <v>2064</v>
      </c>
      <c r="K6" s="28">
        <v>4896</v>
      </c>
      <c r="L6" s="28">
        <v>10560</v>
      </c>
      <c r="M6" s="29">
        <v>21888</v>
      </c>
      <c r="N6" s="27">
        <v>604</v>
      </c>
      <c r="O6" s="28">
        <v>732</v>
      </c>
      <c r="P6" s="28">
        <v>844</v>
      </c>
      <c r="Q6" s="28">
        <v>964</v>
      </c>
      <c r="R6" s="28">
        <v>1176</v>
      </c>
      <c r="S6" s="28">
        <v>1624</v>
      </c>
      <c r="T6" s="28">
        <v>3408</v>
      </c>
      <c r="U6" s="28">
        <v>7520</v>
      </c>
      <c r="V6" s="29">
        <v>16192</v>
      </c>
      <c r="X6" s="93"/>
      <c r="Y6" s="96"/>
      <c r="Z6" s="5">
        <v>0.75</v>
      </c>
      <c r="AA6" s="18">
        <f t="shared" si="0"/>
        <v>0.59447004608294929</v>
      </c>
      <c r="AB6" s="12">
        <f t="shared" si="0"/>
        <v>0.63052208835341361</v>
      </c>
      <c r="AC6" s="12">
        <f t="shared" si="0"/>
        <v>0.69580419580419584</v>
      </c>
      <c r="AD6" s="12">
        <f t="shared" si="0"/>
        <v>0.71122994652406413</v>
      </c>
      <c r="AE6" s="12">
        <f t="shared" si="0"/>
        <v>0.73703703703703705</v>
      </c>
      <c r="AF6" s="12">
        <f t="shared" si="0"/>
        <v>0.63178294573643412</v>
      </c>
      <c r="AG6" s="12">
        <f t="shared" si="0"/>
        <v>0.47385620915032678</v>
      </c>
      <c r="AH6" s="12">
        <f t="shared" si="0"/>
        <v>0.62121212121212122</v>
      </c>
      <c r="AI6" s="19">
        <f t="shared" si="0"/>
        <v>0.6871345029239766</v>
      </c>
      <c r="AJ6" s="18">
        <f t="shared" si="0"/>
        <v>0.44701986754966888</v>
      </c>
      <c r="AK6" s="12">
        <f t="shared" si="0"/>
        <v>0.47267759562841533</v>
      </c>
      <c r="AL6" s="12">
        <f t="shared" si="0"/>
        <v>0.52843601895734593</v>
      </c>
      <c r="AM6" s="12">
        <f t="shared" si="0"/>
        <v>0.60995850622406644</v>
      </c>
      <c r="AN6" s="12">
        <f t="shared" si="0"/>
        <v>0.71768707482993199</v>
      </c>
      <c r="AO6" s="12">
        <f t="shared" si="0"/>
        <v>0.7931034482758621</v>
      </c>
      <c r="AP6" s="12">
        <f t="shared" si="0"/>
        <v>0.61502347417840375</v>
      </c>
      <c r="AQ6" s="12">
        <f t="shared" si="1"/>
        <v>0.66808510638297869</v>
      </c>
      <c r="AR6" s="19">
        <f t="shared" si="1"/>
        <v>0.77075098814229248</v>
      </c>
    </row>
    <row r="7" spans="2:44" ht="15" customHeight="1" thickBot="1">
      <c r="B7" s="93"/>
      <c r="C7" s="97"/>
      <c r="D7" s="6">
        <v>1</v>
      </c>
      <c r="E7" s="30">
        <v>139</v>
      </c>
      <c r="F7" s="31">
        <v>159</v>
      </c>
      <c r="G7" s="31">
        <v>201</v>
      </c>
      <c r="H7" s="31">
        <v>294</v>
      </c>
      <c r="I7" s="31">
        <v>540</v>
      </c>
      <c r="J7" s="31">
        <v>1064</v>
      </c>
      <c r="K7" s="31">
        <v>1496</v>
      </c>
      <c r="L7" s="31">
        <v>3408</v>
      </c>
      <c r="M7" s="32">
        <v>7392</v>
      </c>
      <c r="N7" s="30">
        <v>119</v>
      </c>
      <c r="O7" s="31">
        <v>135</v>
      </c>
      <c r="P7" s="31">
        <v>159</v>
      </c>
      <c r="Q7" s="31">
        <v>211</v>
      </c>
      <c r="R7" s="31">
        <v>334</v>
      </c>
      <c r="S7" s="31">
        <v>644</v>
      </c>
      <c r="T7" s="31">
        <v>1224</v>
      </c>
      <c r="U7" s="31">
        <v>3056</v>
      </c>
      <c r="V7" s="32">
        <v>6560</v>
      </c>
      <c r="X7" s="93"/>
      <c r="Y7" s="97"/>
      <c r="Z7" s="6">
        <v>1</v>
      </c>
      <c r="AA7" s="20">
        <f t="shared" si="0"/>
        <v>0.76258992805755399</v>
      </c>
      <c r="AB7" s="21">
        <f t="shared" si="0"/>
        <v>0.75471698113207553</v>
      </c>
      <c r="AC7" s="21">
        <f t="shared" si="0"/>
        <v>0.78109452736318408</v>
      </c>
      <c r="AD7" s="21">
        <f t="shared" si="0"/>
        <v>0.81972789115646261</v>
      </c>
      <c r="AE7" s="21">
        <f t="shared" si="0"/>
        <v>0.81851851851851853</v>
      </c>
      <c r="AF7" s="21">
        <f t="shared" si="0"/>
        <v>0.83834586466165417</v>
      </c>
      <c r="AG7" s="21">
        <f t="shared" si="0"/>
        <v>1.1390374331550801</v>
      </c>
      <c r="AH7" s="21">
        <f t="shared" si="0"/>
        <v>0.84037558685446012</v>
      </c>
      <c r="AI7" s="22">
        <f t="shared" si="0"/>
        <v>0.87878787878787878</v>
      </c>
      <c r="AJ7" s="20">
        <f t="shared" si="0"/>
        <v>0.81512605042016806</v>
      </c>
      <c r="AK7" s="21">
        <f t="shared" si="0"/>
        <v>0.8</v>
      </c>
      <c r="AL7" s="21">
        <f t="shared" si="0"/>
        <v>0.78616352201257866</v>
      </c>
      <c r="AM7" s="21">
        <f t="shared" si="0"/>
        <v>0.78199052132701419</v>
      </c>
      <c r="AN7" s="21">
        <f t="shared" si="0"/>
        <v>0.77245508982035926</v>
      </c>
      <c r="AO7" s="21">
        <f t="shared" si="0"/>
        <v>0.75465838509316774</v>
      </c>
      <c r="AP7" s="21">
        <f t="shared" si="0"/>
        <v>0.74183006535947715</v>
      </c>
      <c r="AQ7" s="21">
        <f t="shared" si="1"/>
        <v>0.57329842931937169</v>
      </c>
      <c r="AR7" s="22">
        <f t="shared" si="1"/>
        <v>0.6121951219512195</v>
      </c>
    </row>
    <row r="8" spans="2:44" ht="15" customHeight="1">
      <c r="B8" s="93"/>
      <c r="C8" s="98" t="s">
        <v>7</v>
      </c>
      <c r="D8" s="4">
        <v>0.25</v>
      </c>
      <c r="E8" s="24">
        <v>1160</v>
      </c>
      <c r="F8" s="25">
        <v>1208</v>
      </c>
      <c r="G8" s="25">
        <v>1304</v>
      </c>
      <c r="H8" s="25">
        <v>1560</v>
      </c>
      <c r="I8" s="25">
        <v>2160</v>
      </c>
      <c r="J8" s="25">
        <v>4512</v>
      </c>
      <c r="K8" s="25">
        <v>11712</v>
      </c>
      <c r="L8" s="25">
        <v>27008</v>
      </c>
      <c r="M8" s="26">
        <v>63744</v>
      </c>
      <c r="N8" s="24">
        <v>1704</v>
      </c>
      <c r="O8" s="25">
        <v>1768</v>
      </c>
      <c r="P8" s="25">
        <v>1864</v>
      </c>
      <c r="Q8" s="25">
        <v>2064</v>
      </c>
      <c r="R8" s="25">
        <v>2512</v>
      </c>
      <c r="S8" s="25">
        <v>3952</v>
      </c>
      <c r="T8" s="25">
        <v>9024</v>
      </c>
      <c r="U8" s="25">
        <v>20608</v>
      </c>
      <c r="V8" s="26">
        <v>46848</v>
      </c>
      <c r="X8" s="93"/>
      <c r="Y8" s="98" t="s">
        <v>7</v>
      </c>
      <c r="Z8" s="4">
        <v>0.25</v>
      </c>
      <c r="AA8" s="15">
        <f t="shared" si="0"/>
        <v>0.76206896551724135</v>
      </c>
      <c r="AB8" s="16">
        <f t="shared" si="0"/>
        <v>0.76490066225165565</v>
      </c>
      <c r="AC8" s="16">
        <f t="shared" si="0"/>
        <v>0.73926380368098155</v>
      </c>
      <c r="AD8" s="16">
        <f t="shared" si="0"/>
        <v>0.62307692307692308</v>
      </c>
      <c r="AE8" s="16">
        <f t="shared" si="0"/>
        <v>0.45</v>
      </c>
      <c r="AF8" s="16">
        <f t="shared" si="0"/>
        <v>0.21542553191489361</v>
      </c>
      <c r="AG8" s="16">
        <f t="shared" si="0"/>
        <v>0.16734972677595628</v>
      </c>
      <c r="AH8" s="16">
        <f t="shared" si="0"/>
        <v>0.38625592417061611</v>
      </c>
      <c r="AI8" s="17">
        <f t="shared" si="0"/>
        <v>0.46787148594377509</v>
      </c>
      <c r="AJ8" s="15">
        <f t="shared" si="0"/>
        <v>0.52347417840375587</v>
      </c>
      <c r="AK8" s="16">
        <f t="shared" si="0"/>
        <v>0.54072398190045246</v>
      </c>
      <c r="AL8" s="16">
        <f t="shared" si="0"/>
        <v>0.5472103004291845</v>
      </c>
      <c r="AM8" s="16">
        <f t="shared" si="0"/>
        <v>0.53100775193798455</v>
      </c>
      <c r="AN8" s="16">
        <f t="shared" si="0"/>
        <v>0.47452229299363058</v>
      </c>
      <c r="AO8" s="16">
        <f t="shared" si="0"/>
        <v>0.37854251012145751</v>
      </c>
      <c r="AP8" s="16">
        <f t="shared" si="0"/>
        <v>0.3528368794326241</v>
      </c>
      <c r="AQ8" s="16">
        <f t="shared" si="1"/>
        <v>0.45652173913043476</v>
      </c>
      <c r="AR8" s="17">
        <f t="shared" si="1"/>
        <v>0.56010928961748629</v>
      </c>
    </row>
    <row r="9" spans="2:44" ht="15" customHeight="1">
      <c r="B9" s="93"/>
      <c r="C9" s="96"/>
      <c r="D9" s="5">
        <v>0.5</v>
      </c>
      <c r="E9" s="27">
        <v>924</v>
      </c>
      <c r="F9" s="28">
        <v>1064</v>
      </c>
      <c r="G9" s="28">
        <v>1160</v>
      </c>
      <c r="H9" s="28">
        <v>1384</v>
      </c>
      <c r="I9" s="28">
        <v>2008</v>
      </c>
      <c r="J9" s="28">
        <v>3824</v>
      </c>
      <c r="K9" s="28">
        <v>9792</v>
      </c>
      <c r="L9" s="28">
        <v>22400</v>
      </c>
      <c r="M9" s="29">
        <v>49408</v>
      </c>
      <c r="N9" s="27">
        <v>1656</v>
      </c>
      <c r="O9" s="28">
        <v>1704</v>
      </c>
      <c r="P9" s="28">
        <v>1784</v>
      </c>
      <c r="Q9" s="28">
        <v>1912</v>
      </c>
      <c r="R9" s="28">
        <v>2160</v>
      </c>
      <c r="S9" s="28">
        <v>3152</v>
      </c>
      <c r="T9" s="28">
        <v>6688</v>
      </c>
      <c r="U9" s="28">
        <v>16192</v>
      </c>
      <c r="V9" s="29">
        <v>34048</v>
      </c>
      <c r="X9" s="93"/>
      <c r="Y9" s="96"/>
      <c r="Z9" s="5">
        <v>0.5</v>
      </c>
      <c r="AA9" s="18">
        <f t="shared" si="0"/>
        <v>0.91341991341991347</v>
      </c>
      <c r="AB9" s="12">
        <f t="shared" si="0"/>
        <v>0.83082706766917291</v>
      </c>
      <c r="AC9" s="12">
        <f t="shared" si="0"/>
        <v>0.80344827586206902</v>
      </c>
      <c r="AD9" s="12">
        <f t="shared" si="0"/>
        <v>0.75722543352601157</v>
      </c>
      <c r="AE9" s="12">
        <f t="shared" si="0"/>
        <v>0.58565737051792832</v>
      </c>
      <c r="AF9" s="12">
        <f t="shared" si="0"/>
        <v>0.32008368200836818</v>
      </c>
      <c r="AG9" s="12">
        <f t="shared" si="0"/>
        <v>0.22058823529411764</v>
      </c>
      <c r="AH9" s="12">
        <f t="shared" si="0"/>
        <v>0.39714285714285713</v>
      </c>
      <c r="AI9" s="19">
        <f t="shared" si="0"/>
        <v>0.47927461139896371</v>
      </c>
      <c r="AJ9" s="18">
        <f t="shared" si="0"/>
        <v>0.48550724637681159</v>
      </c>
      <c r="AK9" s="12">
        <f t="shared" si="0"/>
        <v>0.51877934272300474</v>
      </c>
      <c r="AL9" s="12">
        <f t="shared" si="0"/>
        <v>0.54484304932735428</v>
      </c>
      <c r="AM9" s="12">
        <f t="shared" si="0"/>
        <v>0.62343096234309625</v>
      </c>
      <c r="AN9" s="12">
        <f t="shared" si="0"/>
        <v>0.69259259259259254</v>
      </c>
      <c r="AO9" s="12">
        <f t="shared" si="0"/>
        <v>0.65482233502538068</v>
      </c>
      <c r="AP9" s="12">
        <f t="shared" si="0"/>
        <v>0.69377990430622005</v>
      </c>
      <c r="AQ9" s="12">
        <f t="shared" si="1"/>
        <v>0.53359683794466406</v>
      </c>
      <c r="AR9" s="19">
        <f t="shared" si="1"/>
        <v>0.58270676691729328</v>
      </c>
    </row>
    <row r="10" spans="2:44" ht="15" customHeight="1">
      <c r="B10" s="93"/>
      <c r="C10" s="96"/>
      <c r="D10" s="5">
        <v>0.75</v>
      </c>
      <c r="E10" s="27">
        <v>836</v>
      </c>
      <c r="F10" s="28">
        <v>900</v>
      </c>
      <c r="G10" s="28">
        <v>996</v>
      </c>
      <c r="H10" s="28">
        <v>1160</v>
      </c>
      <c r="I10" s="28">
        <v>1496</v>
      </c>
      <c r="J10" s="28">
        <v>2672</v>
      </c>
      <c r="K10" s="28">
        <v>7072</v>
      </c>
      <c r="L10" s="28">
        <v>15808</v>
      </c>
      <c r="M10" s="29">
        <v>31616</v>
      </c>
      <c r="N10" s="27">
        <v>1592</v>
      </c>
      <c r="O10" s="28">
        <v>1624</v>
      </c>
      <c r="P10" s="28">
        <v>1720</v>
      </c>
      <c r="Q10" s="28">
        <v>2480</v>
      </c>
      <c r="R10" s="28">
        <v>2896</v>
      </c>
      <c r="S10" s="28">
        <v>3280</v>
      </c>
      <c r="T10" s="28">
        <v>4768</v>
      </c>
      <c r="U10" s="28">
        <v>10176</v>
      </c>
      <c r="V10" s="29">
        <v>22144</v>
      </c>
      <c r="X10" s="93"/>
      <c r="Y10" s="96"/>
      <c r="Z10" s="5">
        <v>0.75</v>
      </c>
      <c r="AA10" s="18">
        <f t="shared" si="0"/>
        <v>0.65550239234449759</v>
      </c>
      <c r="AB10" s="12">
        <f t="shared" si="0"/>
        <v>0.80444444444444441</v>
      </c>
      <c r="AC10" s="12">
        <f t="shared" si="0"/>
        <v>0.87951807228915657</v>
      </c>
      <c r="AD10" s="12">
        <f t="shared" si="0"/>
        <v>0.83793103448275863</v>
      </c>
      <c r="AE10" s="12">
        <f t="shared" si="0"/>
        <v>0.90374331550802134</v>
      </c>
      <c r="AF10" s="12">
        <f t="shared" si="0"/>
        <v>0.79640718562874246</v>
      </c>
      <c r="AG10" s="12">
        <f t="shared" si="0"/>
        <v>0.43665158371040724</v>
      </c>
      <c r="AH10" s="12">
        <f t="shared" si="0"/>
        <v>0.51214574898785425</v>
      </c>
      <c r="AI10" s="19">
        <f t="shared" si="0"/>
        <v>0.63562753036437247</v>
      </c>
      <c r="AJ10" s="18">
        <f t="shared" si="0"/>
        <v>0.46482412060301509</v>
      </c>
      <c r="AK10" s="12">
        <f t="shared" si="0"/>
        <v>0.47536945812807879</v>
      </c>
      <c r="AL10" s="12">
        <f t="shared" si="0"/>
        <v>0.50930232558139532</v>
      </c>
      <c r="AM10" s="12">
        <f t="shared" si="0"/>
        <v>0.42903225806451611</v>
      </c>
      <c r="AN10" s="12">
        <f t="shared" si="0"/>
        <v>0.47790055248618785</v>
      </c>
      <c r="AO10" s="12">
        <f t="shared" si="0"/>
        <v>0.56341463414634141</v>
      </c>
      <c r="AP10" s="12">
        <f t="shared" si="0"/>
        <v>0.56711409395973156</v>
      </c>
      <c r="AQ10" s="12">
        <f t="shared" si="1"/>
        <v>0.62578616352201255</v>
      </c>
      <c r="AR10" s="19">
        <f t="shared" si="1"/>
        <v>0.74566473988439308</v>
      </c>
    </row>
    <row r="11" spans="2:44" ht="15" customHeight="1" thickBot="1">
      <c r="B11" s="93"/>
      <c r="C11" s="97"/>
      <c r="D11" s="6">
        <v>1</v>
      </c>
      <c r="E11" s="30">
        <v>197</v>
      </c>
      <c r="F11" s="31">
        <v>245</v>
      </c>
      <c r="G11" s="31">
        <v>322</v>
      </c>
      <c r="H11" s="31">
        <v>498</v>
      </c>
      <c r="I11" s="31">
        <v>948</v>
      </c>
      <c r="J11" s="31">
        <v>1832</v>
      </c>
      <c r="K11" s="45">
        <v>2352</v>
      </c>
      <c r="L11" s="31">
        <v>4640</v>
      </c>
      <c r="M11" s="32">
        <v>9792</v>
      </c>
      <c r="N11" s="30">
        <v>177</v>
      </c>
      <c r="O11" s="31">
        <v>205</v>
      </c>
      <c r="P11" s="31">
        <v>258</v>
      </c>
      <c r="Q11" s="31">
        <v>354</v>
      </c>
      <c r="R11" s="31">
        <v>588</v>
      </c>
      <c r="S11" s="31">
        <v>1004</v>
      </c>
      <c r="T11" s="45">
        <v>1656</v>
      </c>
      <c r="U11" s="31">
        <v>3536</v>
      </c>
      <c r="V11" s="32">
        <v>7712</v>
      </c>
      <c r="X11" s="93"/>
      <c r="Y11" s="97"/>
      <c r="Z11" s="6">
        <v>1</v>
      </c>
      <c r="AA11" s="20">
        <f t="shared" si="0"/>
        <v>0.7766497461928934</v>
      </c>
      <c r="AB11" s="21">
        <f t="shared" si="0"/>
        <v>0.7795918367346939</v>
      </c>
      <c r="AC11" s="21">
        <f t="shared" si="0"/>
        <v>0.82608695652173914</v>
      </c>
      <c r="AD11" s="21">
        <f t="shared" si="0"/>
        <v>0.86345381526104414</v>
      </c>
      <c r="AE11" s="21">
        <f t="shared" si="0"/>
        <v>0.84810126582278478</v>
      </c>
      <c r="AF11" s="21">
        <f t="shared" si="0"/>
        <v>0.88646288209606983</v>
      </c>
      <c r="AG11" s="21">
        <f t="shared" si="0"/>
        <v>1.272108843537415</v>
      </c>
      <c r="AH11" s="21">
        <f t="shared" si="0"/>
        <v>0.93103448275862066</v>
      </c>
      <c r="AI11" s="22">
        <f t="shared" si="0"/>
        <v>0.8202614379084967</v>
      </c>
      <c r="AJ11" s="20">
        <f t="shared" si="0"/>
        <v>0.78531073446327682</v>
      </c>
      <c r="AK11" s="21">
        <f t="shared" si="0"/>
        <v>0.78536585365853662</v>
      </c>
      <c r="AL11" s="21">
        <f t="shared" si="0"/>
        <v>0.78682170542635654</v>
      </c>
      <c r="AM11" s="21">
        <f t="shared" si="0"/>
        <v>0.80790960451977401</v>
      </c>
      <c r="AN11" s="21">
        <f t="shared" si="0"/>
        <v>0.81292517006802723</v>
      </c>
      <c r="AO11" s="21">
        <f t="shared" si="0"/>
        <v>0.90438247011952189</v>
      </c>
      <c r="AP11" s="21">
        <f t="shared" si="0"/>
        <v>1</v>
      </c>
      <c r="AQ11" s="21">
        <f t="shared" si="1"/>
        <v>0.72850678733031671</v>
      </c>
      <c r="AR11" s="22">
        <f t="shared" si="1"/>
        <v>0.63485477178423233</v>
      </c>
    </row>
    <row r="12" spans="2:44" ht="15" customHeight="1">
      <c r="B12" s="93"/>
      <c r="C12" s="98" t="s">
        <v>8</v>
      </c>
      <c r="D12" s="4">
        <v>0.25</v>
      </c>
      <c r="E12" s="24">
        <v>13376</v>
      </c>
      <c r="F12" s="25">
        <v>13433</v>
      </c>
      <c r="G12" s="25">
        <v>13462</v>
      </c>
      <c r="H12" s="25">
        <v>13495</v>
      </c>
      <c r="I12" s="25">
        <v>13560</v>
      </c>
      <c r="J12" s="25">
        <v>13581</v>
      </c>
      <c r="K12" s="25">
        <v>13607</v>
      </c>
      <c r="L12" s="25">
        <v>13580</v>
      </c>
      <c r="M12" s="26">
        <v>13569</v>
      </c>
      <c r="N12" s="24">
        <v>16477</v>
      </c>
      <c r="O12" s="25">
        <v>18017</v>
      </c>
      <c r="P12" s="25">
        <v>18097</v>
      </c>
      <c r="Q12" s="25">
        <v>18070</v>
      </c>
      <c r="R12" s="25">
        <v>18062</v>
      </c>
      <c r="S12" s="25">
        <v>18052</v>
      </c>
      <c r="T12" s="25">
        <v>18066</v>
      </c>
      <c r="U12" s="25">
        <v>18061</v>
      </c>
      <c r="V12" s="26">
        <v>18076</v>
      </c>
      <c r="X12" s="93"/>
      <c r="Y12" s="98" t="s">
        <v>8</v>
      </c>
      <c r="Z12" s="4">
        <v>0.25</v>
      </c>
      <c r="AA12" s="15">
        <f t="shared" si="0"/>
        <v>1.7218151913875599</v>
      </c>
      <c r="AB12" s="16">
        <f t="shared" si="0"/>
        <v>1.9327030447405642</v>
      </c>
      <c r="AC12" s="16">
        <f t="shared" si="0"/>
        <v>1.9283910265933739</v>
      </c>
      <c r="AD12" s="16">
        <f t="shared" si="0"/>
        <v>1.9244164505372361</v>
      </c>
      <c r="AE12" s="16">
        <f t="shared" si="0"/>
        <v>1.9148967551622418</v>
      </c>
      <c r="AF12" s="16">
        <f t="shared" si="0"/>
        <v>1.9123775863338488</v>
      </c>
      <c r="AG12" s="16">
        <f t="shared" si="0"/>
        <v>1.9371646946424634</v>
      </c>
      <c r="AH12" s="16">
        <f t="shared" si="0"/>
        <v>1.9407952871870398</v>
      </c>
      <c r="AI12" s="17">
        <f t="shared" si="0"/>
        <v>1.9417790551993515</v>
      </c>
      <c r="AJ12" s="15">
        <f t="shared" si="0"/>
        <v>1.4744795775930084</v>
      </c>
      <c r="AK12" s="16">
        <f t="shared" si="0"/>
        <v>1.7700505078536937</v>
      </c>
      <c r="AL12" s="16">
        <f t="shared" si="0"/>
        <v>1.7583024810742112</v>
      </c>
      <c r="AM12" s="16">
        <f t="shared" si="0"/>
        <v>1.7590481460985059</v>
      </c>
      <c r="AN12" s="16">
        <f t="shared" si="0"/>
        <v>1.7600487210718636</v>
      </c>
      <c r="AO12" s="16">
        <f t="shared" si="0"/>
        <v>1.761300686904498</v>
      </c>
      <c r="AP12" s="16">
        <f t="shared" si="0"/>
        <v>1.8030554633012288</v>
      </c>
      <c r="AQ12" s="16">
        <f t="shared" si="1"/>
        <v>1.801672111178783</v>
      </c>
      <c r="AR12" s="17">
        <f t="shared" si="1"/>
        <v>1.8025558751936268</v>
      </c>
    </row>
    <row r="13" spans="2:44" ht="15" customHeight="1">
      <c r="B13" s="93"/>
      <c r="C13" s="96"/>
      <c r="D13" s="5">
        <v>0.5</v>
      </c>
      <c r="E13" s="27">
        <v>24464</v>
      </c>
      <c r="F13" s="28">
        <v>34619</v>
      </c>
      <c r="G13" s="28">
        <v>34936</v>
      </c>
      <c r="H13" s="28">
        <v>34773</v>
      </c>
      <c r="I13" s="28">
        <v>34587</v>
      </c>
      <c r="J13" s="28">
        <v>34642</v>
      </c>
      <c r="K13" s="28">
        <v>34640</v>
      </c>
      <c r="L13" s="28">
        <v>34655</v>
      </c>
      <c r="M13" s="29">
        <v>34672</v>
      </c>
      <c r="N13" s="27">
        <v>26572</v>
      </c>
      <c r="O13" s="28">
        <v>41099</v>
      </c>
      <c r="P13" s="28">
        <v>50801</v>
      </c>
      <c r="Q13" s="28">
        <v>50577</v>
      </c>
      <c r="R13" s="28">
        <v>50496</v>
      </c>
      <c r="S13" s="28">
        <v>50378</v>
      </c>
      <c r="T13" s="28">
        <v>50567</v>
      </c>
      <c r="U13" s="28">
        <v>50511</v>
      </c>
      <c r="V13" s="29">
        <v>50517</v>
      </c>
      <c r="X13" s="93"/>
      <c r="Y13" s="96"/>
      <c r="Z13" s="5">
        <v>0.5</v>
      </c>
      <c r="AA13" s="18">
        <f t="shared" si="0"/>
        <v>1.5225228907782864</v>
      </c>
      <c r="AB13" s="12">
        <f t="shared" si="0"/>
        <v>1.5792195037407204</v>
      </c>
      <c r="AC13" s="12">
        <f t="shared" si="0"/>
        <v>1.8148042134188229</v>
      </c>
      <c r="AD13" s="12">
        <f t="shared" si="0"/>
        <v>1.8193713513358065</v>
      </c>
      <c r="AE13" s="12">
        <f t="shared" si="0"/>
        <v>1.8288952496602771</v>
      </c>
      <c r="AF13" s="12">
        <f t="shared" si="0"/>
        <v>1.8276947058483921</v>
      </c>
      <c r="AG13" s="12">
        <f t="shared" si="0"/>
        <v>1.9435623556581987</v>
      </c>
      <c r="AH13" s="12">
        <f t="shared" si="0"/>
        <v>1.9443081806377147</v>
      </c>
      <c r="AI13" s="19">
        <f t="shared" si="0"/>
        <v>1.9441047531149054</v>
      </c>
      <c r="AJ13" s="18">
        <f t="shared" si="0"/>
        <v>1.4706081589643234</v>
      </c>
      <c r="AK13" s="12">
        <f t="shared" si="0"/>
        <v>1.4917881213654833</v>
      </c>
      <c r="AL13" s="12">
        <f t="shared" si="0"/>
        <v>1.6126454203657408</v>
      </c>
      <c r="AM13" s="12">
        <f t="shared" si="0"/>
        <v>1.59529034936829</v>
      </c>
      <c r="AN13" s="12">
        <f t="shared" si="0"/>
        <v>1.5964432826362485</v>
      </c>
      <c r="AO13" s="12">
        <f t="shared" si="0"/>
        <v>1.6012743657945929</v>
      </c>
      <c r="AP13" s="12">
        <f t="shared" si="0"/>
        <v>1.7196392904463385</v>
      </c>
      <c r="AQ13" s="12">
        <f t="shared" si="1"/>
        <v>1.7218625645898913</v>
      </c>
      <c r="AR13" s="19">
        <f t="shared" si="1"/>
        <v>1.7230239325375616</v>
      </c>
    </row>
    <row r="14" spans="2:44" ht="15" customHeight="1">
      <c r="B14" s="93"/>
      <c r="C14" s="96"/>
      <c r="D14" s="5">
        <v>0.75</v>
      </c>
      <c r="E14" s="27">
        <v>33145</v>
      </c>
      <c r="F14" s="28">
        <v>54155</v>
      </c>
      <c r="G14" s="28">
        <v>80021</v>
      </c>
      <c r="H14" s="28">
        <v>81353</v>
      </c>
      <c r="I14" s="28">
        <v>81447</v>
      </c>
      <c r="J14" s="28">
        <v>81408</v>
      </c>
      <c r="K14" s="28">
        <v>81492</v>
      </c>
      <c r="L14" s="28">
        <v>81435</v>
      </c>
      <c r="M14" s="29">
        <v>81470</v>
      </c>
      <c r="N14" s="27">
        <v>37365</v>
      </c>
      <c r="O14" s="28">
        <v>61325</v>
      </c>
      <c r="P14" s="28">
        <v>93915</v>
      </c>
      <c r="Q14" s="28">
        <v>125103</v>
      </c>
      <c r="R14" s="28">
        <v>124325</v>
      </c>
      <c r="S14" s="28">
        <v>124520</v>
      </c>
      <c r="T14" s="28">
        <v>124420</v>
      </c>
      <c r="U14" s="28">
        <v>124448</v>
      </c>
      <c r="V14" s="29">
        <v>124245</v>
      </c>
      <c r="X14" s="93"/>
      <c r="Y14" s="96"/>
      <c r="Z14" s="5">
        <v>0.75</v>
      </c>
      <c r="AA14" s="18">
        <f t="shared" si="0"/>
        <v>1.4674008146025042</v>
      </c>
      <c r="AB14" s="12">
        <f t="shared" si="0"/>
        <v>1.5113101283353338</v>
      </c>
      <c r="AC14" s="12">
        <f t="shared" si="0"/>
        <v>1.4352607440546856</v>
      </c>
      <c r="AD14" s="12">
        <f t="shared" si="0"/>
        <v>1.6141015082418595</v>
      </c>
      <c r="AE14" s="12">
        <f t="shared" si="0"/>
        <v>1.6095866023303498</v>
      </c>
      <c r="AF14" s="12">
        <f t="shared" si="0"/>
        <v>1.6114263954402517</v>
      </c>
      <c r="AG14" s="12">
        <f t="shared" si="0"/>
        <v>1.6084278211358169</v>
      </c>
      <c r="AH14" s="12">
        <f t="shared" si="0"/>
        <v>1.6101184994167128</v>
      </c>
      <c r="AI14" s="19">
        <f t="shared" si="0"/>
        <v>1.6105069350681231</v>
      </c>
      <c r="AJ14" s="18">
        <f t="shared" si="0"/>
        <v>1.336143449752442</v>
      </c>
      <c r="AK14" s="12">
        <f t="shared" si="0"/>
        <v>1.4362984101100693</v>
      </c>
      <c r="AL14" s="12">
        <f t="shared" si="0"/>
        <v>1.4596283873715594</v>
      </c>
      <c r="AM14" s="12">
        <f t="shared" si="0"/>
        <v>1.4085593470979914</v>
      </c>
      <c r="AN14" s="12">
        <f t="shared" si="0"/>
        <v>1.4364528453649708</v>
      </c>
      <c r="AO14" s="12">
        <f t="shared" si="0"/>
        <v>1.434227433344041</v>
      </c>
      <c r="AP14" s="12">
        <f t="shared" si="0"/>
        <v>1.432768043722874</v>
      </c>
      <c r="AQ14" s="12">
        <f t="shared" si="1"/>
        <v>1.4347840061712522</v>
      </c>
      <c r="AR14" s="19">
        <f t="shared" si="1"/>
        <v>1.4376755603847238</v>
      </c>
    </row>
    <row r="15" spans="2:44" ht="15" customHeight="1" thickBot="1">
      <c r="B15" s="94"/>
      <c r="C15" s="97"/>
      <c r="D15" s="6">
        <v>1</v>
      </c>
      <c r="E15" s="30">
        <v>43529</v>
      </c>
      <c r="F15" s="31">
        <v>78331</v>
      </c>
      <c r="G15" s="31">
        <v>143465</v>
      </c>
      <c r="H15" s="31">
        <v>249034</v>
      </c>
      <c r="I15" s="31">
        <v>352346</v>
      </c>
      <c r="J15" s="31">
        <v>410310</v>
      </c>
      <c r="K15" s="31">
        <v>410569</v>
      </c>
      <c r="L15" s="31">
        <v>410523</v>
      </c>
      <c r="M15" s="32">
        <v>410515</v>
      </c>
      <c r="N15" s="30">
        <v>51650</v>
      </c>
      <c r="O15" s="31">
        <v>99296</v>
      </c>
      <c r="P15" s="31">
        <v>184241</v>
      </c>
      <c r="Q15" s="31">
        <v>317560</v>
      </c>
      <c r="R15" s="31">
        <v>468318</v>
      </c>
      <c r="S15" s="31">
        <v>540835</v>
      </c>
      <c r="T15" s="31">
        <v>541143</v>
      </c>
      <c r="U15" s="31">
        <v>541188</v>
      </c>
      <c r="V15" s="32">
        <v>541171</v>
      </c>
      <c r="X15" s="94"/>
      <c r="Y15" s="97"/>
      <c r="Z15" s="6">
        <v>1</v>
      </c>
      <c r="AA15" s="20">
        <f t="shared" si="0"/>
        <v>1.3965172643525006</v>
      </c>
      <c r="AB15" s="21">
        <f t="shared" si="0"/>
        <v>1.4773716663900627</v>
      </c>
      <c r="AC15" s="21">
        <f t="shared" si="0"/>
        <v>1.4589063534660021</v>
      </c>
      <c r="AD15" s="21">
        <f t="shared" si="0"/>
        <v>1.361412497891854</v>
      </c>
      <c r="AE15" s="21">
        <f t="shared" si="0"/>
        <v>1.3093975807870673</v>
      </c>
      <c r="AF15" s="21">
        <f t="shared" si="0"/>
        <v>1.3091516170700201</v>
      </c>
      <c r="AG15" s="21">
        <f t="shared" si="0"/>
        <v>1.3908185956562722</v>
      </c>
      <c r="AH15" s="21">
        <f t="shared" si="0"/>
        <v>1.3913495711567927</v>
      </c>
      <c r="AI15" s="22">
        <f t="shared" si="0"/>
        <v>1.3910819336686844</v>
      </c>
      <c r="AJ15" s="20">
        <f t="shared" si="0"/>
        <v>1.1975992255566312</v>
      </c>
      <c r="AK15" s="21">
        <f t="shared" si="0"/>
        <v>1.209867466967451</v>
      </c>
      <c r="AL15" s="21">
        <f t="shared" si="0"/>
        <v>1.2310560624399565</v>
      </c>
      <c r="AM15" s="21">
        <f t="shared" si="0"/>
        <v>1.2656411386824538</v>
      </c>
      <c r="AN15" s="21">
        <f t="shared" si="0"/>
        <v>1.3430297362048864</v>
      </c>
      <c r="AO15" s="21">
        <f t="shared" si="0"/>
        <v>1.5197574121497315</v>
      </c>
      <c r="AP15" s="21">
        <f t="shared" si="0"/>
        <v>1.5729539142149118</v>
      </c>
      <c r="AQ15" s="21">
        <f t="shared" si="1"/>
        <v>1.5727381242747438</v>
      </c>
      <c r="AR15" s="22">
        <f t="shared" si="1"/>
        <v>1.572711767629825</v>
      </c>
    </row>
    <row r="16" spans="2:44" ht="15" customHeight="1">
      <c r="B16" s="83" t="s">
        <v>9</v>
      </c>
      <c r="C16" s="98" t="s">
        <v>6</v>
      </c>
      <c r="D16" s="4">
        <v>0.25</v>
      </c>
      <c r="E16" s="24">
        <v>25</v>
      </c>
      <c r="F16" s="25">
        <v>14</v>
      </c>
      <c r="G16" s="25">
        <v>83</v>
      </c>
      <c r="H16" s="25">
        <v>394</v>
      </c>
      <c r="I16" s="25">
        <v>764</v>
      </c>
      <c r="J16" s="25">
        <v>1880</v>
      </c>
      <c r="K16" s="25">
        <v>4768</v>
      </c>
      <c r="L16" s="25">
        <v>10432</v>
      </c>
      <c r="M16" s="26">
        <v>21888</v>
      </c>
      <c r="N16" s="24">
        <v>16</v>
      </c>
      <c r="O16" s="25">
        <v>14</v>
      </c>
      <c r="P16" s="25">
        <v>16</v>
      </c>
      <c r="Q16" s="25">
        <v>120</v>
      </c>
      <c r="R16" s="25">
        <v>430</v>
      </c>
      <c r="S16" s="25">
        <v>1032</v>
      </c>
      <c r="T16" s="25">
        <v>3152</v>
      </c>
      <c r="U16" s="25">
        <v>7328</v>
      </c>
      <c r="V16" s="26">
        <v>15936</v>
      </c>
      <c r="X16" s="83" t="s">
        <v>9</v>
      </c>
      <c r="Y16" s="98" t="s">
        <v>6</v>
      </c>
      <c r="Z16" s="4">
        <v>0.25</v>
      </c>
      <c r="AA16" s="15">
        <f t="shared" si="0"/>
        <v>0.52</v>
      </c>
      <c r="AB16" s="16">
        <f t="shared" si="0"/>
        <v>1</v>
      </c>
      <c r="AC16" s="16">
        <f t="shared" si="0"/>
        <v>0.19277108433734941</v>
      </c>
      <c r="AD16" s="16">
        <f t="shared" si="0"/>
        <v>0.2512690355329949</v>
      </c>
      <c r="AE16" s="16">
        <f t="shared" si="0"/>
        <v>0.15052356020942409</v>
      </c>
      <c r="AF16" s="16">
        <f t="shared" si="0"/>
        <v>5.7446808510638298E-2</v>
      </c>
      <c r="AG16" s="16">
        <f t="shared" si="0"/>
        <v>2.4328859060402684E-2</v>
      </c>
      <c r="AH16" s="16">
        <f t="shared" si="0"/>
        <v>0.44478527607361962</v>
      </c>
      <c r="AI16" s="17">
        <f t="shared" si="0"/>
        <v>0.59941520467836262</v>
      </c>
      <c r="AJ16" s="15">
        <f t="shared" si="0"/>
        <v>0.8125</v>
      </c>
      <c r="AK16" s="16">
        <f t="shared" si="0"/>
        <v>1</v>
      </c>
      <c r="AL16" s="16">
        <f t="shared" si="0"/>
        <v>1</v>
      </c>
      <c r="AM16" s="16">
        <f t="shared" si="0"/>
        <v>0.15</v>
      </c>
      <c r="AN16" s="16">
        <f t="shared" si="0"/>
        <v>3.9534883720930232E-2</v>
      </c>
      <c r="AO16" s="16">
        <f t="shared" si="0"/>
        <v>1.6472868217054265E-2</v>
      </c>
      <c r="AP16" s="16">
        <f t="shared" si="0"/>
        <v>5.3934010152284261E-3</v>
      </c>
      <c r="AQ16" s="16">
        <f t="shared" si="1"/>
        <v>0.47816593886462883</v>
      </c>
      <c r="AR16" s="17">
        <f t="shared" si="1"/>
        <v>0.68674698795180722</v>
      </c>
    </row>
    <row r="17" spans="2:44" ht="15" customHeight="1">
      <c r="B17" s="93"/>
      <c r="C17" s="96"/>
      <c r="D17" s="5">
        <v>0.5</v>
      </c>
      <c r="E17" s="27">
        <v>22</v>
      </c>
      <c r="F17" s="28">
        <v>75</v>
      </c>
      <c r="G17" s="28">
        <v>326</v>
      </c>
      <c r="H17" s="28">
        <v>716</v>
      </c>
      <c r="I17" s="28">
        <v>1560</v>
      </c>
      <c r="J17" s="28">
        <v>3280</v>
      </c>
      <c r="K17" s="28">
        <v>7264</v>
      </c>
      <c r="L17" s="28">
        <v>16064</v>
      </c>
      <c r="M17" s="29">
        <v>34560</v>
      </c>
      <c r="N17" s="27">
        <v>17</v>
      </c>
      <c r="O17" s="28">
        <v>15</v>
      </c>
      <c r="P17" s="28">
        <v>149</v>
      </c>
      <c r="Q17" s="28">
        <v>450</v>
      </c>
      <c r="R17" s="28">
        <v>1004</v>
      </c>
      <c r="S17" s="28">
        <v>2128</v>
      </c>
      <c r="T17" s="28">
        <v>4896</v>
      </c>
      <c r="U17" s="28">
        <v>10816</v>
      </c>
      <c r="V17" s="29">
        <v>23936</v>
      </c>
      <c r="X17" s="93"/>
      <c r="Y17" s="96"/>
      <c r="Z17" s="5">
        <v>0.5</v>
      </c>
      <c r="AA17" s="18">
        <f t="shared" si="0"/>
        <v>0.59090909090909094</v>
      </c>
      <c r="AB17" s="12">
        <f t="shared" si="0"/>
        <v>0.2</v>
      </c>
      <c r="AC17" s="12">
        <f t="shared" si="0"/>
        <v>0.52453987730061347</v>
      </c>
      <c r="AD17" s="12">
        <f t="shared" si="0"/>
        <v>0.67877094972067042</v>
      </c>
      <c r="AE17" s="12">
        <f t="shared" si="0"/>
        <v>0.70256410256410251</v>
      </c>
      <c r="AF17" s="12">
        <f t="shared" si="0"/>
        <v>0.69756097560975605</v>
      </c>
      <c r="AG17" s="12">
        <f t="shared" si="0"/>
        <v>0.50440528634361237</v>
      </c>
      <c r="AH17" s="12">
        <f t="shared" si="0"/>
        <v>0.57768924302788849</v>
      </c>
      <c r="AI17" s="19">
        <f t="shared" si="0"/>
        <v>0.59629629629629632</v>
      </c>
      <c r="AJ17" s="18">
        <f t="shared" si="0"/>
        <v>0.76470588235294112</v>
      </c>
      <c r="AK17" s="12">
        <f t="shared" si="0"/>
        <v>1</v>
      </c>
      <c r="AL17" s="12">
        <f t="shared" si="0"/>
        <v>0.10738255033557047</v>
      </c>
      <c r="AM17" s="12">
        <f t="shared" si="0"/>
        <v>0.89333333333333331</v>
      </c>
      <c r="AN17" s="12">
        <f t="shared" si="0"/>
        <v>0.88844621513944222</v>
      </c>
      <c r="AO17" s="12">
        <f t="shared" si="0"/>
        <v>0.87593984962406013</v>
      </c>
      <c r="AP17" s="12">
        <f t="shared" si="0"/>
        <v>0.68954248366013071</v>
      </c>
      <c r="AQ17" s="12">
        <f t="shared" si="1"/>
        <v>0.65384615384615385</v>
      </c>
      <c r="AR17" s="19">
        <f t="shared" si="1"/>
        <v>0.67112299465240643</v>
      </c>
    </row>
    <row r="18" spans="2:44" ht="15" customHeight="1">
      <c r="B18" s="93"/>
      <c r="C18" s="96"/>
      <c r="D18" s="5">
        <v>0.75</v>
      </c>
      <c r="E18" s="27">
        <v>54</v>
      </c>
      <c r="F18" s="28">
        <v>189</v>
      </c>
      <c r="G18" s="28">
        <v>374</v>
      </c>
      <c r="H18" s="28">
        <v>756</v>
      </c>
      <c r="I18" s="28">
        <v>1528</v>
      </c>
      <c r="J18" s="28">
        <v>4016</v>
      </c>
      <c r="K18" s="28">
        <v>9024</v>
      </c>
      <c r="L18" s="28">
        <v>19840</v>
      </c>
      <c r="M18" s="29">
        <v>44288</v>
      </c>
      <c r="N18" s="27">
        <v>17</v>
      </c>
      <c r="O18" s="28">
        <v>117</v>
      </c>
      <c r="P18" s="28">
        <v>270</v>
      </c>
      <c r="Q18" s="28">
        <v>548</v>
      </c>
      <c r="R18" s="28">
        <v>1112</v>
      </c>
      <c r="S18" s="28">
        <v>2960</v>
      </c>
      <c r="T18" s="28">
        <v>6624</v>
      </c>
      <c r="U18" s="28">
        <v>15040</v>
      </c>
      <c r="V18" s="29">
        <v>32384</v>
      </c>
      <c r="X18" s="93"/>
      <c r="Y18" s="96"/>
      <c r="Z18" s="5">
        <v>0.75</v>
      </c>
      <c r="AA18" s="18">
        <f t="shared" si="0"/>
        <v>0.24074074074074073</v>
      </c>
      <c r="AB18" s="12">
        <f t="shared" si="0"/>
        <v>0.63492063492063489</v>
      </c>
      <c r="AC18" s="12">
        <f t="shared" si="0"/>
        <v>0.64973262032085566</v>
      </c>
      <c r="AD18" s="12">
        <f t="shared" si="0"/>
        <v>0.64814814814814814</v>
      </c>
      <c r="AE18" s="12">
        <f t="shared" si="0"/>
        <v>0.6413612565445026</v>
      </c>
      <c r="AF18" s="12">
        <f t="shared" si="0"/>
        <v>0.48804780876494025</v>
      </c>
      <c r="AG18" s="12">
        <f t="shared" si="0"/>
        <v>0.42375886524822692</v>
      </c>
      <c r="AH18" s="12">
        <f t="shared" si="0"/>
        <v>0.53870967741935483</v>
      </c>
      <c r="AI18" s="19">
        <f t="shared" si="0"/>
        <v>0.58092485549132944</v>
      </c>
      <c r="AJ18" s="18">
        <f t="shared" si="0"/>
        <v>0.76470588235294112</v>
      </c>
      <c r="AK18" s="12">
        <f t="shared" si="0"/>
        <v>0.90598290598290598</v>
      </c>
      <c r="AL18" s="12">
        <f t="shared" si="0"/>
        <v>0.8925925925925926</v>
      </c>
      <c r="AM18" s="12">
        <f t="shared" si="0"/>
        <v>0.88686131386861311</v>
      </c>
      <c r="AN18" s="12">
        <f t="shared" si="0"/>
        <v>0.86690647482014394</v>
      </c>
      <c r="AO18" s="12">
        <f t="shared" si="0"/>
        <v>0.66216216216216217</v>
      </c>
      <c r="AP18" s="12">
        <f t="shared" si="0"/>
        <v>0.58212560386473433</v>
      </c>
      <c r="AQ18" s="12">
        <f t="shared" si="1"/>
        <v>0.6</v>
      </c>
      <c r="AR18" s="19">
        <f t="shared" si="1"/>
        <v>0.64426877470355737</v>
      </c>
    </row>
    <row r="19" spans="2:44" ht="15" customHeight="1" thickBot="1">
      <c r="B19" s="93"/>
      <c r="C19" s="97"/>
      <c r="D19" s="6">
        <v>1</v>
      </c>
      <c r="E19" s="30">
        <v>97</v>
      </c>
      <c r="F19" s="31">
        <v>195</v>
      </c>
      <c r="G19" s="31">
        <v>382</v>
      </c>
      <c r="H19" s="31">
        <v>764</v>
      </c>
      <c r="I19" s="31">
        <v>1560</v>
      </c>
      <c r="J19" s="31">
        <v>3088</v>
      </c>
      <c r="K19" s="31">
        <v>6176</v>
      </c>
      <c r="L19" s="31">
        <v>12224</v>
      </c>
      <c r="M19" s="32">
        <v>24960</v>
      </c>
      <c r="N19" s="30">
        <v>75</v>
      </c>
      <c r="O19" s="31">
        <v>153</v>
      </c>
      <c r="P19" s="31">
        <v>298</v>
      </c>
      <c r="Q19" s="31">
        <v>596</v>
      </c>
      <c r="R19" s="31">
        <v>1224</v>
      </c>
      <c r="S19" s="31">
        <v>2416</v>
      </c>
      <c r="T19" s="31">
        <v>4768</v>
      </c>
      <c r="U19" s="31">
        <v>9536</v>
      </c>
      <c r="V19" s="32">
        <v>19328</v>
      </c>
      <c r="X19" s="93"/>
      <c r="Y19" s="97"/>
      <c r="Z19" s="6">
        <v>1</v>
      </c>
      <c r="AA19" s="20">
        <f t="shared" si="0"/>
        <v>0.68041237113402064</v>
      </c>
      <c r="AB19" s="21">
        <f t="shared" si="0"/>
        <v>0.517948717948718</v>
      </c>
      <c r="AC19" s="21">
        <f t="shared" si="0"/>
        <v>0.53664921465968585</v>
      </c>
      <c r="AD19" s="21">
        <f t="shared" si="1"/>
        <v>0.48952879581151831</v>
      </c>
      <c r="AE19" s="21">
        <f t="shared" si="1"/>
        <v>0.4794871794871795</v>
      </c>
      <c r="AF19" s="21">
        <f t="shared" si="1"/>
        <v>0.47409326424870468</v>
      </c>
      <c r="AG19" s="21">
        <f t="shared" si="1"/>
        <v>0.47409326424870468</v>
      </c>
      <c r="AH19" s="21">
        <f t="shared" si="1"/>
        <v>0.69633507853403143</v>
      </c>
      <c r="AI19" s="22">
        <f t="shared" si="1"/>
        <v>0.77435897435897438</v>
      </c>
      <c r="AJ19" s="20">
        <f t="shared" si="1"/>
        <v>0.8</v>
      </c>
      <c r="AK19" s="21">
        <f t="shared" si="1"/>
        <v>0.79084967320261434</v>
      </c>
      <c r="AL19" s="21">
        <f t="shared" si="1"/>
        <v>0.81543624161073824</v>
      </c>
      <c r="AM19" s="21">
        <f t="shared" si="1"/>
        <v>0.82214765100671139</v>
      </c>
      <c r="AN19" s="21">
        <f t="shared" si="1"/>
        <v>0.80065359477124187</v>
      </c>
      <c r="AO19" s="21">
        <f t="shared" si="1"/>
        <v>0.73178807947019864</v>
      </c>
      <c r="AP19" s="21">
        <f t="shared" si="1"/>
        <v>0.68791946308724827</v>
      </c>
      <c r="AQ19" s="21">
        <f t="shared" si="1"/>
        <v>0.62751677852348997</v>
      </c>
      <c r="AR19" s="22">
        <f t="shared" si="1"/>
        <v>0.5927152317880795</v>
      </c>
    </row>
    <row r="20" spans="2:44" ht="15" customHeight="1">
      <c r="B20" s="93"/>
      <c r="C20" s="98" t="s">
        <v>7</v>
      </c>
      <c r="D20" s="4">
        <v>0.25</v>
      </c>
      <c r="E20" s="24">
        <v>51</v>
      </c>
      <c r="F20" s="25">
        <v>17</v>
      </c>
      <c r="G20" s="25">
        <v>159</v>
      </c>
      <c r="H20" s="25">
        <v>532</v>
      </c>
      <c r="I20" s="25">
        <v>940</v>
      </c>
      <c r="J20" s="25">
        <v>2448</v>
      </c>
      <c r="K20" s="25">
        <v>6880</v>
      </c>
      <c r="L20" s="25">
        <v>15680</v>
      </c>
      <c r="M20" s="26">
        <v>31360</v>
      </c>
      <c r="N20" s="24">
        <v>32</v>
      </c>
      <c r="O20" s="25">
        <v>19</v>
      </c>
      <c r="P20" s="25">
        <v>21</v>
      </c>
      <c r="Q20" s="25">
        <v>193</v>
      </c>
      <c r="R20" s="25">
        <v>548</v>
      </c>
      <c r="S20" s="25">
        <v>1432</v>
      </c>
      <c r="T20" s="25">
        <v>4320</v>
      </c>
      <c r="U20" s="25">
        <v>9920</v>
      </c>
      <c r="V20" s="26">
        <v>22144</v>
      </c>
      <c r="X20" s="93"/>
      <c r="Y20" s="98" t="s">
        <v>7</v>
      </c>
      <c r="Z20" s="4">
        <v>0.25</v>
      </c>
      <c r="AA20" s="15">
        <f t="shared" ref="AA20:AP27" si="2">E47/E20</f>
        <v>0.35294117647058826</v>
      </c>
      <c r="AB20" s="16">
        <f t="shared" si="2"/>
        <v>1.1176470588235294</v>
      </c>
      <c r="AC20" s="16">
        <f t="shared" si="2"/>
        <v>0.13207547169811321</v>
      </c>
      <c r="AD20" s="16">
        <f t="shared" si="2"/>
        <v>0.34398496240601506</v>
      </c>
      <c r="AE20" s="16">
        <f t="shared" si="2"/>
        <v>0.2372340425531915</v>
      </c>
      <c r="AF20" s="16">
        <f t="shared" si="2"/>
        <v>8.6192810457516339E-2</v>
      </c>
      <c r="AG20" s="16">
        <f t="shared" si="2"/>
        <v>3.299418604651163E-2</v>
      </c>
      <c r="AH20" s="16">
        <f t="shared" si="2"/>
        <v>0.38979591836734695</v>
      </c>
      <c r="AI20" s="17">
        <f t="shared" si="2"/>
        <v>0.57551020408163267</v>
      </c>
      <c r="AJ20" s="15">
        <f t="shared" si="2"/>
        <v>0.78125</v>
      </c>
      <c r="AK20" s="16">
        <f t="shared" si="2"/>
        <v>0.94736842105263153</v>
      </c>
      <c r="AL20" s="16">
        <f t="shared" si="2"/>
        <v>1</v>
      </c>
      <c r="AM20" s="16">
        <f t="shared" si="2"/>
        <v>0.12953367875647667</v>
      </c>
      <c r="AN20" s="16">
        <f t="shared" si="2"/>
        <v>4.3795620437956206E-2</v>
      </c>
      <c r="AO20" s="16">
        <f t="shared" si="2"/>
        <v>1.7458100558659217E-2</v>
      </c>
      <c r="AP20" s="16">
        <f t="shared" si="2"/>
        <v>5.7870370370370367E-3</v>
      </c>
      <c r="AQ20" s="16">
        <f t="shared" ref="AD20:AR27" si="3">U47/U20</f>
        <v>0.48064516129032259</v>
      </c>
      <c r="AR20" s="17">
        <f t="shared" si="3"/>
        <v>0.67341040462427748</v>
      </c>
    </row>
    <row r="21" spans="2:44" ht="15" customHeight="1">
      <c r="B21" s="93"/>
      <c r="C21" s="96"/>
      <c r="D21" s="5">
        <v>0.5</v>
      </c>
      <c r="E21" s="27">
        <v>55</v>
      </c>
      <c r="F21" s="28">
        <v>135</v>
      </c>
      <c r="G21" s="28">
        <v>402</v>
      </c>
      <c r="H21" s="28">
        <v>812</v>
      </c>
      <c r="I21" s="28">
        <v>1704</v>
      </c>
      <c r="J21" s="28">
        <v>3792</v>
      </c>
      <c r="K21" s="28">
        <v>10176</v>
      </c>
      <c r="L21" s="28">
        <v>22656</v>
      </c>
      <c r="M21" s="29">
        <v>49920</v>
      </c>
      <c r="N21" s="27">
        <v>38</v>
      </c>
      <c r="O21" s="28">
        <v>19</v>
      </c>
      <c r="P21" s="28">
        <v>207</v>
      </c>
      <c r="Q21" s="28">
        <v>532</v>
      </c>
      <c r="R21" s="28">
        <v>1144</v>
      </c>
      <c r="S21" s="28">
        <v>2544</v>
      </c>
      <c r="T21" s="28">
        <v>6752</v>
      </c>
      <c r="U21" s="28">
        <v>16320</v>
      </c>
      <c r="V21" s="29">
        <v>34048</v>
      </c>
      <c r="X21" s="93"/>
      <c r="Y21" s="96"/>
      <c r="Z21" s="5">
        <v>0.5</v>
      </c>
      <c r="AA21" s="18">
        <f t="shared" si="2"/>
        <v>0.32727272727272727</v>
      </c>
      <c r="AB21" s="12">
        <f t="shared" si="2"/>
        <v>0.14074074074074075</v>
      </c>
      <c r="AC21" s="12">
        <f t="shared" si="2"/>
        <v>0.56467661691542292</v>
      </c>
      <c r="AD21" s="12">
        <f t="shared" si="3"/>
        <v>0.75369458128078815</v>
      </c>
      <c r="AE21" s="12">
        <f t="shared" si="3"/>
        <v>0.76525821596244137</v>
      </c>
      <c r="AF21" s="12">
        <f t="shared" si="3"/>
        <v>0.70464135021097052</v>
      </c>
      <c r="AG21" s="12">
        <f t="shared" si="3"/>
        <v>0.37893081761006292</v>
      </c>
      <c r="AH21" s="12">
        <f t="shared" si="3"/>
        <v>0.4943502824858757</v>
      </c>
      <c r="AI21" s="19">
        <f t="shared" si="3"/>
        <v>0.52051282051282055</v>
      </c>
      <c r="AJ21" s="18">
        <f t="shared" si="3"/>
        <v>0.68421052631578949</v>
      </c>
      <c r="AK21" s="12">
        <f t="shared" si="3"/>
        <v>1</v>
      </c>
      <c r="AL21" s="12">
        <f t="shared" si="3"/>
        <v>0.71980676328502413</v>
      </c>
      <c r="AM21" s="12">
        <f t="shared" si="3"/>
        <v>0.86842105263157898</v>
      </c>
      <c r="AN21" s="12">
        <f t="shared" si="3"/>
        <v>0.83566433566433562</v>
      </c>
      <c r="AO21" s="12">
        <f t="shared" si="3"/>
        <v>0.75786163522012584</v>
      </c>
      <c r="AP21" s="12">
        <f t="shared" si="3"/>
        <v>0.57109004739336489</v>
      </c>
      <c r="AQ21" s="12">
        <f t="shared" si="3"/>
        <v>0.57647058823529407</v>
      </c>
      <c r="AR21" s="19">
        <f t="shared" si="3"/>
        <v>0.61278195488721809</v>
      </c>
    </row>
    <row r="22" spans="2:44" ht="15" customHeight="1">
      <c r="B22" s="93"/>
      <c r="C22" s="96"/>
      <c r="D22" s="5">
        <v>0.75</v>
      </c>
      <c r="E22" s="27">
        <v>71</v>
      </c>
      <c r="F22" s="28">
        <v>203</v>
      </c>
      <c r="G22" s="28">
        <v>406</v>
      </c>
      <c r="H22" s="28">
        <v>812</v>
      </c>
      <c r="I22" s="28">
        <v>1624</v>
      </c>
      <c r="J22" s="28">
        <v>4640</v>
      </c>
      <c r="K22" s="28">
        <v>12224</v>
      </c>
      <c r="L22" s="28">
        <v>27520</v>
      </c>
      <c r="M22" s="29">
        <v>64256</v>
      </c>
      <c r="N22" s="27">
        <v>47</v>
      </c>
      <c r="O22" s="28">
        <v>133</v>
      </c>
      <c r="P22" s="28">
        <v>290</v>
      </c>
      <c r="Q22" s="28">
        <v>588</v>
      </c>
      <c r="R22" s="28">
        <v>1160</v>
      </c>
      <c r="S22" s="28">
        <v>3440</v>
      </c>
      <c r="T22" s="28">
        <v>9408</v>
      </c>
      <c r="U22" s="28">
        <v>20864</v>
      </c>
      <c r="V22" s="29">
        <v>46848</v>
      </c>
      <c r="X22" s="93"/>
      <c r="Y22" s="96"/>
      <c r="Z22" s="5">
        <v>0.75</v>
      </c>
      <c r="AA22" s="18">
        <f t="shared" si="2"/>
        <v>0.25352112676056338</v>
      </c>
      <c r="AB22" s="12">
        <f t="shared" si="2"/>
        <v>0.60098522167487689</v>
      </c>
      <c r="AC22" s="12">
        <f t="shared" si="2"/>
        <v>0.60837438423645318</v>
      </c>
      <c r="AD22" s="12">
        <f t="shared" si="3"/>
        <v>0.60344827586206895</v>
      </c>
      <c r="AE22" s="12">
        <f t="shared" si="3"/>
        <v>0.60344827586206895</v>
      </c>
      <c r="AF22" s="12">
        <f t="shared" si="3"/>
        <v>0.42586206896551726</v>
      </c>
      <c r="AG22" s="12">
        <f t="shared" si="3"/>
        <v>0.31806282722513091</v>
      </c>
      <c r="AH22" s="12">
        <f t="shared" si="3"/>
        <v>0.47209302325581393</v>
      </c>
      <c r="AI22" s="19">
        <f t="shared" si="3"/>
        <v>0.50398406374501992</v>
      </c>
      <c r="AJ22" s="18">
        <f t="shared" si="3"/>
        <v>0.57446808510638303</v>
      </c>
      <c r="AK22" s="12">
        <f t="shared" si="3"/>
        <v>0.91729323308270672</v>
      </c>
      <c r="AL22" s="12">
        <f t="shared" si="3"/>
        <v>0.85172413793103452</v>
      </c>
      <c r="AM22" s="12">
        <f t="shared" si="3"/>
        <v>0.84013605442176875</v>
      </c>
      <c r="AN22" s="12">
        <f t="shared" si="3"/>
        <v>0.84482758620689657</v>
      </c>
      <c r="AO22" s="12">
        <f t="shared" si="3"/>
        <v>0.57441860465116279</v>
      </c>
      <c r="AP22" s="12">
        <f t="shared" si="3"/>
        <v>0.41666666666666669</v>
      </c>
      <c r="AQ22" s="12">
        <f t="shared" si="3"/>
        <v>0.56134969325153372</v>
      </c>
      <c r="AR22" s="19">
        <f t="shared" si="3"/>
        <v>0.60928961748633881</v>
      </c>
    </row>
    <row r="23" spans="2:44" ht="15" customHeight="1" thickBot="1">
      <c r="B23" s="93"/>
      <c r="C23" s="97"/>
      <c r="D23" s="6">
        <v>1</v>
      </c>
      <c r="E23" s="30">
        <v>105</v>
      </c>
      <c r="F23" s="31">
        <v>197</v>
      </c>
      <c r="G23" s="31">
        <v>390</v>
      </c>
      <c r="H23" s="31">
        <v>772</v>
      </c>
      <c r="I23" s="31">
        <v>1560</v>
      </c>
      <c r="J23" s="31">
        <v>3440</v>
      </c>
      <c r="K23" s="31">
        <v>9280</v>
      </c>
      <c r="L23" s="31">
        <v>18048</v>
      </c>
      <c r="M23" s="32">
        <v>32384</v>
      </c>
      <c r="N23" s="30">
        <v>80</v>
      </c>
      <c r="O23" s="31">
        <v>157</v>
      </c>
      <c r="P23" s="31">
        <v>306</v>
      </c>
      <c r="Q23" s="31">
        <v>604</v>
      </c>
      <c r="R23" s="31">
        <v>1224</v>
      </c>
      <c r="S23" s="31">
        <v>2736</v>
      </c>
      <c r="T23" s="31">
        <v>5472</v>
      </c>
      <c r="U23" s="31">
        <v>13632</v>
      </c>
      <c r="V23" s="32">
        <v>25472</v>
      </c>
      <c r="X23" s="93"/>
      <c r="Y23" s="97"/>
      <c r="Z23" s="6">
        <v>1</v>
      </c>
      <c r="AA23" s="20">
        <f t="shared" si="2"/>
        <v>0.65714285714285714</v>
      </c>
      <c r="AB23" s="21">
        <f t="shared" si="2"/>
        <v>0.52791878172588835</v>
      </c>
      <c r="AC23" s="21">
        <f t="shared" si="2"/>
        <v>0.53076923076923077</v>
      </c>
      <c r="AD23" s="21">
        <f t="shared" si="3"/>
        <v>0.60880829015544047</v>
      </c>
      <c r="AE23" s="21">
        <f t="shared" si="3"/>
        <v>0.52051282051282055</v>
      </c>
      <c r="AF23" s="21">
        <f t="shared" si="3"/>
        <v>0.44418604651162791</v>
      </c>
      <c r="AG23" s="21">
        <f t="shared" si="3"/>
        <v>0.33965517241379312</v>
      </c>
      <c r="AH23" s="21">
        <f t="shared" si="3"/>
        <v>0.5</v>
      </c>
      <c r="AI23" s="22">
        <f t="shared" si="3"/>
        <v>0.75494071146245056</v>
      </c>
      <c r="AJ23" s="20">
        <f t="shared" si="3"/>
        <v>0.75</v>
      </c>
      <c r="AK23" s="21">
        <f t="shared" si="3"/>
        <v>0.77707006369426757</v>
      </c>
      <c r="AL23" s="21">
        <f t="shared" si="3"/>
        <v>0.80065359477124187</v>
      </c>
      <c r="AM23" s="21">
        <f t="shared" si="3"/>
        <v>0.8112582781456954</v>
      </c>
      <c r="AN23" s="21">
        <f t="shared" si="3"/>
        <v>0.80065359477124187</v>
      </c>
      <c r="AO23" s="21">
        <f t="shared" si="3"/>
        <v>0.72222222222222221</v>
      </c>
      <c r="AP23" s="21">
        <f t="shared" si="3"/>
        <v>0.71052631578947367</v>
      </c>
      <c r="AQ23" s="21">
        <f t="shared" si="3"/>
        <v>0.56103286384976525</v>
      </c>
      <c r="AR23" s="22">
        <f t="shared" si="3"/>
        <v>0.65829145728643212</v>
      </c>
    </row>
    <row r="24" spans="2:44" ht="15" customHeight="1">
      <c r="B24" s="93"/>
      <c r="C24" s="95" t="s">
        <v>8</v>
      </c>
      <c r="D24" s="7">
        <v>0.25</v>
      </c>
      <c r="E24" s="33">
        <v>11047</v>
      </c>
      <c r="F24" s="34">
        <v>18057</v>
      </c>
      <c r="G24" s="34">
        <v>26682</v>
      </c>
      <c r="H24" s="34">
        <v>27122</v>
      </c>
      <c r="I24" s="34">
        <v>27148</v>
      </c>
      <c r="J24" s="34">
        <v>27131</v>
      </c>
      <c r="K24" s="34">
        <v>27163</v>
      </c>
      <c r="L24" s="34">
        <v>27151</v>
      </c>
      <c r="M24" s="35">
        <v>27139</v>
      </c>
      <c r="N24" s="33">
        <v>12456</v>
      </c>
      <c r="O24" s="34">
        <v>20450</v>
      </c>
      <c r="P24" s="34">
        <v>31307</v>
      </c>
      <c r="Q24" s="34">
        <v>41702</v>
      </c>
      <c r="R24" s="34">
        <v>41443</v>
      </c>
      <c r="S24" s="34">
        <v>41515</v>
      </c>
      <c r="T24" s="34">
        <v>41478</v>
      </c>
      <c r="U24" s="34">
        <v>41469</v>
      </c>
      <c r="V24" s="35">
        <v>41401</v>
      </c>
      <c r="X24" s="93"/>
      <c r="Y24" s="98" t="s">
        <v>8</v>
      </c>
      <c r="Z24" s="4">
        <v>0.25</v>
      </c>
      <c r="AA24" s="15">
        <f t="shared" si="2"/>
        <v>1.4674572282067531</v>
      </c>
      <c r="AB24" s="16">
        <f t="shared" si="2"/>
        <v>1.5104945450517804</v>
      </c>
      <c r="AC24" s="16">
        <f t="shared" si="2"/>
        <v>1.434750018739225</v>
      </c>
      <c r="AD24" s="16">
        <f t="shared" si="3"/>
        <v>1.6141140033920802</v>
      </c>
      <c r="AE24" s="16">
        <f t="shared" si="3"/>
        <v>1.6096581700309416</v>
      </c>
      <c r="AF24" s="16">
        <f t="shared" si="3"/>
        <v>1.6115882201172091</v>
      </c>
      <c r="AG24" s="16">
        <f t="shared" si="3"/>
        <v>1.6086588373890955</v>
      </c>
      <c r="AH24" s="16">
        <f t="shared" si="3"/>
        <v>1.6095171448565431</v>
      </c>
      <c r="AI24" s="17">
        <f t="shared" si="3"/>
        <v>1.6111500055271013</v>
      </c>
      <c r="AJ24" s="15">
        <f t="shared" si="3"/>
        <v>1.3360629415542711</v>
      </c>
      <c r="AK24" s="16">
        <f t="shared" si="3"/>
        <v>1.4365281173594131</v>
      </c>
      <c r="AL24" s="16">
        <f t="shared" si="3"/>
        <v>1.4595138467435398</v>
      </c>
      <c r="AM24" s="16">
        <f t="shared" si="3"/>
        <v>1.4085415567598676</v>
      </c>
      <c r="AN24" s="16">
        <f t="shared" si="3"/>
        <v>1.4365996670125232</v>
      </c>
      <c r="AO24" s="16">
        <f t="shared" si="3"/>
        <v>1.4339636276044803</v>
      </c>
      <c r="AP24" s="16">
        <f t="shared" si="3"/>
        <v>1.4331693910024592</v>
      </c>
      <c r="AQ24" s="16">
        <f t="shared" si="3"/>
        <v>1.4354578118594612</v>
      </c>
      <c r="AR24" s="17">
        <f t="shared" si="3"/>
        <v>1.4379362817323253</v>
      </c>
    </row>
    <row r="25" spans="2:44" ht="15" customHeight="1">
      <c r="B25" s="93"/>
      <c r="C25" s="96"/>
      <c r="D25" s="5">
        <v>0.5</v>
      </c>
      <c r="E25" s="27">
        <v>24454</v>
      </c>
      <c r="F25" s="28">
        <v>34625</v>
      </c>
      <c r="G25" s="28">
        <v>34940</v>
      </c>
      <c r="H25" s="28">
        <v>34758</v>
      </c>
      <c r="I25" s="28">
        <v>34582</v>
      </c>
      <c r="J25" s="28">
        <v>34631</v>
      </c>
      <c r="K25" s="28">
        <v>34646</v>
      </c>
      <c r="L25" s="28">
        <v>34662</v>
      </c>
      <c r="M25" s="29">
        <v>34655</v>
      </c>
      <c r="N25" s="27">
        <v>26589</v>
      </c>
      <c r="O25" s="28">
        <v>41129</v>
      </c>
      <c r="P25" s="28">
        <v>50790</v>
      </c>
      <c r="Q25" s="28">
        <v>50577</v>
      </c>
      <c r="R25" s="28">
        <v>50496</v>
      </c>
      <c r="S25" s="28">
        <v>50385</v>
      </c>
      <c r="T25" s="28">
        <v>50563</v>
      </c>
      <c r="U25" s="28">
        <v>50528</v>
      </c>
      <c r="V25" s="29">
        <v>50520</v>
      </c>
      <c r="X25" s="93"/>
      <c r="Y25" s="96"/>
      <c r="Z25" s="5">
        <v>0.5</v>
      </c>
      <c r="AA25" s="18">
        <f t="shared" si="2"/>
        <v>1.5230637114582481</v>
      </c>
      <c r="AB25" s="12">
        <f t="shared" si="2"/>
        <v>1.5791191335740071</v>
      </c>
      <c r="AC25" s="12">
        <f t="shared" si="2"/>
        <v>1.8137378362907841</v>
      </c>
      <c r="AD25" s="12">
        <f t="shared" si="3"/>
        <v>1.8203579032165258</v>
      </c>
      <c r="AE25" s="12">
        <f t="shared" si="3"/>
        <v>1.8297669307732347</v>
      </c>
      <c r="AF25" s="12">
        <f t="shared" si="3"/>
        <v>1.8277554791949409</v>
      </c>
      <c r="AG25" s="12">
        <f t="shared" si="3"/>
        <v>1.9436875829821625</v>
      </c>
      <c r="AH25" s="12">
        <f t="shared" si="3"/>
        <v>1.9431654261150539</v>
      </c>
      <c r="AI25" s="19">
        <f t="shared" si="3"/>
        <v>1.9445678834223057</v>
      </c>
      <c r="AJ25" s="18">
        <f t="shared" si="3"/>
        <v>1.4694422505547406</v>
      </c>
      <c r="AK25" s="12">
        <f t="shared" si="3"/>
        <v>1.4898490116462837</v>
      </c>
      <c r="AL25" s="12">
        <f t="shared" si="3"/>
        <v>1.6132900177200236</v>
      </c>
      <c r="AM25" s="12">
        <f t="shared" si="3"/>
        <v>1.5960614508571089</v>
      </c>
      <c r="AN25" s="12">
        <f t="shared" si="3"/>
        <v>1.5960670152091254</v>
      </c>
      <c r="AO25" s="12">
        <f t="shared" si="3"/>
        <v>1.6010519003671728</v>
      </c>
      <c r="AP25" s="12">
        <f t="shared" si="3"/>
        <v>1.7198544390166723</v>
      </c>
      <c r="AQ25" s="12">
        <f t="shared" si="3"/>
        <v>1.7213228309056365</v>
      </c>
      <c r="AR25" s="19">
        <f t="shared" si="3"/>
        <v>1.7227038796516232</v>
      </c>
    </row>
    <row r="26" spans="2:44" ht="15" customHeight="1">
      <c r="B26" s="93"/>
      <c r="C26" s="96"/>
      <c r="D26" s="5">
        <v>0.75</v>
      </c>
      <c r="E26" s="27">
        <v>40130</v>
      </c>
      <c r="F26" s="28">
        <v>40292</v>
      </c>
      <c r="G26" s="28">
        <v>40374</v>
      </c>
      <c r="H26" s="28">
        <v>40522</v>
      </c>
      <c r="I26" s="28">
        <v>40654</v>
      </c>
      <c r="J26" s="28">
        <v>40725</v>
      </c>
      <c r="K26" s="28">
        <v>40824</v>
      </c>
      <c r="L26" s="28">
        <v>40738</v>
      </c>
      <c r="M26" s="29">
        <v>40727</v>
      </c>
      <c r="N26" s="27">
        <v>49433</v>
      </c>
      <c r="O26" s="28">
        <v>54005</v>
      </c>
      <c r="P26" s="28">
        <v>54303</v>
      </c>
      <c r="Q26" s="28">
        <v>54207</v>
      </c>
      <c r="R26" s="28">
        <v>54197</v>
      </c>
      <c r="S26" s="28">
        <v>54196</v>
      </c>
      <c r="T26" s="28">
        <v>54217</v>
      </c>
      <c r="U26" s="28">
        <v>54217</v>
      </c>
      <c r="V26" s="29">
        <v>54215</v>
      </c>
      <c r="X26" s="93"/>
      <c r="Y26" s="96"/>
      <c r="Z26" s="5">
        <v>0.75</v>
      </c>
      <c r="AA26" s="18">
        <f t="shared" si="2"/>
        <v>1.7216297034637429</v>
      </c>
      <c r="AB26" s="12">
        <f t="shared" si="2"/>
        <v>1.9322446143154968</v>
      </c>
      <c r="AC26" s="12">
        <f t="shared" si="2"/>
        <v>1.9288898796255016</v>
      </c>
      <c r="AD26" s="12">
        <f t="shared" si="3"/>
        <v>1.9231281772864124</v>
      </c>
      <c r="AE26" s="12">
        <f t="shared" si="3"/>
        <v>1.9164657844246569</v>
      </c>
      <c r="AF26" s="12">
        <f t="shared" si="3"/>
        <v>1.9133947206875384</v>
      </c>
      <c r="AG26" s="12">
        <f t="shared" si="3"/>
        <v>1.9367773858514599</v>
      </c>
      <c r="AH26" s="12">
        <f t="shared" si="3"/>
        <v>1.94059600373116</v>
      </c>
      <c r="AI26" s="19">
        <f t="shared" si="3"/>
        <v>1.941807646033344</v>
      </c>
      <c r="AJ26" s="18">
        <f t="shared" si="3"/>
        <v>1.4735095988509701</v>
      </c>
      <c r="AK26" s="12">
        <f t="shared" si="3"/>
        <v>1.7714100546245719</v>
      </c>
      <c r="AL26" s="12">
        <f t="shared" si="3"/>
        <v>1.7568274312653076</v>
      </c>
      <c r="AM26" s="12">
        <f t="shared" si="3"/>
        <v>1.7595513494567123</v>
      </c>
      <c r="AN26" s="12">
        <f t="shared" si="3"/>
        <v>1.7599867151318338</v>
      </c>
      <c r="AO26" s="12">
        <f t="shared" si="3"/>
        <v>1.7596686102295371</v>
      </c>
      <c r="AP26" s="12">
        <f t="shared" si="3"/>
        <v>1.80231292767951</v>
      </c>
      <c r="AQ26" s="12">
        <f t="shared" si="3"/>
        <v>1.8011878193186639</v>
      </c>
      <c r="AR26" s="19">
        <f t="shared" si="3"/>
        <v>1.8026929816471455</v>
      </c>
    </row>
    <row r="27" spans="2:44" ht="15" customHeight="1" thickBot="1">
      <c r="B27" s="94"/>
      <c r="C27" s="97"/>
      <c r="D27" s="6">
        <v>1</v>
      </c>
      <c r="E27" s="30">
        <v>42051</v>
      </c>
      <c r="F27" s="31">
        <v>42178</v>
      </c>
      <c r="G27" s="31">
        <v>42166</v>
      </c>
      <c r="H27" s="31">
        <v>42157</v>
      </c>
      <c r="I27" s="31">
        <v>42170</v>
      </c>
      <c r="J27" s="31">
        <v>42159</v>
      </c>
      <c r="K27" s="31">
        <v>42156</v>
      </c>
      <c r="L27" s="31">
        <v>42165</v>
      </c>
      <c r="M27" s="32">
        <v>42072</v>
      </c>
      <c r="N27" s="30">
        <v>54089</v>
      </c>
      <c r="O27" s="31">
        <v>54237</v>
      </c>
      <c r="P27" s="31">
        <v>54162</v>
      </c>
      <c r="Q27" s="31">
        <v>54260</v>
      </c>
      <c r="R27" s="31">
        <v>54361</v>
      </c>
      <c r="S27" s="31">
        <v>54205</v>
      </c>
      <c r="T27" s="31">
        <v>54112</v>
      </c>
      <c r="U27" s="31">
        <v>54220</v>
      </c>
      <c r="V27" s="32">
        <v>54158</v>
      </c>
      <c r="X27" s="94"/>
      <c r="Y27" s="97"/>
      <c r="Z27" s="6">
        <v>1</v>
      </c>
      <c r="AA27" s="20">
        <f t="shared" si="2"/>
        <v>2.0976908991462748</v>
      </c>
      <c r="AB27" s="21">
        <f t="shared" si="2"/>
        <v>2.0914220683768789</v>
      </c>
      <c r="AC27" s="21">
        <f t="shared" si="2"/>
        <v>2.0920172650951003</v>
      </c>
      <c r="AD27" s="21">
        <f t="shared" si="3"/>
        <v>2.0923690015892973</v>
      </c>
      <c r="AE27" s="21">
        <f t="shared" si="3"/>
        <v>2.0917951150106711</v>
      </c>
      <c r="AF27" s="21">
        <f t="shared" si="3"/>
        <v>2.0923646196541665</v>
      </c>
      <c r="AG27" s="21">
        <f t="shared" si="3"/>
        <v>2.0924897997912515</v>
      </c>
      <c r="AH27" s="21">
        <f t="shared" si="3"/>
        <v>2.0920431637614136</v>
      </c>
      <c r="AI27" s="22">
        <f t="shared" si="3"/>
        <v>2.0966438486404257</v>
      </c>
      <c r="AJ27" s="20">
        <f t="shared" si="3"/>
        <v>2.0146055575070716</v>
      </c>
      <c r="AK27" s="21">
        <f t="shared" si="3"/>
        <v>2.0098825525010602</v>
      </c>
      <c r="AL27" s="21">
        <f t="shared" si="3"/>
        <v>2.012868801004394</v>
      </c>
      <c r="AM27" s="21">
        <f t="shared" si="3"/>
        <v>2.0072060449686693</v>
      </c>
      <c r="AN27" s="21">
        <f t="shared" si="3"/>
        <v>2.0043781387391695</v>
      </c>
      <c r="AO27" s="21">
        <f t="shared" si="3"/>
        <v>2.0119546167327735</v>
      </c>
      <c r="AP27" s="21">
        <f t="shared" si="3"/>
        <v>2.0121784447072737</v>
      </c>
      <c r="AQ27" s="21">
        <f t="shared" si="3"/>
        <v>2.0112320177056437</v>
      </c>
      <c r="AR27" s="22">
        <f t="shared" si="3"/>
        <v>2.0121127072639315</v>
      </c>
    </row>
    <row r="28" spans="2:44" ht="15" customHeight="1" thickBo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2:44" ht="15" customHeight="1" thickBot="1">
      <c r="B29" s="112" t="s">
        <v>73</v>
      </c>
      <c r="C29" s="113"/>
      <c r="D29" s="113"/>
      <c r="E29" s="83" t="s">
        <v>14</v>
      </c>
      <c r="F29" s="84"/>
      <c r="G29" s="84"/>
      <c r="H29" s="84"/>
      <c r="I29" s="84"/>
      <c r="J29" s="84"/>
      <c r="K29" s="84"/>
      <c r="L29" s="84"/>
      <c r="M29" s="85"/>
      <c r="N29" s="83" t="s">
        <v>24</v>
      </c>
      <c r="O29" s="84"/>
      <c r="P29" s="84"/>
      <c r="Q29" s="84"/>
      <c r="R29" s="84"/>
      <c r="S29" s="84"/>
      <c r="T29" s="84"/>
      <c r="U29" s="84"/>
      <c r="V29" s="85"/>
      <c r="X29" s="13" t="s">
        <v>20</v>
      </c>
      <c r="Y29" s="14">
        <f>(COUNTIF(AA4:AR11,"&lt;1.1")+COUNTIF(AA16:AR23,"&lt;1.1"))/(COUNT(AA4:AR11)+COUNT(AA16:AR23))</f>
        <v>0.98958333333333337</v>
      </c>
      <c r="Z29" s="109" t="s">
        <v>19</v>
      </c>
      <c r="AA29" s="110"/>
      <c r="AB29" s="110"/>
      <c r="AC29" s="110"/>
      <c r="AD29" s="111"/>
    </row>
    <row r="30" spans="2:44" ht="18" thickBot="1">
      <c r="B30" s="114"/>
      <c r="C30" s="115"/>
      <c r="D30" s="115"/>
      <c r="E30" s="1" t="s">
        <v>0</v>
      </c>
      <c r="F30" s="2" t="s">
        <v>1</v>
      </c>
      <c r="G30" s="2" t="s">
        <v>2</v>
      </c>
      <c r="H30" s="2" t="s">
        <v>3</v>
      </c>
      <c r="I30" s="2" t="s">
        <v>4</v>
      </c>
      <c r="J30" s="2" t="s">
        <v>18</v>
      </c>
      <c r="K30" s="2" t="s">
        <v>16</v>
      </c>
      <c r="L30" s="2" t="s">
        <v>23</v>
      </c>
      <c r="M30" s="3" t="s">
        <v>17</v>
      </c>
      <c r="N30" s="1" t="s">
        <v>0</v>
      </c>
      <c r="O30" s="2" t="s">
        <v>1</v>
      </c>
      <c r="P30" s="2" t="s">
        <v>2</v>
      </c>
      <c r="Q30" s="2" t="s">
        <v>3</v>
      </c>
      <c r="R30" s="2" t="s">
        <v>4</v>
      </c>
      <c r="S30" s="2" t="s">
        <v>18</v>
      </c>
      <c r="T30" s="2" t="s">
        <v>16</v>
      </c>
      <c r="U30" s="2" t="s">
        <v>23</v>
      </c>
      <c r="V30" s="3" t="s">
        <v>17</v>
      </c>
      <c r="X30" s="13" t="s">
        <v>21</v>
      </c>
      <c r="Y30" s="23">
        <f>(COUNTIF(AA4:AR11,"&lt;1.1"))/(COUNT(AA4:AR11))</f>
        <v>0.98611111111111116</v>
      </c>
      <c r="Z30" s="109" t="s">
        <v>19</v>
      </c>
      <c r="AA30" s="110"/>
      <c r="AB30" s="110"/>
      <c r="AC30" s="110"/>
      <c r="AD30" s="111"/>
    </row>
    <row r="31" spans="2:44" ht="15" customHeight="1" thickBot="1">
      <c r="B31" s="92" t="s">
        <v>5</v>
      </c>
      <c r="C31" s="98" t="s">
        <v>6</v>
      </c>
      <c r="D31" s="4">
        <v>0.25</v>
      </c>
      <c r="E31" s="36">
        <v>382</v>
      </c>
      <c r="F31" s="37">
        <v>414</v>
      </c>
      <c r="G31" s="37">
        <v>430</v>
      </c>
      <c r="H31" s="37">
        <v>438</v>
      </c>
      <c r="I31" s="37">
        <v>438</v>
      </c>
      <c r="J31" s="37">
        <v>438</v>
      </c>
      <c r="K31" s="37">
        <v>1688</v>
      </c>
      <c r="L31" s="37">
        <v>8096</v>
      </c>
      <c r="M31" s="38">
        <v>22912</v>
      </c>
      <c r="N31" s="36">
        <v>490</v>
      </c>
      <c r="O31" s="37">
        <v>564</v>
      </c>
      <c r="P31" s="37">
        <v>604</v>
      </c>
      <c r="Q31" s="37">
        <v>660</v>
      </c>
      <c r="R31" s="37">
        <v>700</v>
      </c>
      <c r="S31" s="37">
        <v>740</v>
      </c>
      <c r="T31" s="37">
        <v>2064</v>
      </c>
      <c r="U31" s="37">
        <v>6944</v>
      </c>
      <c r="V31" s="38">
        <v>18560</v>
      </c>
      <c r="X31" s="13" t="s">
        <v>22</v>
      </c>
      <c r="Y31" s="23">
        <f>COUNTIF(AA16:AR23,"&lt;1.1")/+COUNT(AA16:AR23)</f>
        <v>0.99305555555555558</v>
      </c>
      <c r="Z31" s="109" t="s">
        <v>19</v>
      </c>
      <c r="AA31" s="110"/>
      <c r="AB31" s="110"/>
      <c r="AC31" s="110"/>
      <c r="AD31" s="111"/>
    </row>
    <row r="32" spans="2:44" ht="15" customHeight="1">
      <c r="B32" s="93"/>
      <c r="C32" s="96"/>
      <c r="D32" s="5">
        <v>0.5</v>
      </c>
      <c r="E32" s="39">
        <v>310</v>
      </c>
      <c r="F32" s="40">
        <v>378</v>
      </c>
      <c r="G32" s="40">
        <v>438</v>
      </c>
      <c r="H32" s="40">
        <v>446</v>
      </c>
      <c r="I32" s="40">
        <v>450</v>
      </c>
      <c r="J32" s="40">
        <v>454</v>
      </c>
      <c r="K32" s="40">
        <v>1752</v>
      </c>
      <c r="L32" s="40">
        <v>6688</v>
      </c>
      <c r="M32" s="41">
        <v>18048</v>
      </c>
      <c r="N32" s="39">
        <v>366</v>
      </c>
      <c r="O32" s="40">
        <v>466</v>
      </c>
      <c r="P32" s="40">
        <v>572</v>
      </c>
      <c r="Q32" s="40">
        <v>748</v>
      </c>
      <c r="R32" s="40">
        <v>1020</v>
      </c>
      <c r="S32" s="40">
        <v>1480</v>
      </c>
      <c r="T32" s="40">
        <v>3696</v>
      </c>
      <c r="U32" s="40">
        <v>6496</v>
      </c>
      <c r="V32" s="41">
        <v>15424</v>
      </c>
    </row>
    <row r="33" spans="2:31" ht="15" customHeight="1">
      <c r="B33" s="93"/>
      <c r="C33" s="96"/>
      <c r="D33" s="5">
        <v>0.75</v>
      </c>
      <c r="E33" s="39">
        <v>258</v>
      </c>
      <c r="F33" s="40">
        <v>314</v>
      </c>
      <c r="G33" s="40">
        <v>398</v>
      </c>
      <c r="H33" s="40">
        <v>532</v>
      </c>
      <c r="I33" s="40">
        <v>796</v>
      </c>
      <c r="J33" s="40">
        <v>1304</v>
      </c>
      <c r="K33" s="40">
        <v>2320</v>
      </c>
      <c r="L33" s="40">
        <v>6560</v>
      </c>
      <c r="M33" s="41">
        <v>15040</v>
      </c>
      <c r="N33" s="39">
        <v>270</v>
      </c>
      <c r="O33" s="40">
        <v>346</v>
      </c>
      <c r="P33" s="40">
        <v>446</v>
      </c>
      <c r="Q33" s="40">
        <v>588</v>
      </c>
      <c r="R33" s="40">
        <v>844</v>
      </c>
      <c r="S33" s="40">
        <v>1288</v>
      </c>
      <c r="T33" s="40">
        <v>2096</v>
      </c>
      <c r="U33" s="40">
        <v>5024</v>
      </c>
      <c r="V33" s="41">
        <v>12480</v>
      </c>
    </row>
    <row r="34" spans="2:31" ht="15" customHeight="1" thickBot="1">
      <c r="B34" s="93"/>
      <c r="C34" s="97"/>
      <c r="D34" s="6">
        <v>1</v>
      </c>
      <c r="E34" s="42">
        <v>106</v>
      </c>
      <c r="F34" s="43">
        <v>120</v>
      </c>
      <c r="G34" s="43">
        <v>157</v>
      </c>
      <c r="H34" s="43">
        <v>241</v>
      </c>
      <c r="I34" s="43">
        <v>442</v>
      </c>
      <c r="J34" s="43">
        <v>892</v>
      </c>
      <c r="K34" s="43">
        <v>1704</v>
      </c>
      <c r="L34" s="43">
        <v>2864</v>
      </c>
      <c r="M34" s="44">
        <v>6496</v>
      </c>
      <c r="N34" s="42">
        <v>97</v>
      </c>
      <c r="O34" s="43">
        <v>108</v>
      </c>
      <c r="P34" s="43">
        <v>125</v>
      </c>
      <c r="Q34" s="43">
        <v>165</v>
      </c>
      <c r="R34" s="43">
        <v>258</v>
      </c>
      <c r="S34" s="43">
        <v>486</v>
      </c>
      <c r="T34" s="43">
        <v>908</v>
      </c>
      <c r="U34" s="43">
        <v>1752</v>
      </c>
      <c r="V34" s="44">
        <v>4016</v>
      </c>
    </row>
    <row r="35" spans="2:31" ht="15" customHeight="1">
      <c r="B35" s="93"/>
      <c r="C35" s="98" t="s">
        <v>7</v>
      </c>
      <c r="D35" s="4">
        <v>0.25</v>
      </c>
      <c r="E35" s="36">
        <v>884</v>
      </c>
      <c r="F35" s="37">
        <v>924</v>
      </c>
      <c r="G35" s="37">
        <v>964</v>
      </c>
      <c r="H35" s="37">
        <v>972</v>
      </c>
      <c r="I35" s="37">
        <v>972</v>
      </c>
      <c r="J35" s="37">
        <v>972</v>
      </c>
      <c r="K35" s="37">
        <v>1960</v>
      </c>
      <c r="L35" s="37">
        <v>10432</v>
      </c>
      <c r="M35" s="38">
        <v>29824</v>
      </c>
      <c r="N35" s="36">
        <v>892</v>
      </c>
      <c r="O35" s="37">
        <v>956</v>
      </c>
      <c r="P35" s="37">
        <v>1020</v>
      </c>
      <c r="Q35" s="37">
        <v>1096</v>
      </c>
      <c r="R35" s="37">
        <v>1192</v>
      </c>
      <c r="S35" s="37">
        <v>1496</v>
      </c>
      <c r="T35" s="37">
        <v>3184</v>
      </c>
      <c r="U35" s="37">
        <v>9408</v>
      </c>
      <c r="V35" s="38">
        <v>26240</v>
      </c>
    </row>
    <row r="36" spans="2:31" ht="15" customHeight="1">
      <c r="B36" s="93"/>
      <c r="C36" s="96"/>
      <c r="D36" s="5">
        <v>0.5</v>
      </c>
      <c r="E36" s="39">
        <v>844</v>
      </c>
      <c r="F36" s="40">
        <v>884</v>
      </c>
      <c r="G36" s="40">
        <v>932</v>
      </c>
      <c r="H36" s="40">
        <v>1048</v>
      </c>
      <c r="I36" s="40">
        <v>1176</v>
      </c>
      <c r="J36" s="40">
        <v>1224</v>
      </c>
      <c r="K36" s="40">
        <v>2160</v>
      </c>
      <c r="L36" s="40">
        <v>8896</v>
      </c>
      <c r="M36" s="41">
        <v>23680</v>
      </c>
      <c r="N36" s="39">
        <v>804</v>
      </c>
      <c r="O36" s="40">
        <v>884</v>
      </c>
      <c r="P36" s="40">
        <v>972</v>
      </c>
      <c r="Q36" s="40">
        <v>1192</v>
      </c>
      <c r="R36" s="40">
        <v>1496</v>
      </c>
      <c r="S36" s="40">
        <v>2064</v>
      </c>
      <c r="T36" s="40">
        <v>4640</v>
      </c>
      <c r="U36" s="40">
        <v>8640</v>
      </c>
      <c r="V36" s="41">
        <v>19840</v>
      </c>
    </row>
    <row r="37" spans="2:31" ht="15" customHeight="1">
      <c r="B37" s="93"/>
      <c r="C37" s="96"/>
      <c r="D37" s="5">
        <v>0.75</v>
      </c>
      <c r="E37" s="39">
        <v>548</v>
      </c>
      <c r="F37" s="40">
        <v>724</v>
      </c>
      <c r="G37" s="40">
        <v>876</v>
      </c>
      <c r="H37" s="40">
        <v>972</v>
      </c>
      <c r="I37" s="40">
        <v>1352</v>
      </c>
      <c r="J37" s="40">
        <v>2128</v>
      </c>
      <c r="K37" s="40">
        <v>3088</v>
      </c>
      <c r="L37" s="40">
        <v>8096</v>
      </c>
      <c r="M37" s="41">
        <v>20096</v>
      </c>
      <c r="N37" s="39">
        <v>740</v>
      </c>
      <c r="O37" s="40">
        <v>772</v>
      </c>
      <c r="P37" s="40">
        <v>876</v>
      </c>
      <c r="Q37" s="40">
        <v>1064</v>
      </c>
      <c r="R37" s="40">
        <v>1384</v>
      </c>
      <c r="S37" s="40">
        <v>1848</v>
      </c>
      <c r="T37" s="40">
        <v>2704</v>
      </c>
      <c r="U37" s="40">
        <v>6368</v>
      </c>
      <c r="V37" s="41">
        <v>16512</v>
      </c>
    </row>
    <row r="38" spans="2:31" ht="15" customHeight="1" thickBot="1">
      <c r="B38" s="93"/>
      <c r="C38" s="97"/>
      <c r="D38" s="6">
        <v>1</v>
      </c>
      <c r="E38" s="42">
        <v>153</v>
      </c>
      <c r="F38" s="43">
        <v>191</v>
      </c>
      <c r="G38" s="43">
        <v>266</v>
      </c>
      <c r="H38" s="43">
        <v>430</v>
      </c>
      <c r="I38" s="43">
        <v>804</v>
      </c>
      <c r="J38" s="43">
        <v>1624</v>
      </c>
      <c r="K38" s="46">
        <v>2992</v>
      </c>
      <c r="L38" s="43">
        <v>4320</v>
      </c>
      <c r="M38" s="44">
        <v>8032</v>
      </c>
      <c r="N38" s="42">
        <v>139</v>
      </c>
      <c r="O38" s="43">
        <v>161</v>
      </c>
      <c r="P38" s="43">
        <v>203</v>
      </c>
      <c r="Q38" s="43">
        <v>286</v>
      </c>
      <c r="R38" s="43">
        <v>478</v>
      </c>
      <c r="S38" s="43">
        <v>908</v>
      </c>
      <c r="T38" s="46">
        <v>1656</v>
      </c>
      <c r="U38" s="43">
        <v>2576</v>
      </c>
      <c r="V38" s="44">
        <v>4896</v>
      </c>
    </row>
    <row r="39" spans="2:31" ht="15" customHeight="1">
      <c r="B39" s="93"/>
      <c r="C39" s="98" t="s">
        <v>8</v>
      </c>
      <c r="D39" s="4">
        <v>0.25</v>
      </c>
      <c r="E39" s="36">
        <v>23031</v>
      </c>
      <c r="F39" s="37">
        <v>25962</v>
      </c>
      <c r="G39" s="37">
        <v>25960</v>
      </c>
      <c r="H39" s="37">
        <v>25970</v>
      </c>
      <c r="I39" s="37">
        <v>25966</v>
      </c>
      <c r="J39" s="37">
        <v>25972</v>
      </c>
      <c r="K39" s="37">
        <v>26359</v>
      </c>
      <c r="L39" s="37">
        <v>26356</v>
      </c>
      <c r="M39" s="38">
        <v>26348</v>
      </c>
      <c r="N39" s="36">
        <v>24295</v>
      </c>
      <c r="O39" s="37">
        <v>31891</v>
      </c>
      <c r="P39" s="37">
        <v>31820</v>
      </c>
      <c r="Q39" s="37">
        <v>31786</v>
      </c>
      <c r="R39" s="37">
        <v>31790</v>
      </c>
      <c r="S39" s="37">
        <v>31795</v>
      </c>
      <c r="T39" s="37">
        <v>32574</v>
      </c>
      <c r="U39" s="37">
        <v>32540</v>
      </c>
      <c r="V39" s="38">
        <v>32583</v>
      </c>
    </row>
    <row r="40" spans="2:31" ht="15" customHeight="1">
      <c r="B40" s="93"/>
      <c r="C40" s="96"/>
      <c r="D40" s="5">
        <v>0.5</v>
      </c>
      <c r="E40" s="39">
        <v>37247</v>
      </c>
      <c r="F40" s="40">
        <v>54671</v>
      </c>
      <c r="G40" s="40">
        <v>63402</v>
      </c>
      <c r="H40" s="40">
        <v>63265</v>
      </c>
      <c r="I40" s="40">
        <v>63256</v>
      </c>
      <c r="J40" s="40">
        <v>63315</v>
      </c>
      <c r="K40" s="40">
        <v>67325</v>
      </c>
      <c r="L40" s="40">
        <v>67380</v>
      </c>
      <c r="M40" s="41">
        <v>67406</v>
      </c>
      <c r="N40" s="39">
        <v>39077</v>
      </c>
      <c r="O40" s="40">
        <v>61311</v>
      </c>
      <c r="P40" s="40">
        <v>81924</v>
      </c>
      <c r="Q40" s="40">
        <v>80685</v>
      </c>
      <c r="R40" s="40">
        <v>80614</v>
      </c>
      <c r="S40" s="40">
        <v>80669</v>
      </c>
      <c r="T40" s="40">
        <v>86957</v>
      </c>
      <c r="U40" s="40">
        <v>86973</v>
      </c>
      <c r="V40" s="41">
        <v>87042</v>
      </c>
    </row>
    <row r="41" spans="2:31" ht="15" customHeight="1">
      <c r="B41" s="93"/>
      <c r="C41" s="96"/>
      <c r="D41" s="5">
        <v>0.75</v>
      </c>
      <c r="E41" s="39">
        <v>48637</v>
      </c>
      <c r="F41" s="40">
        <v>81845</v>
      </c>
      <c r="G41" s="40">
        <v>114851</v>
      </c>
      <c r="H41" s="40">
        <v>131312</v>
      </c>
      <c r="I41" s="40">
        <v>131096</v>
      </c>
      <c r="J41" s="40">
        <v>131183</v>
      </c>
      <c r="K41" s="40">
        <v>131074</v>
      </c>
      <c r="L41" s="40">
        <v>131120</v>
      </c>
      <c r="M41" s="41">
        <v>131208</v>
      </c>
      <c r="N41" s="39">
        <v>49925</v>
      </c>
      <c r="O41" s="40">
        <v>88081</v>
      </c>
      <c r="P41" s="40">
        <v>137081</v>
      </c>
      <c r="Q41" s="40">
        <v>176215</v>
      </c>
      <c r="R41" s="40">
        <v>178587</v>
      </c>
      <c r="S41" s="40">
        <v>178590</v>
      </c>
      <c r="T41" s="40">
        <v>178265</v>
      </c>
      <c r="U41" s="40">
        <v>178556</v>
      </c>
      <c r="V41" s="41">
        <v>178624</v>
      </c>
    </row>
    <row r="42" spans="2:31" ht="15" customHeight="1" thickBot="1">
      <c r="B42" s="94"/>
      <c r="C42" s="97"/>
      <c r="D42" s="6">
        <v>1</v>
      </c>
      <c r="E42" s="42">
        <v>60789</v>
      </c>
      <c r="F42" s="43">
        <v>115724</v>
      </c>
      <c r="G42" s="43">
        <v>209302</v>
      </c>
      <c r="H42" s="43">
        <v>339038</v>
      </c>
      <c r="I42" s="43">
        <v>461361</v>
      </c>
      <c r="J42" s="43">
        <v>537158</v>
      </c>
      <c r="K42" s="43">
        <v>571027</v>
      </c>
      <c r="L42" s="43">
        <v>571181</v>
      </c>
      <c r="M42" s="44">
        <v>571060</v>
      </c>
      <c r="N42" s="42">
        <v>61856</v>
      </c>
      <c r="O42" s="43">
        <v>120135</v>
      </c>
      <c r="P42" s="43">
        <v>226811</v>
      </c>
      <c r="Q42" s="43">
        <v>401917</v>
      </c>
      <c r="R42" s="43">
        <v>628965</v>
      </c>
      <c r="S42" s="43">
        <v>821938</v>
      </c>
      <c r="T42" s="43">
        <v>851193</v>
      </c>
      <c r="U42" s="43">
        <v>851147</v>
      </c>
      <c r="V42" s="44">
        <v>851106</v>
      </c>
    </row>
    <row r="43" spans="2:31" ht="15" customHeight="1">
      <c r="B43" s="83" t="s">
        <v>9</v>
      </c>
      <c r="C43" s="98" t="s">
        <v>6</v>
      </c>
      <c r="D43" s="4">
        <v>0.25</v>
      </c>
      <c r="E43" s="36">
        <v>13</v>
      </c>
      <c r="F43" s="37">
        <v>14</v>
      </c>
      <c r="G43" s="37">
        <v>16</v>
      </c>
      <c r="H43" s="37">
        <v>99</v>
      </c>
      <c r="I43" s="37">
        <v>115</v>
      </c>
      <c r="J43" s="37">
        <v>108</v>
      </c>
      <c r="K43" s="37">
        <v>116</v>
      </c>
      <c r="L43" s="37">
        <v>4640</v>
      </c>
      <c r="M43" s="38">
        <v>13120</v>
      </c>
      <c r="N43" s="36">
        <v>13</v>
      </c>
      <c r="O43" s="37">
        <v>14</v>
      </c>
      <c r="P43" s="37">
        <v>16</v>
      </c>
      <c r="Q43" s="37">
        <v>18</v>
      </c>
      <c r="R43" s="37">
        <v>17</v>
      </c>
      <c r="S43" s="37">
        <v>17</v>
      </c>
      <c r="T43" s="37">
        <v>17</v>
      </c>
      <c r="U43" s="37">
        <v>3504</v>
      </c>
      <c r="V43" s="38">
        <v>10944</v>
      </c>
    </row>
    <row r="44" spans="2:31" ht="15" customHeight="1">
      <c r="B44" s="93"/>
      <c r="C44" s="96"/>
      <c r="D44" s="5">
        <v>0.5</v>
      </c>
      <c r="E44" s="39">
        <v>13</v>
      </c>
      <c r="F44" s="40">
        <v>15</v>
      </c>
      <c r="G44" s="40">
        <v>171</v>
      </c>
      <c r="H44" s="40">
        <v>486</v>
      </c>
      <c r="I44" s="40">
        <v>1096</v>
      </c>
      <c r="J44" s="40">
        <v>2288</v>
      </c>
      <c r="K44" s="40">
        <v>3664</v>
      </c>
      <c r="L44" s="40">
        <v>9280</v>
      </c>
      <c r="M44" s="41">
        <v>20608</v>
      </c>
      <c r="N44" s="39">
        <v>13</v>
      </c>
      <c r="O44" s="40">
        <v>15</v>
      </c>
      <c r="P44" s="40">
        <v>16</v>
      </c>
      <c r="Q44" s="40">
        <v>402</v>
      </c>
      <c r="R44" s="40">
        <v>892</v>
      </c>
      <c r="S44" s="40">
        <v>1864</v>
      </c>
      <c r="T44" s="40">
        <v>3376</v>
      </c>
      <c r="U44" s="40">
        <v>7072</v>
      </c>
      <c r="V44" s="41">
        <v>16064</v>
      </c>
    </row>
    <row r="45" spans="2:31" ht="15" customHeight="1">
      <c r="B45" s="93"/>
      <c r="C45" s="96"/>
      <c r="D45" s="5">
        <v>0.75</v>
      </c>
      <c r="E45" s="39">
        <v>13</v>
      </c>
      <c r="F45" s="40">
        <v>120</v>
      </c>
      <c r="G45" s="40">
        <v>243</v>
      </c>
      <c r="H45" s="40">
        <v>490</v>
      </c>
      <c r="I45" s="40">
        <v>980</v>
      </c>
      <c r="J45" s="40">
        <v>1960</v>
      </c>
      <c r="K45" s="40">
        <v>3824</v>
      </c>
      <c r="L45" s="40">
        <v>10688</v>
      </c>
      <c r="M45" s="41">
        <v>25728</v>
      </c>
      <c r="N45" s="39">
        <v>13</v>
      </c>
      <c r="O45" s="40">
        <v>106</v>
      </c>
      <c r="P45" s="40">
        <v>241</v>
      </c>
      <c r="Q45" s="40">
        <v>486</v>
      </c>
      <c r="R45" s="40">
        <v>964</v>
      </c>
      <c r="S45" s="40">
        <v>1960</v>
      </c>
      <c r="T45" s="40">
        <v>3856</v>
      </c>
      <c r="U45" s="40">
        <v>9024</v>
      </c>
      <c r="V45" s="41">
        <v>20864</v>
      </c>
      <c r="AE45" s="11" t="s">
        <v>64</v>
      </c>
    </row>
    <row r="46" spans="2:31" ht="15" customHeight="1" thickBot="1">
      <c r="B46" s="93"/>
      <c r="C46" s="97"/>
      <c r="D46" s="6">
        <v>1</v>
      </c>
      <c r="E46" s="42">
        <v>66</v>
      </c>
      <c r="F46" s="43">
        <v>101</v>
      </c>
      <c r="G46" s="43">
        <v>205</v>
      </c>
      <c r="H46" s="43">
        <v>374</v>
      </c>
      <c r="I46" s="43">
        <v>748</v>
      </c>
      <c r="J46" s="43">
        <v>1464</v>
      </c>
      <c r="K46" s="43">
        <v>2928</v>
      </c>
      <c r="L46" s="43">
        <v>8512</v>
      </c>
      <c r="M46" s="44">
        <v>19328</v>
      </c>
      <c r="N46" s="42">
        <v>60</v>
      </c>
      <c r="O46" s="43">
        <v>121</v>
      </c>
      <c r="P46" s="43">
        <v>243</v>
      </c>
      <c r="Q46" s="43">
        <v>490</v>
      </c>
      <c r="R46" s="43">
        <v>980</v>
      </c>
      <c r="S46" s="43">
        <v>1768</v>
      </c>
      <c r="T46" s="43">
        <v>3280</v>
      </c>
      <c r="U46" s="43">
        <v>5984</v>
      </c>
      <c r="V46" s="44">
        <v>11456</v>
      </c>
    </row>
    <row r="47" spans="2:31" ht="15" customHeight="1">
      <c r="B47" s="93"/>
      <c r="C47" s="98" t="s">
        <v>7</v>
      </c>
      <c r="D47" s="4">
        <v>0.25</v>
      </c>
      <c r="E47" s="36">
        <v>18</v>
      </c>
      <c r="F47" s="37">
        <v>19</v>
      </c>
      <c r="G47" s="37">
        <v>21</v>
      </c>
      <c r="H47" s="37">
        <v>183</v>
      </c>
      <c r="I47" s="37">
        <v>223</v>
      </c>
      <c r="J47" s="37">
        <v>211</v>
      </c>
      <c r="K47" s="37">
        <v>227</v>
      </c>
      <c r="L47" s="37">
        <v>6112</v>
      </c>
      <c r="M47" s="38">
        <v>18048</v>
      </c>
      <c r="N47" s="36">
        <v>25</v>
      </c>
      <c r="O47" s="37">
        <v>18</v>
      </c>
      <c r="P47" s="37">
        <v>21</v>
      </c>
      <c r="Q47" s="37">
        <v>25</v>
      </c>
      <c r="R47" s="37">
        <v>24</v>
      </c>
      <c r="S47" s="37">
        <v>25</v>
      </c>
      <c r="T47" s="37">
        <v>25</v>
      </c>
      <c r="U47" s="37">
        <v>4768</v>
      </c>
      <c r="V47" s="38">
        <v>14912</v>
      </c>
    </row>
    <row r="48" spans="2:31" ht="15" customHeight="1">
      <c r="B48" s="93"/>
      <c r="C48" s="96"/>
      <c r="D48" s="5">
        <v>0.5</v>
      </c>
      <c r="E48" s="39">
        <v>18</v>
      </c>
      <c r="F48" s="40">
        <v>19</v>
      </c>
      <c r="G48" s="40">
        <v>227</v>
      </c>
      <c r="H48" s="40">
        <v>612</v>
      </c>
      <c r="I48" s="40">
        <v>1304</v>
      </c>
      <c r="J48" s="40">
        <v>2672</v>
      </c>
      <c r="K48" s="40">
        <v>3856</v>
      </c>
      <c r="L48" s="40">
        <v>11200</v>
      </c>
      <c r="M48" s="41">
        <v>25984</v>
      </c>
      <c r="N48" s="39">
        <v>26</v>
      </c>
      <c r="O48" s="40">
        <v>19</v>
      </c>
      <c r="P48" s="40">
        <v>149</v>
      </c>
      <c r="Q48" s="40">
        <v>462</v>
      </c>
      <c r="R48" s="40">
        <v>956</v>
      </c>
      <c r="S48" s="40">
        <v>1928</v>
      </c>
      <c r="T48" s="40">
        <v>3856</v>
      </c>
      <c r="U48" s="40">
        <v>9408</v>
      </c>
      <c r="V48" s="41">
        <v>20864</v>
      </c>
    </row>
    <row r="49" spans="2:22" ht="15" customHeight="1">
      <c r="B49" s="93"/>
      <c r="C49" s="96"/>
      <c r="D49" s="5">
        <v>0.75</v>
      </c>
      <c r="E49" s="39">
        <v>18</v>
      </c>
      <c r="F49" s="40">
        <v>122</v>
      </c>
      <c r="G49" s="40">
        <v>247</v>
      </c>
      <c r="H49" s="40">
        <v>490</v>
      </c>
      <c r="I49" s="40">
        <v>980</v>
      </c>
      <c r="J49" s="40">
        <v>1976</v>
      </c>
      <c r="K49" s="40">
        <v>3888</v>
      </c>
      <c r="L49" s="40">
        <v>12992</v>
      </c>
      <c r="M49" s="41">
        <v>32384</v>
      </c>
      <c r="N49" s="39">
        <v>27</v>
      </c>
      <c r="O49" s="40">
        <v>122</v>
      </c>
      <c r="P49" s="40">
        <v>247</v>
      </c>
      <c r="Q49" s="40">
        <v>494</v>
      </c>
      <c r="R49" s="40">
        <v>980</v>
      </c>
      <c r="S49" s="40">
        <v>1976</v>
      </c>
      <c r="T49" s="40">
        <v>3920</v>
      </c>
      <c r="U49" s="40">
        <v>11712</v>
      </c>
      <c r="V49" s="41">
        <v>28544</v>
      </c>
    </row>
    <row r="50" spans="2:22" ht="15" customHeight="1" thickBot="1">
      <c r="B50" s="93"/>
      <c r="C50" s="97"/>
      <c r="D50" s="6">
        <v>1</v>
      </c>
      <c r="E50" s="42">
        <v>69</v>
      </c>
      <c r="F50" s="43">
        <v>104</v>
      </c>
      <c r="G50" s="43">
        <v>207</v>
      </c>
      <c r="H50" s="43">
        <v>470</v>
      </c>
      <c r="I50" s="43">
        <v>812</v>
      </c>
      <c r="J50" s="43">
        <v>1528</v>
      </c>
      <c r="K50" s="43">
        <v>3152</v>
      </c>
      <c r="L50" s="43">
        <v>9024</v>
      </c>
      <c r="M50" s="44">
        <v>24448</v>
      </c>
      <c r="N50" s="42">
        <v>60</v>
      </c>
      <c r="O50" s="43">
        <v>122</v>
      </c>
      <c r="P50" s="43">
        <v>245</v>
      </c>
      <c r="Q50" s="43">
        <v>490</v>
      </c>
      <c r="R50" s="43">
        <v>980</v>
      </c>
      <c r="S50" s="43">
        <v>1976</v>
      </c>
      <c r="T50" s="43">
        <v>3888</v>
      </c>
      <c r="U50" s="43">
        <v>7648</v>
      </c>
      <c r="V50" s="44">
        <v>16768</v>
      </c>
    </row>
    <row r="51" spans="2:22" ht="15" customHeight="1">
      <c r="B51" s="93"/>
      <c r="C51" s="98" t="s">
        <v>8</v>
      </c>
      <c r="D51" s="4">
        <v>0.25</v>
      </c>
      <c r="E51" s="24">
        <v>16211</v>
      </c>
      <c r="F51" s="25">
        <v>27275</v>
      </c>
      <c r="G51" s="25">
        <v>38282</v>
      </c>
      <c r="H51" s="25">
        <v>43778</v>
      </c>
      <c r="I51" s="25">
        <v>43699</v>
      </c>
      <c r="J51" s="25">
        <v>43724</v>
      </c>
      <c r="K51" s="25">
        <v>43696</v>
      </c>
      <c r="L51" s="25">
        <v>43700</v>
      </c>
      <c r="M51" s="26">
        <v>43725</v>
      </c>
      <c r="N51" s="24">
        <v>16642</v>
      </c>
      <c r="O51" s="25">
        <v>29377</v>
      </c>
      <c r="P51" s="25">
        <v>45693</v>
      </c>
      <c r="Q51" s="25">
        <v>58739</v>
      </c>
      <c r="R51" s="25">
        <v>59537</v>
      </c>
      <c r="S51" s="25">
        <v>59531</v>
      </c>
      <c r="T51" s="25">
        <v>59445</v>
      </c>
      <c r="U51" s="25">
        <v>59527</v>
      </c>
      <c r="V51" s="26">
        <v>59532</v>
      </c>
    </row>
    <row r="52" spans="2:22" ht="15" customHeight="1">
      <c r="B52" s="93"/>
      <c r="C52" s="96"/>
      <c r="D52" s="5">
        <v>0.5</v>
      </c>
      <c r="E52" s="27">
        <v>37245</v>
      </c>
      <c r="F52" s="28">
        <v>54677</v>
      </c>
      <c r="G52" s="28">
        <v>63372</v>
      </c>
      <c r="H52" s="28">
        <v>63272</v>
      </c>
      <c r="I52" s="28">
        <v>63277</v>
      </c>
      <c r="J52" s="28">
        <v>63297</v>
      </c>
      <c r="K52" s="28">
        <v>67341</v>
      </c>
      <c r="L52" s="28">
        <v>67354</v>
      </c>
      <c r="M52" s="29">
        <v>67389</v>
      </c>
      <c r="N52" s="27">
        <v>39071</v>
      </c>
      <c r="O52" s="28">
        <v>61276</v>
      </c>
      <c r="P52" s="28">
        <v>81939</v>
      </c>
      <c r="Q52" s="28">
        <v>80724</v>
      </c>
      <c r="R52" s="28">
        <v>80595</v>
      </c>
      <c r="S52" s="28">
        <v>80669</v>
      </c>
      <c r="T52" s="28">
        <v>86961</v>
      </c>
      <c r="U52" s="28">
        <v>86975</v>
      </c>
      <c r="V52" s="29">
        <v>87031</v>
      </c>
    </row>
    <row r="53" spans="2:22" ht="15" customHeight="1">
      <c r="B53" s="93"/>
      <c r="C53" s="96"/>
      <c r="D53" s="5">
        <v>0.75</v>
      </c>
      <c r="E53" s="27">
        <v>69089</v>
      </c>
      <c r="F53" s="28">
        <v>77854</v>
      </c>
      <c r="G53" s="28">
        <v>77877</v>
      </c>
      <c r="H53" s="28">
        <v>77929</v>
      </c>
      <c r="I53" s="28">
        <v>77912</v>
      </c>
      <c r="J53" s="28">
        <v>77923</v>
      </c>
      <c r="K53" s="28">
        <v>79067</v>
      </c>
      <c r="L53" s="28">
        <v>79056</v>
      </c>
      <c r="M53" s="29">
        <v>79084</v>
      </c>
      <c r="N53" s="27">
        <v>72840</v>
      </c>
      <c r="O53" s="28">
        <v>95665</v>
      </c>
      <c r="P53" s="28">
        <v>95401</v>
      </c>
      <c r="Q53" s="28">
        <v>95380</v>
      </c>
      <c r="R53" s="28">
        <v>95386</v>
      </c>
      <c r="S53" s="28">
        <v>95367</v>
      </c>
      <c r="T53" s="28">
        <v>97716</v>
      </c>
      <c r="U53" s="28">
        <v>97655</v>
      </c>
      <c r="V53" s="29">
        <v>97733</v>
      </c>
    </row>
    <row r="54" spans="2:22" ht="15" customHeight="1" thickBot="1">
      <c r="B54" s="94"/>
      <c r="C54" s="97"/>
      <c r="D54" s="6">
        <v>1</v>
      </c>
      <c r="E54" s="30">
        <v>88210</v>
      </c>
      <c r="F54" s="31">
        <v>88212</v>
      </c>
      <c r="G54" s="31">
        <v>88212</v>
      </c>
      <c r="H54" s="31">
        <v>88208</v>
      </c>
      <c r="I54" s="31">
        <v>88211</v>
      </c>
      <c r="J54" s="31">
        <v>88212</v>
      </c>
      <c r="K54" s="31">
        <v>88211</v>
      </c>
      <c r="L54" s="31">
        <v>88211</v>
      </c>
      <c r="M54" s="32">
        <v>88210</v>
      </c>
      <c r="N54" s="30">
        <v>108968</v>
      </c>
      <c r="O54" s="31">
        <v>109010</v>
      </c>
      <c r="P54" s="31">
        <v>109021</v>
      </c>
      <c r="Q54" s="31">
        <v>108911</v>
      </c>
      <c r="R54" s="31">
        <v>108960</v>
      </c>
      <c r="S54" s="31">
        <v>109058</v>
      </c>
      <c r="T54" s="31">
        <v>108883</v>
      </c>
      <c r="U54" s="31">
        <v>109049</v>
      </c>
      <c r="V54" s="32">
        <v>108972</v>
      </c>
    </row>
  </sheetData>
  <mergeCells count="36">
    <mergeCell ref="AJ2:AR2"/>
    <mergeCell ref="B2:D3"/>
    <mergeCell ref="E2:M2"/>
    <mergeCell ref="N2:V2"/>
    <mergeCell ref="X2:Z3"/>
    <mergeCell ref="AA2:AI2"/>
    <mergeCell ref="B4:B15"/>
    <mergeCell ref="C4:C7"/>
    <mergeCell ref="X4:X15"/>
    <mergeCell ref="Y4:Y7"/>
    <mergeCell ref="C8:C11"/>
    <mergeCell ref="Y8:Y11"/>
    <mergeCell ref="C12:C15"/>
    <mergeCell ref="Y12:Y15"/>
    <mergeCell ref="B16:B27"/>
    <mergeCell ref="C16:C19"/>
    <mergeCell ref="X16:X27"/>
    <mergeCell ref="Y16:Y19"/>
    <mergeCell ref="C20:C23"/>
    <mergeCell ref="Y20:Y23"/>
    <mergeCell ref="C24:C27"/>
    <mergeCell ref="Y24:Y27"/>
    <mergeCell ref="E29:M29"/>
    <mergeCell ref="N29:V29"/>
    <mergeCell ref="Z29:AD29"/>
    <mergeCell ref="Z30:AD30"/>
    <mergeCell ref="B31:B42"/>
    <mergeCell ref="C31:C34"/>
    <mergeCell ref="Z31:AD31"/>
    <mergeCell ref="C35:C38"/>
    <mergeCell ref="C39:C42"/>
    <mergeCell ref="B43:B54"/>
    <mergeCell ref="C43:C46"/>
    <mergeCell ref="C47:C50"/>
    <mergeCell ref="C51:C54"/>
    <mergeCell ref="B29:D30"/>
  </mergeCells>
  <phoneticPr fontId="1" type="noConversion"/>
  <conditionalFormatting sqref="Y29">
    <cfRule type="cellIs" dxfId="45" priority="16" operator="lessThan">
      <formula>0.8</formula>
    </cfRule>
  </conditionalFormatting>
  <conditionalFormatting sqref="Y30:Y31">
    <cfRule type="cellIs" dxfId="44" priority="15" operator="lessThan">
      <formula>0.8</formula>
    </cfRule>
  </conditionalFormatting>
  <conditionalFormatting sqref="T16:T23">
    <cfRule type="expression" dxfId="43" priority="13">
      <formula>AO16&gt;1.1</formula>
    </cfRule>
  </conditionalFormatting>
  <conditionalFormatting sqref="U16:V23 N16:S23 E16:J19 E23:J23 F22:J22 E21:J21 E20 G20:J20">
    <cfRule type="expression" dxfId="42" priority="14">
      <formula>AA16&gt;1.1</formula>
    </cfRule>
  </conditionalFormatting>
  <conditionalFormatting sqref="K16:K23">
    <cfRule type="expression" dxfId="41" priority="11">
      <formula>AF16&gt;1.1</formula>
    </cfRule>
  </conditionalFormatting>
  <conditionalFormatting sqref="L16:M23">
    <cfRule type="expression" dxfId="40" priority="12">
      <formula>AH16&gt;1.1</formula>
    </cfRule>
  </conditionalFormatting>
  <conditionalFormatting sqref="N31:V38 N43:V50 E43:M45 E50:M50 F49:M49 E48:M48 E46:E47 G46:M47">
    <cfRule type="expression" dxfId="39" priority="10">
      <formula>AA4&gt;1.1</formula>
    </cfRule>
  </conditionalFormatting>
  <conditionalFormatting sqref="E31:M38">
    <cfRule type="expression" dxfId="38" priority="9">
      <formula>AA4&gt;1.1</formula>
    </cfRule>
  </conditionalFormatting>
  <conditionalFormatting sqref="N4:V11">
    <cfRule type="expression" dxfId="37" priority="8">
      <formula>AJ4&gt;1.1</formula>
    </cfRule>
  </conditionalFormatting>
  <conditionalFormatting sqref="T4:T11">
    <cfRule type="expression" dxfId="36" priority="7">
      <formula>AO4&gt;1.1</formula>
    </cfRule>
  </conditionalFormatting>
  <conditionalFormatting sqref="E4:M11">
    <cfRule type="expression" dxfId="35" priority="6">
      <formula>AA4&gt;1.1</formula>
    </cfRule>
  </conditionalFormatting>
  <conditionalFormatting sqref="K4:K11">
    <cfRule type="expression" dxfId="34" priority="5">
      <formula>AF4&gt;1.1</formula>
    </cfRule>
  </conditionalFormatting>
  <conditionalFormatting sqref="AA4:AR11 AA17:AR19 AA16:AB16 AD16:AR16 AA21:AR23 AA20 AD20:AR20">
    <cfRule type="cellIs" dxfId="33" priority="3" operator="lessThan">
      <formula>0.9</formula>
    </cfRule>
    <cfRule type="cellIs" dxfId="32" priority="4" operator="greaterThan">
      <formula>1.1</formula>
    </cfRule>
  </conditionalFormatting>
  <conditionalFormatting sqref="AA12:AR15 AA24:AR27">
    <cfRule type="cellIs" dxfId="31" priority="1" operator="lessThan">
      <formula>0.95</formula>
    </cfRule>
    <cfRule type="cellIs" dxfId="30" priority="2" operator="greaterThan">
      <formula>1.05</formula>
    </cfRule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응기_issue</vt:lpstr>
      <vt:lpstr>QoS(Gen4)_N1103</vt:lpstr>
      <vt:lpstr>QoS(Gen4_4Thread)_N1103</vt:lpstr>
      <vt:lpstr>QoS_0702</vt:lpstr>
      <vt:lpstr>QoS(4Thread)_0702</vt:lpstr>
      <vt:lpstr>performance</vt:lpstr>
      <vt:lpstr>QoS_1203</vt:lpstr>
      <vt:lpstr>QoS(4Thread)_1203</vt:lpstr>
      <vt:lpstr>QoS_1116</vt:lpstr>
      <vt:lpstr>QoS(4Thread)_1116</vt:lpstr>
      <vt:lpstr>QoS_1211</vt:lpstr>
      <vt:lpstr>QoS(4Thread)_1211</vt:lpstr>
      <vt:lpstr>QoS_1229</vt:lpstr>
      <vt:lpstr>QoS(4Thread)_1229</vt:lpstr>
      <vt:lpstr>QoS_0527</vt:lpstr>
      <vt:lpstr>QoS(4Thread)_0527</vt:lpstr>
      <vt:lpstr>QoS_0202</vt:lpstr>
      <vt:lpstr>QoS(4Thread)_0202</vt:lpstr>
      <vt:lpstr>QoS_0112</vt:lpstr>
      <vt:lpstr>QoS(4Thread)_0112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Eunjung Kwon</cp:lastModifiedBy>
  <dcterms:created xsi:type="dcterms:W3CDTF">2018-03-13T00:16:05Z</dcterms:created>
  <dcterms:modified xsi:type="dcterms:W3CDTF">2025-08-08T03:20:34Z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