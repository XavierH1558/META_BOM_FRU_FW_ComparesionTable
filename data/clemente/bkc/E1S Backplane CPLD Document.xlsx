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nvidia.sharepoint.com/sites/MGX-Ecosystem/Shared Documents/GB200 CPLD/Source Code/"/>
    </mc:Choice>
  </mc:AlternateContent>
  <xr:revisionPtr revIDLastSave="0" documentId="8_{844B4E3C-18BA-4178-A2DD-258FAABE55F6}" xr6:coauthVersionLast="47" xr6:coauthVersionMax="47" xr10:uidLastSave="{00000000-0000-0000-0000-000000000000}"/>
  <bookViews>
    <workbookView xWindow="0" yWindow="0" windowWidth="19200" windowHeight="21000" firstSheet="2" activeTab="3" xr2:uid="{C9D28785-21DD-4FFD-9062-FA858F105E07}"/>
  </bookViews>
  <sheets>
    <sheet name="E1.S use cases" sheetId="14" r:id="rId1"/>
    <sheet name="GB300 E1.S FW Change list" sheetId="13" r:id="rId2"/>
    <sheet name="GB200 E1.S BP FW Change list" sheetId="4" r:id="rId3"/>
    <sheet name="IPEX BB FW Change list" sheetId="10" r:id="rId4"/>
    <sheet name="SGPIO HDD index Remapping" sheetId="5" r:id="rId5"/>
    <sheet name="VPP Regtable x.1.5-" sheetId="1" r:id="rId6"/>
    <sheet name="E1.S BP Block Diagram" sheetId="7" r:id="rId7"/>
    <sheet name="IPEX BB Block Diagarm" sheetId="8" r:id="rId8"/>
    <sheet name="BMC Path I2C Regtable" sheetId="3" r:id="rId9"/>
    <sheet name="Working flow" sheetId="6" state="hidden" r:id="rId10"/>
    <sheet name="SGPIO DI mapping" sheetId="9" r:id="rId11"/>
    <sheet name="Delay Cal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P18" i="1" s="1"/>
  <c r="P26" i="1"/>
  <c r="O27" i="1"/>
  <c r="P27" i="1" s="1"/>
  <c r="O28" i="1"/>
  <c r="P28" i="1" s="1"/>
  <c r="O29" i="1"/>
  <c r="P29" i="1" s="1"/>
  <c r="O30" i="1"/>
  <c r="P30" i="1" s="1"/>
  <c r="O31" i="1"/>
  <c r="P31" i="1" s="1"/>
  <c r="O26" i="1"/>
  <c r="O32" i="1" s="1"/>
  <c r="P32" i="1" s="1"/>
  <c r="O15" i="1"/>
  <c r="P15" i="1" s="1"/>
  <c r="O16" i="1"/>
  <c r="P16" i="1" s="1"/>
  <c r="O14" i="1"/>
  <c r="P14" i="1" s="1"/>
  <c r="P8" i="1"/>
  <c r="P9" i="1"/>
  <c r="P10" i="1"/>
  <c r="P12" i="1"/>
  <c r="P17" i="1"/>
  <c r="P25" i="1"/>
  <c r="P20" i="1"/>
  <c r="P21" i="1"/>
  <c r="P22" i="1"/>
  <c r="P23" i="1"/>
  <c r="P24" i="1"/>
  <c r="P19" i="1"/>
</calcChain>
</file>

<file path=xl/sharedStrings.xml><?xml version="1.0" encoding="utf-8"?>
<sst xmlns="http://schemas.openxmlformats.org/spreadsheetml/2006/main" count="1772" uniqueCount="338">
  <si>
    <t>Use case</t>
  </si>
  <si>
    <t>NIC FW</t>
  </si>
  <si>
    <t>IPEX FW</t>
  </si>
  <si>
    <t>E1.S FW</t>
  </si>
  <si>
    <t>Hotplug</t>
  </si>
  <si>
    <t>GB200+</t>
  </si>
  <si>
    <t>BF3</t>
  </si>
  <si>
    <t>Yes</t>
  </si>
  <si>
    <t>Status</t>
  </si>
  <si>
    <t>Version</t>
  </si>
  <si>
    <t>Changs</t>
  </si>
  <si>
    <t>With SGPIO</t>
  </si>
  <si>
    <t>With NHP</t>
  </si>
  <si>
    <t>released</t>
  </si>
  <si>
    <t>BF3_C_05_0C</t>
  </si>
  <si>
    <t>1. USERCODE: 0x000C050C</t>
  </si>
  <si>
    <t>2. First release for combine E1.S BP</t>
  </si>
  <si>
    <t>3.FW For BF3 working with IPEX Interface and SGPIO</t>
  </si>
  <si>
    <t>CX8_C_06_01</t>
  </si>
  <si>
    <t>1. USERCODE: 0x000C0601</t>
  </si>
  <si>
    <t xml:space="preserve">2.FW For CX8(only) working with NHP </t>
  </si>
  <si>
    <t>Debug FW</t>
  </si>
  <si>
    <t>CX8_D_C_06_02</t>
  </si>
  <si>
    <t>1. USERCODE: 0xD00C0602</t>
  </si>
  <si>
    <t>2. add debugging Pins</t>
  </si>
  <si>
    <t>CX8_D_C_06_03</t>
  </si>
  <si>
    <t>1. USERCODE: 0xD00C0603</t>
  </si>
  <si>
    <t>2. switch SSDs index mapping</t>
  </si>
  <si>
    <t>Next</t>
  </si>
  <si>
    <t>CX8_C_06_04</t>
  </si>
  <si>
    <t>1. USERCODE: 0x000C0604</t>
  </si>
  <si>
    <t>CX8_C_06_04.jed</t>
  </si>
  <si>
    <t>2. remove debugging Pins</t>
  </si>
  <si>
    <t xml:space="preserve">Compatible versions Bridge Board CPLD FW  Version </t>
  </si>
  <si>
    <t>NV_S7S 00.01.02</t>
  </si>
  <si>
    <t>GB_IPEX_V10.01.02.04~ GB_IPEX_V10.01.03.04</t>
  </si>
  <si>
    <t>1. USERCODE: 0x00000102</t>
  </si>
  <si>
    <t>2. First release</t>
  </si>
  <si>
    <t>NV_S8B 0B.01.03</t>
  </si>
  <si>
    <t>1. USERCODE: 0x000B0103</t>
  </si>
  <si>
    <t>NV_S8B 0B.01.04</t>
  </si>
  <si>
    <t>1. USERCODE: 0x000B0104</t>
  </si>
  <si>
    <t>2. Correct the pin mapping:RST_PCIE_SSD3_PERST_N : P11/RST_PCIE_SSD2_PERST_N : P8/HDD3_PWRDIS : F12</t>
  </si>
  <si>
    <t>NV_S7S 00.01.05</t>
  </si>
  <si>
    <t>NV_S8B 0B.01.05</t>
  </si>
  <si>
    <t>1. USERCODE: 0x00000105/0x000B0105</t>
  </si>
  <si>
    <t>2.Rewrite source code</t>
  </si>
  <si>
    <t>NV_S8B 0B.01.06</t>
  </si>
  <si>
    <t>GB_IPEX_V10.01.02.04</t>
  </si>
  <si>
    <t>1. USERCODE: 0x00000106/0x000B0106</t>
  </si>
  <si>
    <t>2.Add second path of VPP</t>
  </si>
  <si>
    <t>3.Enable power_on control by VPP</t>
  </si>
  <si>
    <t>4.Add fake PG for VPP control Power_on</t>
  </si>
  <si>
    <t>NV_S7S 00.01.07.01</t>
  </si>
  <si>
    <t>NV_S8B 0B.01.07</t>
  </si>
  <si>
    <t>1. USERCODE: 0x00000107/0x000B0107</t>
  </si>
  <si>
    <t>2.Add 2-VPP/1-VPP Switch by Pin "CPLD_ADDR_0" (only for S8)</t>
  </si>
  <si>
    <t>NV_S7B 01.01.08</t>
  </si>
  <si>
    <t>NV_S8B 0B.01.08</t>
  </si>
  <si>
    <t>above GB_IPEX_V10.01.08.0</t>
  </si>
  <si>
    <t>1. USERCODE: 0x00000108/0x000B0108</t>
  </si>
  <si>
    <t>2.Enable power_on control by VPP</t>
  </si>
  <si>
    <t>3.Add fake PG for VPP control Power_on</t>
  </si>
  <si>
    <t>NV_S7B 01.01.09</t>
  </si>
  <si>
    <t>NV_S8B 0B.01.09</t>
  </si>
  <si>
    <t>1. USERCODE: 0x00000109/0x000B0109</t>
  </si>
  <si>
    <t>2.Add Pull Up for I2C slave</t>
  </si>
  <si>
    <t>3.Add timeout for I2C slave</t>
  </si>
  <si>
    <t>NV_S7B 01.01.0B</t>
  </si>
  <si>
    <t>NV_S8B 0B.01.0B</t>
  </si>
  <si>
    <t>1. USERCODE: 0x0000010B/0x000B010B</t>
  </si>
  <si>
    <t>2.Remove Pull Up for I2C slave</t>
  </si>
  <si>
    <t>3.change the default value of  HDD_ATEN_BTN_N to High 1'b1/ HDD_PRSNT_N_[1] to High 1'b1/ HDD_PRSNT_N_[2] to High 1'b1</t>
  </si>
  <si>
    <t>NV_S8B 0B.01.0C</t>
  </si>
  <si>
    <t>1. USERCODE:   0x000B010C</t>
  </si>
  <si>
    <t>2.Add 2-VPP/1-VPP Switch by Pin "VPP_SKU_SEL" (only for S8)</t>
  </si>
  <si>
    <t xml:space="preserve"> </t>
  </si>
  <si>
    <t>NV_S7B 01.01.0D</t>
  </si>
  <si>
    <t>NV_S8B 0B.01.0D</t>
  </si>
  <si>
    <t>1. USERCODE:   0x000B010D</t>
  </si>
  <si>
    <t>2. Switch the SSDs index</t>
  </si>
  <si>
    <t>NV_S7B 01.01.0E</t>
  </si>
  <si>
    <t>NV_S8B 0B.01.0E</t>
  </si>
  <si>
    <t>1. USERCODE:   0x000B010E</t>
  </si>
  <si>
    <t>2.Change the LED behaveior</t>
  </si>
  <si>
    <t>NV_S8B 0B.01.0F</t>
  </si>
  <si>
    <t>1. USERCODE:   0x000B010F</t>
  </si>
  <si>
    <t>NV_S8B 0B.03.03</t>
  </si>
  <si>
    <t>above GB_IPEX_V10.01.0B.0</t>
  </si>
  <si>
    <t>1. USERCODE:   0x000B0303</t>
  </si>
  <si>
    <t>2.change to SSD index to 1/2/3/4</t>
  </si>
  <si>
    <t>3.add WAR for BF3 SGPIO can't assert SSD1(start from 0) power_en after Hot-plug by control PG with PRSNT</t>
  </si>
  <si>
    <t xml:space="preserve">4.set unuse pin connect to I2C path to output "z" with OD </t>
  </si>
  <si>
    <t>NV_S8B 0B.03.04</t>
  </si>
  <si>
    <t>1. USERCODE:   0x000B0304</t>
  </si>
  <si>
    <t>2.change to SSD index to 4/3/2/1</t>
  </si>
  <si>
    <t>NV_S8B 0B.04.01</t>
  </si>
  <si>
    <t>1. USERCODE:   0x000B0401</t>
  </si>
  <si>
    <t>2.Add the support for NHP with CX8/CX7</t>
  </si>
  <si>
    <t>NV_S8B 0B.04.02</t>
  </si>
  <si>
    <t>1. USERCODE:   0x000B0402</t>
  </si>
  <si>
    <t>NV_S8B D_0B.04.03</t>
  </si>
  <si>
    <t>1. USERCODE:   0xD00B0403</t>
  </si>
  <si>
    <t>GB_IPEX_V10.01.03</t>
  </si>
  <si>
    <t>1. USERCODE: 0x00100103</t>
  </si>
  <si>
    <t>GB_IPEX_V10.01.04</t>
  </si>
  <si>
    <t>1. USERCODE: 0x00100104</t>
  </si>
  <si>
    <t>2.Add VPP data auto pulling even SGPIO disabled</t>
  </si>
  <si>
    <t>3.Add SGPIO control Pins to VPP</t>
  </si>
  <si>
    <t>GB_IPEX_V10.01.05</t>
  </si>
  <si>
    <t>1. USERCODE: 0x00100105</t>
  </si>
  <si>
    <t>2.Fix SGPIO Data out internal Sync signal</t>
  </si>
  <si>
    <t>3.Change the default output value for VPP output</t>
  </si>
  <si>
    <t>GB_IPEX_V10.01.06</t>
  </si>
  <si>
    <t>1. USERCODE: 0x00100106</t>
  </si>
  <si>
    <t>2.Improve the FSM stability</t>
  </si>
  <si>
    <t>3.Change the I2C delay count over range</t>
  </si>
  <si>
    <t>GB_IPEX_V10.01.08</t>
  </si>
  <si>
    <t>1. USERCODE: 0x00100108</t>
  </si>
  <si>
    <t>2.lower the input clock of I2C control module</t>
  </si>
  <si>
    <t>3.change the SGPIO index</t>
  </si>
  <si>
    <t>GB_IPEX_V10.01.09</t>
  </si>
  <si>
    <t>1. USERCODE: 0x00100109</t>
  </si>
  <si>
    <t>2.improve stability of I2C CT</t>
  </si>
  <si>
    <t>GB_IPEX_V10.01.0B</t>
  </si>
  <si>
    <t>1. USERCODE: 0x0010010B</t>
  </si>
  <si>
    <t xml:space="preserve">2.set unuse pin connect to I2C path to output "z" with OD </t>
  </si>
  <si>
    <t>GB_IPEX_V10.01.0C</t>
  </si>
  <si>
    <t>1. USERCODE: 0x0010010C</t>
  </si>
  <si>
    <t>2.Remove the CRC check</t>
  </si>
  <si>
    <t>GB_IPEX_V10.01.0E</t>
  </si>
  <si>
    <t>1. USERCODE: 0x0010010E</t>
  </si>
  <si>
    <t>2.fix the CRC check fake error issue</t>
  </si>
  <si>
    <t>GB_IPEX_V10.01.0F</t>
  </si>
  <si>
    <t>1. USERCODE: 0x0010010F</t>
  </si>
  <si>
    <t>2.improve the SGPIO behavior when E1.S not connct</t>
  </si>
  <si>
    <t>GB_IPEX_V10.02.00</t>
  </si>
  <si>
    <t>1. USERCODE: 0x00100200</t>
  </si>
  <si>
    <t>2.Change EN input not use in logic to ouput with OD 1'bz</t>
  </si>
  <si>
    <t>SGPIO</t>
  </si>
  <si>
    <t>VPP Path</t>
  </si>
  <si>
    <t>E1.S</t>
  </si>
  <si>
    <t>8x SSD
2x SGPIO</t>
  </si>
  <si>
    <t>SGPIO_0_HDD0</t>
  </si>
  <si>
    <t>0x20</t>
  </si>
  <si>
    <t>VPP_HDD0</t>
  </si>
  <si>
    <t>HDD0</t>
  </si>
  <si>
    <t>SGPIO_0_HDD1</t>
  </si>
  <si>
    <t>VPP_HDD1</t>
  </si>
  <si>
    <t>HDD1</t>
  </si>
  <si>
    <t>SGPIO_0_HDD2</t>
  </si>
  <si>
    <t>0x21</t>
  </si>
  <si>
    <t>VPP_HDD2</t>
  </si>
  <si>
    <t>HDD2</t>
  </si>
  <si>
    <t>SGPIO_0_HDD3</t>
  </si>
  <si>
    <t>VPP_HDD3</t>
  </si>
  <si>
    <t>HDD3</t>
  </si>
  <si>
    <t>SGPIO_1_HDD0</t>
  </si>
  <si>
    <t>HDD4</t>
  </si>
  <si>
    <t>SGPIO_1_HDD1</t>
  </si>
  <si>
    <t>HDD5</t>
  </si>
  <si>
    <t>SGPIO_1_HDD2</t>
  </si>
  <si>
    <t>HDD6</t>
  </si>
  <si>
    <t>SGPIO_1_HDD3</t>
  </si>
  <si>
    <t>HDD7</t>
  </si>
  <si>
    <t>4x SSD
1x SGPIO</t>
  </si>
  <si>
    <t>4x SSD
2x SGPIO</t>
  </si>
  <si>
    <t>PCIe Lane</t>
  </si>
  <si>
    <t>SGPIO to VPP device</t>
  </si>
  <si>
    <t>Device Addr</t>
  </si>
  <si>
    <t>reg addr</t>
  </si>
  <si>
    <t>Device</t>
  </si>
  <si>
    <t>Access</t>
  </si>
  <si>
    <t>bits</t>
  </si>
  <si>
    <t>Description</t>
  </si>
  <si>
    <t>FW 1.5-</t>
  </si>
  <si>
    <t>FW 1.6</t>
  </si>
  <si>
    <t>FW 1.9+</t>
  </si>
  <si>
    <t>Deft Value</t>
  </si>
  <si>
    <t>VPP2SGPIO</t>
  </si>
  <si>
    <t>0x0</t>
  </si>
  <si>
    <t>Read only</t>
  </si>
  <si>
    <t>[7]</t>
  </si>
  <si>
    <t xml:space="preserve">[6] </t>
  </si>
  <si>
    <t>SSD_ACTIVITY_r</t>
  </si>
  <si>
    <t>Y</t>
  </si>
  <si>
    <t xml:space="preserve">[5] </t>
  </si>
  <si>
    <t>SSD_PWR_GD_r</t>
  </si>
  <si>
    <t xml:space="preserve">[4] </t>
  </si>
  <si>
    <t>SSD_ATEN_BTN_N_r</t>
  </si>
  <si>
    <t xml:space="preserve">[3] </t>
  </si>
  <si>
    <t>[2:0]</t>
  </si>
  <si>
    <t>SSD_PRSNT_N</t>
  </si>
  <si>
    <t>0x1</t>
  </si>
  <si>
    <t>0x2</t>
  </si>
  <si>
    <t>Read /Write</t>
  </si>
  <si>
    <t xml:space="preserve"> PERST_N_o </t>
  </si>
  <si>
    <t xml:space="preserve"> CLK_EN_O </t>
  </si>
  <si>
    <t xml:space="preserve"> Blue_LED_o </t>
  </si>
  <si>
    <t xml:space="preserve"> CLKREQ_N_o</t>
  </si>
  <si>
    <t xml:space="preserve">[2] </t>
  </si>
  <si>
    <t xml:space="preserve"> PWR_EN_o </t>
  </si>
  <si>
    <t xml:space="preserve">[1] </t>
  </si>
  <si>
    <t xml:space="preserve"> PWRDIS_o </t>
  </si>
  <si>
    <t xml:space="preserve">[0] </t>
  </si>
  <si>
    <t xml:space="preserve"> Amber_LED_o </t>
  </si>
  <si>
    <t>0x3</t>
  </si>
  <si>
    <t>BMC I2C path is using lattice EFB</t>
  </si>
  <si>
    <t>http://www.latticesemi.com/view_document?document_id=39086</t>
  </si>
  <si>
    <t>http://www.latticesemi.com/view_document?document_id=46300</t>
  </si>
  <si>
    <t>For IPEX BD FW version check</t>
  </si>
  <si>
    <r>
      <t>“i2ctransfer -y 4 w3@</t>
    </r>
    <r>
      <rPr>
        <b/>
        <sz val="12"/>
        <color rgb="FF000000"/>
        <rFont val="Aptos"/>
        <family val="2"/>
      </rPr>
      <t>0x44</t>
    </r>
    <r>
      <rPr>
        <sz val="12"/>
        <color rgb="FF000000"/>
        <rFont val="Aptos"/>
        <family val="2"/>
      </rPr>
      <t> 0xc0 0x0 0x0 r4”</t>
    </r>
  </si>
  <si>
    <t xml:space="preserve">With the FW:GB_IPEX_V01.03.04.jed </t>
  </si>
  <si>
    <t>Return Val should be 0x00 0x10 0x01 0x03</t>
  </si>
  <si>
    <t>0x10-&gt;IPEX FW</t>
  </si>
  <si>
    <t>0x01-&gt;Major version 0x01</t>
  </si>
  <si>
    <t>0x03-&gt;Minor version 0x03</t>
  </si>
  <si>
    <t>For E1.S FW version check</t>
  </si>
  <si>
    <r>
      <t>“i2ctransfer -y 4 w3@</t>
    </r>
    <r>
      <rPr>
        <b/>
        <sz val="12"/>
        <color rgb="FF000000"/>
        <rFont val="Aptos"/>
        <family val="2"/>
      </rPr>
      <t>0x40</t>
    </r>
    <r>
      <rPr>
        <sz val="12"/>
        <color rgb="FF000000"/>
        <rFont val="Aptos"/>
        <family val="2"/>
      </rPr>
      <t> 0xc0 0x0 0x0 r4”</t>
    </r>
  </si>
  <si>
    <t>Return Val should be 0x00 0x0B 0x01 0x0F</t>
  </si>
  <si>
    <t>0x0B-&gt;E1.S Version B</t>
  </si>
  <si>
    <t>0x0F-&gt;Minor version 0x0F</t>
  </si>
  <si>
    <t>Path</t>
  </si>
  <si>
    <t>Flow</t>
  </si>
  <si>
    <t>VPPx/BD to BP</t>
  </si>
  <si>
    <t>Read deviceID 0x20</t>
  </si>
  <si>
    <t>4 byte start 0x00</t>
  </si>
  <si>
    <t>Read deviceID 0x21</t>
  </si>
  <si>
    <t>write deviceID 0x20</t>
  </si>
  <si>
    <t>2byte start 0x02</t>
  </si>
  <si>
    <t>2 byte start 0x02</t>
  </si>
  <si>
    <t>Loop</t>
  </si>
  <si>
    <t>CPLD-&gt;BF3</t>
  </si>
  <si>
    <t>BF3-&gt;CPLD</t>
  </si>
  <si>
    <t>SGPIO CLK</t>
  </si>
  <si>
    <t>SGPIO Capture</t>
  </si>
  <si>
    <t>Field
index</t>
  </si>
  <si>
    <t>bit index</t>
  </si>
  <si>
    <t>Return value</t>
  </si>
  <si>
    <t>L</t>
  </si>
  <si>
    <t>H</t>
  </si>
  <si>
    <t xml:space="preserve">SYS ID </t>
  </si>
  <si>
    <t>DUMMY</t>
  </si>
  <si>
    <t>CPLD Version[0]</t>
  </si>
  <si>
    <t>CPLD Version[1]</t>
  </si>
  <si>
    <t>CPLD Version[2]</t>
  </si>
  <si>
    <t>CPLD Version[3]</t>
  </si>
  <si>
    <t>CPLD Version[4]</t>
  </si>
  <si>
    <t>CPLD Version[5]</t>
  </si>
  <si>
    <t>CPLD Version6]</t>
  </si>
  <si>
    <t>CPLD Version[7]</t>
  </si>
  <si>
    <t>CPLD burning 0x3c
 0</t>
  </si>
  <si>
    <t>CPLD burning 0x3c
 1</t>
  </si>
  <si>
    <t>CPLD burning 0x3c
1</t>
  </si>
  <si>
    <t>HDD0 RERST#0
default:0</t>
  </si>
  <si>
    <t>HDD0 CLK_EN
default:0</t>
  </si>
  <si>
    <t>HDD0 PRSNT0#
default:1</t>
  </si>
  <si>
    <t>HDD0 ACTIVITY#
default:0</t>
  </si>
  <si>
    <t>HDD0 BLUELED#
default:1</t>
  </si>
  <si>
    <t>HDD0 CLKREQ#
default:1</t>
  </si>
  <si>
    <t>HDD0 PWR_EN
default:0</t>
  </si>
  <si>
    <t>HDD0 PWRDIS
default:0</t>
  </si>
  <si>
    <t>HDD0 PWR_GD 
default:0</t>
  </si>
  <si>
    <t>HDD0 PRSNT1#
default:0</t>
  </si>
  <si>
    <t>HDD0 PRSNT2#
default:0</t>
  </si>
  <si>
    <t>HDD0 Amber LED
default:1</t>
  </si>
  <si>
    <t>HDD0 ATE_BTN#
default:1</t>
  </si>
  <si>
    <t>HDD1 RERST#0
default:0</t>
  </si>
  <si>
    <t>HDD1 CLK_EN
default:0</t>
  </si>
  <si>
    <t>HDD1 PRSNT0#
default:1</t>
  </si>
  <si>
    <t>HDD1 ACTIVITY#
default:0</t>
  </si>
  <si>
    <t>HDD1 BLUELED#
default:1</t>
  </si>
  <si>
    <t>HDD1 CLKREQ#
default:1</t>
  </si>
  <si>
    <t>HDD1 PWR_EN
default:0</t>
  </si>
  <si>
    <t>HDD1 PWRDIS
default:0</t>
  </si>
  <si>
    <t>HDD1 PWR_GD 
default:0</t>
  </si>
  <si>
    <t>HDD1 PRSNT1#
default:0</t>
  </si>
  <si>
    <t>HDD1 PRSNT2#
default:0</t>
  </si>
  <si>
    <t>HDD1 Amber LED
default:1</t>
  </si>
  <si>
    <t>HDD1 ATE_BTN#
default:1</t>
  </si>
  <si>
    <t>HDD2 RERST#0
default:0</t>
  </si>
  <si>
    <t>HDD2 CLK_EN
default:0</t>
  </si>
  <si>
    <t>HDD2 PRSNT0#
default:1</t>
  </si>
  <si>
    <t>HDD2 ACTIVITY#
default:0</t>
  </si>
  <si>
    <t>HDD2 BLUELED#
default:1</t>
  </si>
  <si>
    <t>HDD2 CLKREQ#
default:1</t>
  </si>
  <si>
    <t>HDD2 PWR_EN
default:0</t>
  </si>
  <si>
    <t>HDD2 PWRDIS
default:0</t>
  </si>
  <si>
    <t>HDD2 PWR_GD 
default:0</t>
  </si>
  <si>
    <t>HDD2 PRSNT1#
default:0</t>
  </si>
  <si>
    <t>HDD2 PRSNT2#
default:0</t>
  </si>
  <si>
    <t>HDD2 Amber LED
default:1</t>
  </si>
  <si>
    <t>HDD2 ATE_BTN#
default:1</t>
  </si>
  <si>
    <t>HDD3 RERST#0
default:0</t>
  </si>
  <si>
    <t>HDD3 CLK_EN
default:0</t>
  </si>
  <si>
    <t>HDD3 PRSNT0#
default:1</t>
  </si>
  <si>
    <t>HDD3 ACTIVITY#
default:0</t>
  </si>
  <si>
    <t>HDD3 BLUELED#
default:1</t>
  </si>
  <si>
    <t>HDD3 CLKREQ#
default:1</t>
  </si>
  <si>
    <t>HDD3 PWR_EN
default:0</t>
  </si>
  <si>
    <t>HDD3 PWRDIS
default:0</t>
  </si>
  <si>
    <t>HDD3 PWR_GD 
default:0</t>
  </si>
  <si>
    <t>HDD3 PRSNT1#
default:0</t>
  </si>
  <si>
    <t>HDD3 PRSNT2#
default:0</t>
  </si>
  <si>
    <t>HDD3 Amber LED
default:1</t>
  </si>
  <si>
    <t>HDD3 ATE_BTN#
default:1</t>
  </si>
  <si>
    <t>SGPIO DI CRC[7]</t>
  </si>
  <si>
    <t>SGPIO DOCRC[7]</t>
  </si>
  <si>
    <t>SGPIO DI CRC[6]</t>
  </si>
  <si>
    <t>SGPIO DO CRC[6]</t>
  </si>
  <si>
    <t>SGPIO DI CRC[5]</t>
  </si>
  <si>
    <t>SGPIO DO CRC[5]</t>
  </si>
  <si>
    <t>SGPIO DI CRC[4]</t>
  </si>
  <si>
    <t>SGPIODO CRC[4]</t>
  </si>
  <si>
    <t>SGPIO DI CRC[3]</t>
  </si>
  <si>
    <t>SGPIO DO CRC[3]</t>
  </si>
  <si>
    <t>SGPIO DI CRC[2]</t>
  </si>
  <si>
    <t>SGPIO DO CRC[2]</t>
  </si>
  <si>
    <t>SGPIO DI CRC[1]</t>
  </si>
  <si>
    <t>SGPIO DO CRC[1]</t>
  </si>
  <si>
    <t>SGPIO DI CRC[0]</t>
  </si>
  <si>
    <t>SGPIO DO CRC[0]</t>
  </si>
  <si>
    <t>one Sync for SGPIO</t>
  </si>
  <si>
    <t>0.1375ms</t>
  </si>
  <si>
    <t>one Sync for VPP</t>
  </si>
  <si>
    <t>0.8ms</t>
  </si>
  <si>
    <t>↓</t>
  </si>
  <si>
    <t>←</t>
  </si>
  <si>
    <t>Read  4 byte form 0x20</t>
  </si>
  <si>
    <t>↑</t>
  </si>
  <si>
    <t>Min Case 0.1375*3 + 0.8*2=2.0125ms</t>
  </si>
  <si>
    <t>VPP</t>
  </si>
  <si>
    <t>Read  4 byte form 0x21</t>
  </si>
  <si>
    <t>SGPIO(For FSM change)</t>
  </si>
  <si>
    <t>write  2 byte to 0x20</t>
  </si>
  <si>
    <t>Max Case 0.1375*3 + 0.8*4=3.6125ms</t>
  </si>
  <si>
    <t>write  2 byte to 0x21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</si>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</sst>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2"/>
      <color rgb="FF0C64C0"/>
      <name val="Aptos"/>
      <family val="2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2" borderId="0" xfId="0" applyFill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2" borderId="15" xfId="0" applyFill="1" applyBorder="1" applyAlignment="1">
      <alignment horizontal="center"/>
    </xf>
    <xf numFmtId="0" fontId="0" fillId="0" borderId="16" xfId="0" applyBorder="1"/>
    <xf numFmtId="0" fontId="0" fillId="2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8" xfId="0" applyBorder="1"/>
    <xf numFmtId="0" fontId="3" fillId="0" borderId="0" xfId="1"/>
    <xf numFmtId="0" fontId="0" fillId="5" borderId="6" xfId="0" applyFill="1" applyBorder="1"/>
    <xf numFmtId="0" fontId="0" fillId="6" borderId="23" xfId="0" applyFill="1" applyBorder="1"/>
    <xf numFmtId="0" fontId="0" fillId="6" borderId="6" xfId="0" applyFill="1" applyBorder="1"/>
    <xf numFmtId="0" fontId="0" fillId="0" borderId="24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0" borderId="0" xfId="0" applyFont="1"/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34" xfId="0" applyBorder="1"/>
    <xf numFmtId="0" fontId="0" fillId="0" borderId="0" xfId="0" applyAlignment="1">
      <alignment horizontal="center" vertical="center"/>
    </xf>
    <xf numFmtId="0" fontId="0" fillId="12" borderId="0" xfId="0" applyFill="1"/>
    <xf numFmtId="0" fontId="0" fillId="11" borderId="0" xfId="0" applyFill="1"/>
    <xf numFmtId="0" fontId="0" fillId="0" borderId="0" xfId="0" applyAlignment="1">
      <alignment horizontal="center"/>
    </xf>
    <xf numFmtId="0" fontId="1" fillId="10" borderId="0" xfId="0" applyFont="1" applyFill="1" applyAlignment="1">
      <alignment horizontal="center"/>
    </xf>
    <xf numFmtId="0" fontId="1" fillId="1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9" borderId="3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2906806</xdr:colOff>
      <xdr:row>46</xdr:row>
      <xdr:rowOff>17369</xdr:rowOff>
    </xdr:from>
    <xdr:to>
      <xdr:col>6</xdr:col>
      <xdr:colOff>560257</xdr:colOff>
      <xdr:row>52</xdr:row>
      <xdr:rowOff>32385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0ECC9-D4FE-0E7C-FF75-F4E4B35B8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97" t="19663" r="5744" b="12066"/>
        <a:stretch/>
      </xdr:blipFill>
      <xdr:spPr>
        <a:xfrm>
          <a:off x="8021731" y="9161369"/>
          <a:ext cx="6304056" cy="11542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24</xdr:col>
      <xdr:colOff>402063</xdr:colOff>
      <xdr:row>60</xdr:row>
      <xdr:rowOff>172963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F86ABDD6-345A-34AB-78A5-88060456A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14422863" cy="108409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22</xdr:col>
      <xdr:colOff>592334</xdr:colOff>
      <xdr:row>55</xdr:row>
      <xdr:rowOff>48988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0B93CEDD-DE91-4760-B9CC-31317820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12784334" cy="97644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118630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5E29E3C-94CB-2F26-1871-7AD8F992F9FA}"/>
            </a:ext>
          </a:extLst>
        </xdr:cNvPr>
        <xdr:cNvSpPr>
          <a:spLocks noChangeAspect="1" noChangeArrowheads="1"/>
        </xdr:cNvSpPr>
      </xdr:nvSpPr>
      <xdr:spPr bwMode="auto">
        <a:xfrm>
          <a:off x="647700" y="12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8</xdr:row>
      <xdr:rowOff>57150</xdr:rowOff>
    </xdr:from>
    <xdr:to>
      <xdr:col>9</xdr:col>
      <xdr:colOff>581025</xdr:colOff>
      <xdr:row>38</xdr:row>
      <xdr:rowOff>142875</xdr:rowOff>
    </xdr:to>
    <xdr:pic>
      <xdr:nvPicPr>
        <xdr:cNvPr id="2" name="x_x__x0000_i1025">
          <a:extLst>
            <a:ext uri="{FF2B5EF4-FFF2-40B4-BE49-F238E27FC236}">
              <a16:creationId xmlns:a16="http://schemas.microsoft.com/office/drawing/2014/main" id="{F09AD524-1831-D727-F3FC-6BE267BC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581150"/>
          <a:ext cx="4752975" cy="580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15</xdr:row>
      <xdr:rowOff>0</xdr:rowOff>
    </xdr:from>
    <xdr:to>
      <xdr:col>21</xdr:col>
      <xdr:colOff>80818</xdr:colOff>
      <xdr:row>17</xdr:row>
      <xdr:rowOff>92363</xdr:rowOff>
    </xdr:to>
    <xdr:pic>
      <xdr:nvPicPr>
        <xdr:cNvPr id="3" name="Picture 3" descr="A black and white text&#10;&#10;Description automatically generated">
          <a:extLst>
            <a:ext uri="{FF2B5EF4-FFF2-40B4-BE49-F238E27FC236}">
              <a16:creationId xmlns:a16="http://schemas.microsoft.com/office/drawing/2014/main" id="{D30D665A-BD17-0808-35C0-96156CE948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7" b="48052"/>
        <a:stretch/>
      </xdr:blipFill>
      <xdr:spPr bwMode="auto">
        <a:xfrm>
          <a:off x="7342909" y="2949864"/>
          <a:ext cx="5588000" cy="473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:u:/r/sites/MGX-Ecosystem/Shared%20Documents/GB300%20CPLD/E1.S%20Comb/FOR%20CX8%20only/CX8_C_06_04.jed?csf=1&amp;web=1&amp;e=R5BwX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latticesemi.com/view_document?document_id=46300" TargetMode="External"/><Relationship Id="rId1" Type="http://schemas.openxmlformats.org/officeDocument/2006/relationships/hyperlink" Target="http://www.latticesemi.com/view_document?document_id=39086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BC1B-3652-4FF4-B681-19C028BA2C89}">
  <sheetPr>
    <tabColor rgb="FFC00000"/>
  </sheetPr>
  <dimension ref="C11:K12"/>
  <sheetViews>
    <sheetView workbookViewId="0">
      <selection activeCell="J15" sqref="J15"/>
    </sheetView>
  </sheetViews>
  <sheetFormatPr defaultRowHeight="15"/>
  <sheetData>
    <row r="11" spans="3:11">
      <c r="C11" t="s">
        <v>0</v>
      </c>
      <c r="H11" t="s">
        <v>1</v>
      </c>
      <c r="I11" t="s">
        <v>2</v>
      </c>
      <c r="J11" t="s">
        <v>3</v>
      </c>
      <c r="K11" t="s">
        <v>4</v>
      </c>
    </row>
    <row r="12" spans="3:11">
      <c r="C12" s="41" t="s">
        <v>5</v>
      </c>
      <c r="D12" s="41"/>
      <c r="E12" s="41"/>
      <c r="F12" s="41"/>
      <c r="G12" s="41"/>
      <c r="H12" t="s">
        <v>6</v>
      </c>
      <c r="K12" t="s">
        <v>7</v>
      </c>
    </row>
  </sheetData>
  <mergeCells count="1">
    <mergeCell ref="C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DB95-75FB-4C7F-A05B-AD0ED079FB10}">
  <dimension ref="B5:E48"/>
  <sheetViews>
    <sheetView workbookViewId="0">
      <selection activeCell="D18" sqref="D18"/>
    </sheetView>
  </sheetViews>
  <sheetFormatPr defaultRowHeight="15"/>
  <cols>
    <col min="3" max="3" width="13.140625" customWidth="1"/>
    <col min="4" max="4" width="18.140625" customWidth="1"/>
    <col min="5" max="5" width="135.42578125" customWidth="1"/>
  </cols>
  <sheetData>
    <row r="5" spans="2:5">
      <c r="B5" t="s">
        <v>8</v>
      </c>
      <c r="C5" s="41" t="s">
        <v>9</v>
      </c>
      <c r="D5" s="41"/>
      <c r="E5" t="s">
        <v>10</v>
      </c>
    </row>
    <row r="6" spans="2:5">
      <c r="B6" s="4"/>
      <c r="C6" t="s">
        <v>11</v>
      </c>
      <c r="D6" t="s">
        <v>12</v>
      </c>
    </row>
    <row r="7" spans="2:5">
      <c r="B7" s="44" t="s">
        <v>13</v>
      </c>
      <c r="C7" t="s">
        <v>14</v>
      </c>
      <c r="E7" t="s">
        <v>15</v>
      </c>
    </row>
    <row r="8" spans="2:5">
      <c r="B8" s="44"/>
      <c r="E8" t="s">
        <v>16</v>
      </c>
    </row>
    <row r="9" spans="2:5">
      <c r="B9" s="4"/>
      <c r="C9" s="4"/>
      <c r="E9" t="s">
        <v>17</v>
      </c>
    </row>
    <row r="10" spans="2:5">
      <c r="B10" s="4"/>
      <c r="C10" s="4"/>
    </row>
    <row r="11" spans="2:5">
      <c r="B11" s="43" t="s">
        <v>13</v>
      </c>
      <c r="D11" t="s">
        <v>18</v>
      </c>
      <c r="E11" t="s">
        <v>19</v>
      </c>
    </row>
    <row r="12" spans="2:5">
      <c r="B12" s="43"/>
      <c r="E12" t="s">
        <v>20</v>
      </c>
    </row>
    <row r="13" spans="2:5">
      <c r="B13" s="43"/>
      <c r="D13" s="4"/>
    </row>
    <row r="14" spans="2:5">
      <c r="B14" s="4"/>
      <c r="C14" s="4"/>
    </row>
    <row r="15" spans="2:5">
      <c r="B15" s="45" t="s">
        <v>21</v>
      </c>
      <c r="C15" s="4"/>
      <c r="D15" t="s">
        <v>22</v>
      </c>
      <c r="E15" t="s">
        <v>23</v>
      </c>
    </row>
    <row r="16" spans="2:5">
      <c r="B16" s="45"/>
      <c r="C16" s="4"/>
      <c r="E16" t="s">
        <v>24</v>
      </c>
    </row>
    <row r="17" spans="2:5">
      <c r="B17" s="4"/>
      <c r="C17" s="4"/>
      <c r="D17" s="4"/>
      <c r="E17" s="4"/>
    </row>
    <row r="18" spans="2:5">
      <c r="B18" s="45" t="s">
        <v>21</v>
      </c>
      <c r="C18" s="4"/>
      <c r="D18" t="s">
        <v>25</v>
      </c>
      <c r="E18" t="s">
        <v>26</v>
      </c>
    </row>
    <row r="19" spans="2:5">
      <c r="B19" s="45"/>
      <c r="C19" s="4"/>
      <c r="E19" t="s">
        <v>27</v>
      </c>
    </row>
    <row r="20" spans="2:5">
      <c r="B20" s="4"/>
      <c r="C20" s="4"/>
    </row>
    <row r="21" spans="2:5">
      <c r="B21" s="42" t="s">
        <v>28</v>
      </c>
      <c r="C21" s="4"/>
      <c r="D21" t="s">
        <v>29</v>
      </c>
      <c r="E21" t="s">
        <v>30</v>
      </c>
    </row>
    <row r="22" spans="2:5">
      <c r="B22" s="42"/>
      <c r="C22" s="4"/>
      <c r="D22" s="22" t="s">
        <v>31</v>
      </c>
      <c r="E22" t="s">
        <v>32</v>
      </c>
    </row>
    <row r="23" spans="2:5">
      <c r="B23" s="4"/>
      <c r="C23" s="4"/>
    </row>
    <row r="24" spans="2:5">
      <c r="B24" s="4"/>
      <c r="C24" s="4"/>
    </row>
    <row r="25" spans="2:5">
      <c r="B25" s="4"/>
      <c r="C25" s="4"/>
      <c r="D25" s="4"/>
      <c r="E25" s="4"/>
    </row>
    <row r="26" spans="2:5">
      <c r="B26" s="4"/>
      <c r="C26" s="4"/>
    </row>
    <row r="27" spans="2:5">
      <c r="B27" s="4"/>
      <c r="C27" s="4"/>
    </row>
    <row r="28" spans="2:5">
      <c r="B28" s="4"/>
      <c r="C28" s="4"/>
    </row>
    <row r="30" spans="2:5">
      <c r="B30" s="4"/>
      <c r="C30" s="4"/>
    </row>
    <row r="31" spans="2:5">
      <c r="B31" s="4"/>
      <c r="C31" s="4"/>
    </row>
    <row r="32" spans="2:5">
      <c r="B32" s="4"/>
      <c r="C32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</sheetData>
  <mergeCells count="6">
    <mergeCell ref="B21:B22"/>
    <mergeCell ref="B11:B13"/>
    <mergeCell ref="B7:B8"/>
    <mergeCell ref="C5:D5"/>
    <mergeCell ref="B15:B16"/>
    <mergeCell ref="B18:B19"/>
  </mergeCells>
  <hyperlinks>
    <hyperlink ref="D22" r:id="rId1" display="../../../../../:u:/r/sites/MGX-Ecosystem/Shared Documents/GB300 CPLD/E1.S Comb/FOR CX8 only/CX8_C_06_04.jed?csf=1&amp;web=1&amp;e=R5BwXd" xr:uid="{EAEC61A7-122C-4B15-A39D-EE38E79BCA6D}"/>
  </hyperlinks>
  <pageMargins left="0.7" right="0.7" top="0.75" bottom="0.75" header="0.3" footer="0.3"/>
  <pageSetup paperSize="261" orientation="landscape" horizontalDpi="180" verticalDpi="18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7029-4A0A-4A37-9B18-9391E0FD6557}">
  <dimension ref="B3:F76"/>
  <sheetViews>
    <sheetView topLeftCell="A34" zoomScale="85" zoomScaleNormal="85" workbookViewId="0">
      <selection activeCell="F80" sqref="F80"/>
    </sheetView>
  </sheetViews>
  <sheetFormatPr defaultRowHeight="15"/>
  <cols>
    <col min="3" max="3" width="19.85546875" customWidth="1"/>
    <col min="4" max="5" width="19.28515625" customWidth="1"/>
    <col min="6" max="6" width="129.85546875" customWidth="1"/>
  </cols>
  <sheetData>
    <row r="3" spans="2:6" ht="45">
      <c r="B3" t="s">
        <v>8</v>
      </c>
      <c r="C3" s="41" t="s">
        <v>9</v>
      </c>
      <c r="D3" s="41"/>
      <c r="E3" s="28" t="s">
        <v>33</v>
      </c>
      <c r="F3" t="s">
        <v>10</v>
      </c>
    </row>
    <row r="4" spans="2:6" ht="15" customHeight="1">
      <c r="B4" s="44" t="s">
        <v>13</v>
      </c>
      <c r="C4" t="s">
        <v>34</v>
      </c>
      <c r="E4" s="46" t="s">
        <v>35</v>
      </c>
      <c r="F4" t="s">
        <v>36</v>
      </c>
    </row>
    <row r="5" spans="2:6">
      <c r="B5" s="44"/>
      <c r="E5" s="46"/>
      <c r="F5" t="s">
        <v>37</v>
      </c>
    </row>
    <row r="6" spans="2:6">
      <c r="B6" s="4"/>
    </row>
    <row r="7" spans="2:6" ht="15" customHeight="1">
      <c r="B7" s="44" t="s">
        <v>13</v>
      </c>
      <c r="D7" t="s">
        <v>38</v>
      </c>
      <c r="E7" s="46" t="s">
        <v>35</v>
      </c>
      <c r="F7" t="s">
        <v>39</v>
      </c>
    </row>
    <row r="8" spans="2:6">
      <c r="B8" s="44"/>
      <c r="E8" s="46"/>
      <c r="F8" t="s">
        <v>37</v>
      </c>
    </row>
    <row r="9" spans="2:6">
      <c r="B9" s="4"/>
    </row>
    <row r="10" spans="2:6" ht="15" customHeight="1">
      <c r="B10" s="44" t="s">
        <v>13</v>
      </c>
      <c r="D10" t="s">
        <v>40</v>
      </c>
      <c r="E10" s="46" t="s">
        <v>35</v>
      </c>
      <c r="F10" t="s">
        <v>41</v>
      </c>
    </row>
    <row r="11" spans="2:6">
      <c r="B11" s="44"/>
      <c r="E11" s="46"/>
      <c r="F11" t="s">
        <v>42</v>
      </c>
    </row>
    <row r="13" spans="2:6">
      <c r="B13" s="44" t="s">
        <v>13</v>
      </c>
      <c r="C13" t="s">
        <v>43</v>
      </c>
      <c r="D13" t="s">
        <v>44</v>
      </c>
      <c r="E13" s="46" t="s">
        <v>35</v>
      </c>
      <c r="F13" t="s">
        <v>45</v>
      </c>
    </row>
    <row r="14" spans="2:6">
      <c r="B14" s="44"/>
      <c r="E14" s="46"/>
      <c r="F14" t="s">
        <v>46</v>
      </c>
    </row>
    <row r="16" spans="2:6" ht="15" customHeight="1">
      <c r="B16" s="47" t="s">
        <v>13</v>
      </c>
      <c r="D16" t="s">
        <v>47</v>
      </c>
      <c r="E16" s="46" t="s">
        <v>48</v>
      </c>
      <c r="F16" t="s">
        <v>49</v>
      </c>
    </row>
    <row r="17" spans="2:6">
      <c r="B17" s="47"/>
      <c r="E17" s="46"/>
      <c r="F17" t="s">
        <v>50</v>
      </c>
    </row>
    <row r="18" spans="2:6">
      <c r="B18" s="47"/>
      <c r="E18" s="46"/>
      <c r="F18" s="29" t="s">
        <v>51</v>
      </c>
    </row>
    <row r="19" spans="2:6">
      <c r="B19" s="47"/>
      <c r="E19" s="46"/>
      <c r="F19" s="29" t="s">
        <v>52</v>
      </c>
    </row>
    <row r="21" spans="2:6">
      <c r="B21" s="44" t="s">
        <v>13</v>
      </c>
      <c r="C21" t="s">
        <v>53</v>
      </c>
      <c r="D21" t="s">
        <v>54</v>
      </c>
      <c r="E21" s="46" t="s">
        <v>48</v>
      </c>
      <c r="F21" t="s">
        <v>55</v>
      </c>
    </row>
    <row r="22" spans="2:6">
      <c r="B22" s="44"/>
      <c r="E22" s="46"/>
      <c r="F22" t="s">
        <v>56</v>
      </c>
    </row>
    <row r="23" spans="2:6">
      <c r="B23" s="4"/>
    </row>
    <row r="24" spans="2:6">
      <c r="B24" s="44" t="s">
        <v>13</v>
      </c>
      <c r="C24" t="s">
        <v>57</v>
      </c>
      <c r="D24" t="s">
        <v>58</v>
      </c>
      <c r="E24" s="46" t="s">
        <v>59</v>
      </c>
      <c r="F24" t="s">
        <v>60</v>
      </c>
    </row>
    <row r="25" spans="2:6">
      <c r="B25" s="44"/>
      <c r="E25" s="46"/>
      <c r="F25" t="s">
        <v>61</v>
      </c>
    </row>
    <row r="26" spans="2:6">
      <c r="B26" s="27"/>
      <c r="E26" s="46"/>
      <c r="F26" t="s">
        <v>62</v>
      </c>
    </row>
    <row r="27" spans="2:6">
      <c r="B27" s="4"/>
    </row>
    <row r="28" spans="2:6">
      <c r="B28" s="47" t="s">
        <v>13</v>
      </c>
      <c r="C28" t="s">
        <v>63</v>
      </c>
      <c r="D28" t="s">
        <v>64</v>
      </c>
      <c r="E28" s="46" t="s">
        <v>59</v>
      </c>
      <c r="F28" t="s">
        <v>65</v>
      </c>
    </row>
    <row r="29" spans="2:6">
      <c r="B29" s="47"/>
      <c r="E29" s="46"/>
      <c r="F29" s="33" t="s">
        <v>66</v>
      </c>
    </row>
    <row r="30" spans="2:6">
      <c r="B30" s="47"/>
      <c r="E30" s="46"/>
      <c r="F30" s="33" t="s">
        <v>67</v>
      </c>
    </row>
    <row r="31" spans="2:6">
      <c r="B31" s="4"/>
    </row>
    <row r="32" spans="2:6">
      <c r="B32" s="47" t="s">
        <v>13</v>
      </c>
      <c r="C32" t="s">
        <v>68</v>
      </c>
      <c r="D32" t="s">
        <v>69</v>
      </c>
      <c r="E32" s="46" t="s">
        <v>59</v>
      </c>
      <c r="F32" t="s">
        <v>70</v>
      </c>
    </row>
    <row r="33" spans="2:6">
      <c r="B33" s="47"/>
      <c r="E33" s="46"/>
      <c r="F33" s="33" t="s">
        <v>71</v>
      </c>
    </row>
    <row r="34" spans="2:6">
      <c r="B34" s="47"/>
      <c r="E34" s="46"/>
      <c r="F34" s="33" t="s">
        <v>72</v>
      </c>
    </row>
    <row r="35" spans="2:6">
      <c r="B35" s="4"/>
    </row>
    <row r="36" spans="2:6">
      <c r="B36" s="47" t="s">
        <v>13</v>
      </c>
      <c r="D36" t="s">
        <v>73</v>
      </c>
      <c r="E36" s="46" t="s">
        <v>59</v>
      </c>
      <c r="F36" t="s">
        <v>74</v>
      </c>
    </row>
    <row r="37" spans="2:6">
      <c r="B37" s="47"/>
      <c r="E37" s="46"/>
      <c r="F37" t="s">
        <v>75</v>
      </c>
    </row>
    <row r="38" spans="2:6">
      <c r="B38" s="47"/>
      <c r="E38" s="46"/>
      <c r="F38" s="33" t="s">
        <v>76</v>
      </c>
    </row>
    <row r="39" spans="2:6">
      <c r="B39" s="4"/>
    </row>
    <row r="40" spans="2:6">
      <c r="B40" s="47" t="s">
        <v>13</v>
      </c>
      <c r="C40" t="s">
        <v>77</v>
      </c>
      <c r="D40" t="s">
        <v>78</v>
      </c>
      <c r="E40" s="46" t="s">
        <v>59</v>
      </c>
      <c r="F40" t="s">
        <v>79</v>
      </c>
    </row>
    <row r="41" spans="2:6">
      <c r="B41" s="47"/>
      <c r="E41" s="46"/>
      <c r="F41" t="s">
        <v>80</v>
      </c>
    </row>
    <row r="42" spans="2:6">
      <c r="B42" s="47"/>
      <c r="E42" s="46"/>
      <c r="F42" s="33" t="s">
        <v>76</v>
      </c>
    </row>
    <row r="44" spans="2:6">
      <c r="B44" s="47" t="s">
        <v>13</v>
      </c>
      <c r="C44" t="s">
        <v>81</v>
      </c>
      <c r="D44" t="s">
        <v>82</v>
      </c>
      <c r="E44" s="46" t="s">
        <v>59</v>
      </c>
      <c r="F44" t="s">
        <v>83</v>
      </c>
    </row>
    <row r="45" spans="2:6">
      <c r="B45" s="47"/>
      <c r="E45" s="46"/>
      <c r="F45" t="s">
        <v>84</v>
      </c>
    </row>
    <row r="46" spans="2:6">
      <c r="B46" s="47"/>
      <c r="E46" s="46"/>
      <c r="F46" s="33"/>
    </row>
    <row r="53" spans="2:6">
      <c r="B53" s="47" t="s">
        <v>13</v>
      </c>
      <c r="D53" t="s">
        <v>85</v>
      </c>
      <c r="E53" s="46" t="s">
        <v>59</v>
      </c>
      <c r="F53" t="s">
        <v>86</v>
      </c>
    </row>
    <row r="54" spans="2:6">
      <c r="B54" s="47"/>
      <c r="E54" s="46"/>
    </row>
    <row r="55" spans="2:6">
      <c r="B55" s="47"/>
      <c r="E55" s="46"/>
    </row>
    <row r="57" spans="2:6">
      <c r="B57" s="47" t="s">
        <v>13</v>
      </c>
      <c r="D57" t="s">
        <v>87</v>
      </c>
      <c r="E57" s="46" t="s">
        <v>88</v>
      </c>
      <c r="F57" t="s">
        <v>89</v>
      </c>
    </row>
    <row r="58" spans="2:6">
      <c r="B58" s="47"/>
      <c r="E58" s="46"/>
      <c r="F58" t="s">
        <v>90</v>
      </c>
    </row>
    <row r="59" spans="2:6">
      <c r="B59" s="47"/>
      <c r="E59" s="46"/>
      <c r="F59" t="s">
        <v>91</v>
      </c>
    </row>
    <row r="60" spans="2:6">
      <c r="F60" t="s">
        <v>92</v>
      </c>
    </row>
    <row r="62" spans="2:6">
      <c r="B62" s="47" t="s">
        <v>13</v>
      </c>
      <c r="D62" t="s">
        <v>93</v>
      </c>
      <c r="E62" s="46" t="s">
        <v>88</v>
      </c>
      <c r="F62" t="s">
        <v>94</v>
      </c>
    </row>
    <row r="63" spans="2:6">
      <c r="B63" s="47"/>
      <c r="E63" s="46"/>
      <c r="F63" t="s">
        <v>95</v>
      </c>
    </row>
    <row r="64" spans="2:6">
      <c r="B64" s="47"/>
      <c r="E64" s="46"/>
    </row>
    <row r="66" spans="2:6">
      <c r="B66" s="47" t="s">
        <v>13</v>
      </c>
      <c r="D66" t="s">
        <v>96</v>
      </c>
      <c r="E66" s="46" t="s">
        <v>88</v>
      </c>
      <c r="F66" t="s">
        <v>97</v>
      </c>
    </row>
    <row r="67" spans="2:6">
      <c r="B67" s="47"/>
      <c r="E67" s="46"/>
      <c r="F67" t="s">
        <v>98</v>
      </c>
    </row>
    <row r="68" spans="2:6">
      <c r="B68" s="47"/>
      <c r="E68" s="46"/>
    </row>
    <row r="70" spans="2:6">
      <c r="B70" s="48" t="s">
        <v>28</v>
      </c>
      <c r="D70" t="s">
        <v>99</v>
      </c>
      <c r="E70" s="46" t="s">
        <v>88</v>
      </c>
      <c r="F70" t="s">
        <v>100</v>
      </c>
    </row>
    <row r="71" spans="2:6">
      <c r="B71" s="48"/>
      <c r="E71" s="46"/>
      <c r="F71" t="s">
        <v>27</v>
      </c>
    </row>
    <row r="72" spans="2:6">
      <c r="B72" s="48"/>
      <c r="E72" s="46"/>
    </row>
    <row r="74" spans="2:6">
      <c r="B74" s="45" t="s">
        <v>21</v>
      </c>
      <c r="D74" t="s">
        <v>101</v>
      </c>
      <c r="E74" s="46" t="s">
        <v>88</v>
      </c>
      <c r="F74" t="s">
        <v>102</v>
      </c>
    </row>
    <row r="75" spans="2:6">
      <c r="B75" s="45"/>
      <c r="E75" s="46"/>
      <c r="F75" t="s">
        <v>24</v>
      </c>
    </row>
    <row r="76" spans="2:6">
      <c r="E76" s="46"/>
    </row>
  </sheetData>
  <mergeCells count="37">
    <mergeCell ref="E70:E72"/>
    <mergeCell ref="E74:E76"/>
    <mergeCell ref="B74:B75"/>
    <mergeCell ref="B70:B72"/>
    <mergeCell ref="E32:E34"/>
    <mergeCell ref="B66:B68"/>
    <mergeCell ref="E66:E68"/>
    <mergeCell ref="B62:B64"/>
    <mergeCell ref="E62:E64"/>
    <mergeCell ref="E57:E59"/>
    <mergeCell ref="B57:B59"/>
    <mergeCell ref="C3:D3"/>
    <mergeCell ref="B16:B19"/>
    <mergeCell ref="B7:B8"/>
    <mergeCell ref="B4:B5"/>
    <mergeCell ref="B10:B11"/>
    <mergeCell ref="E4:E5"/>
    <mergeCell ref="E7:E8"/>
    <mergeCell ref="E10:E11"/>
    <mergeCell ref="E13:E14"/>
    <mergeCell ref="B13:B14"/>
    <mergeCell ref="E16:E19"/>
    <mergeCell ref="B44:B46"/>
    <mergeCell ref="B21:B22"/>
    <mergeCell ref="B53:B55"/>
    <mergeCell ref="E53:E55"/>
    <mergeCell ref="B36:B38"/>
    <mergeCell ref="E36:E38"/>
    <mergeCell ref="E28:E30"/>
    <mergeCell ref="B28:B30"/>
    <mergeCell ref="E44:E46"/>
    <mergeCell ref="B40:B42"/>
    <mergeCell ref="E40:E42"/>
    <mergeCell ref="E21:E22"/>
    <mergeCell ref="E24:E26"/>
    <mergeCell ref="B24:B25"/>
    <mergeCell ref="B32:B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2058-C46D-422D-A785-2941773A573D}">
  <dimension ref="B3:D46"/>
  <sheetViews>
    <sheetView tabSelected="1" workbookViewId="0"/>
  </sheetViews>
  <sheetFormatPr defaultRowHeight="15"/>
  <cols>
    <col min="3" max="3" width="18.140625" customWidth="1"/>
    <col min="4" max="4" width="135.42578125" customWidth="1"/>
  </cols>
  <sheetData>
    <row r="3" spans="2:4">
      <c r="B3" t="s">
        <v>8</v>
      </c>
      <c r="C3" s="13" t="s">
        <v>9</v>
      </c>
      <c r="D3" t="s">
        <v>10</v>
      </c>
    </row>
    <row r="4" spans="2:4">
      <c r="B4" s="4"/>
    </row>
    <row r="5" spans="2:4">
      <c r="B5" s="44" t="s">
        <v>13</v>
      </c>
      <c r="C5" t="s">
        <v>103</v>
      </c>
      <c r="D5" t="s">
        <v>104</v>
      </c>
    </row>
    <row r="6" spans="2:4">
      <c r="B6" s="44"/>
      <c r="D6" t="s">
        <v>37</v>
      </c>
    </row>
    <row r="7" spans="2:4">
      <c r="B7" s="4"/>
    </row>
    <row r="8" spans="2:4">
      <c r="B8" s="44" t="s">
        <v>13</v>
      </c>
      <c r="C8" t="s">
        <v>105</v>
      </c>
      <c r="D8" t="s">
        <v>106</v>
      </c>
    </row>
    <row r="9" spans="2:4">
      <c r="B9" s="44"/>
      <c r="D9" t="s">
        <v>107</v>
      </c>
    </row>
    <row r="10" spans="2:4">
      <c r="B10" s="44"/>
      <c r="D10" t="s">
        <v>108</v>
      </c>
    </row>
    <row r="11" spans="2:4">
      <c r="B11" s="4"/>
      <c r="C11" s="4"/>
      <c r="D11" s="4"/>
    </row>
    <row r="12" spans="2:4">
      <c r="B12" s="44" t="s">
        <v>13</v>
      </c>
      <c r="C12" t="s">
        <v>109</v>
      </c>
      <c r="D12" t="s">
        <v>110</v>
      </c>
    </row>
    <row r="13" spans="2:4">
      <c r="B13" s="44"/>
      <c r="D13" t="s">
        <v>111</v>
      </c>
    </row>
    <row r="14" spans="2:4">
      <c r="B14" s="44"/>
      <c r="D14" t="s">
        <v>112</v>
      </c>
    </row>
    <row r="15" spans="2:4">
      <c r="B15" s="4"/>
      <c r="C15" s="4"/>
      <c r="D15" s="4"/>
    </row>
    <row r="16" spans="2:4">
      <c r="B16" s="44" t="s">
        <v>13</v>
      </c>
      <c r="C16" t="s">
        <v>113</v>
      </c>
      <c r="D16" t="s">
        <v>114</v>
      </c>
    </row>
    <row r="17" spans="2:4">
      <c r="B17" s="44"/>
      <c r="D17" t="s">
        <v>115</v>
      </c>
    </row>
    <row r="18" spans="2:4">
      <c r="B18" s="44"/>
      <c r="D18" t="s">
        <v>116</v>
      </c>
    </row>
    <row r="19" spans="2:4">
      <c r="B19" s="4"/>
      <c r="C19" s="4"/>
      <c r="D19" s="4"/>
    </row>
    <row r="20" spans="2:4">
      <c r="B20" s="44" t="s">
        <v>13</v>
      </c>
      <c r="C20" t="s">
        <v>117</v>
      </c>
      <c r="D20" t="s">
        <v>118</v>
      </c>
    </row>
    <row r="21" spans="2:4">
      <c r="B21" s="44"/>
      <c r="D21" t="s">
        <v>119</v>
      </c>
    </row>
    <row r="22" spans="2:4">
      <c r="B22" s="44"/>
      <c r="D22" t="s">
        <v>120</v>
      </c>
    </row>
    <row r="23" spans="2:4">
      <c r="B23" s="4"/>
      <c r="C23" s="4"/>
      <c r="D23" s="4"/>
    </row>
    <row r="24" spans="2:4">
      <c r="B24" s="44" t="s">
        <v>13</v>
      </c>
      <c r="C24" t="s">
        <v>121</v>
      </c>
      <c r="D24" t="s">
        <v>122</v>
      </c>
    </row>
    <row r="25" spans="2:4">
      <c r="B25" s="44"/>
      <c r="D25" t="s">
        <v>123</v>
      </c>
    </row>
    <row r="26" spans="2:4">
      <c r="B26" s="44"/>
    </row>
    <row r="28" spans="2:4">
      <c r="B28" s="44" t="s">
        <v>13</v>
      </c>
      <c r="C28" t="s">
        <v>124</v>
      </c>
      <c r="D28" t="s">
        <v>125</v>
      </c>
    </row>
    <row r="29" spans="2:4">
      <c r="B29" s="44"/>
      <c r="D29" t="s">
        <v>126</v>
      </c>
    </row>
    <row r="30" spans="2:4">
      <c r="B30" s="44"/>
    </row>
    <row r="32" spans="2:4">
      <c r="B32" s="44" t="s">
        <v>13</v>
      </c>
      <c r="C32" t="s">
        <v>127</v>
      </c>
      <c r="D32" t="s">
        <v>128</v>
      </c>
    </row>
    <row r="33" spans="2:4">
      <c r="B33" s="44"/>
      <c r="D33" t="s">
        <v>129</v>
      </c>
    </row>
    <row r="34" spans="2:4">
      <c r="B34" s="44"/>
    </row>
    <row r="36" spans="2:4">
      <c r="B36" s="44" t="s">
        <v>13</v>
      </c>
      <c r="C36" t="s">
        <v>130</v>
      </c>
      <c r="D36" t="s">
        <v>131</v>
      </c>
    </row>
    <row r="37" spans="2:4">
      <c r="B37" s="44"/>
      <c r="D37" t="s">
        <v>132</v>
      </c>
    </row>
    <row r="38" spans="2:4">
      <c r="B38" s="44"/>
    </row>
    <row r="40" spans="2:4">
      <c r="B40" s="44" t="s">
        <v>13</v>
      </c>
      <c r="C40" t="s">
        <v>133</v>
      </c>
      <c r="D40" t="s">
        <v>134</v>
      </c>
    </row>
    <row r="41" spans="2:4">
      <c r="B41" s="44"/>
      <c r="D41" t="s">
        <v>135</v>
      </c>
    </row>
    <row r="42" spans="2:4">
      <c r="B42" s="44"/>
    </row>
    <row r="44" spans="2:4">
      <c r="B44" s="44" t="s">
        <v>13</v>
      </c>
      <c r="C44" t="s">
        <v>136</v>
      </c>
      <c r="D44" t="s">
        <v>137</v>
      </c>
    </row>
    <row r="45" spans="2:4">
      <c r="B45" s="44"/>
      <c r="D45" t="s">
        <v>138</v>
      </c>
    </row>
    <row r="46" spans="2:4">
      <c r="B46" s="44"/>
    </row>
  </sheetData>
  <mergeCells count="11">
    <mergeCell ref="B44:B46"/>
    <mergeCell ref="B32:B34"/>
    <mergeCell ref="B36:B38"/>
    <mergeCell ref="B40:B42"/>
    <mergeCell ref="B5:B6"/>
    <mergeCell ref="B20:B22"/>
    <mergeCell ref="B28:B30"/>
    <mergeCell ref="B24:B26"/>
    <mergeCell ref="B8:B10"/>
    <mergeCell ref="B12:B14"/>
    <mergeCell ref="B16:B18"/>
  </mergeCells>
  <pageMargins left="0.7" right="0.7" top="0.75" bottom="0.75" header="0.3" footer="0.3"/>
  <pageSetup paperSize="261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0883-DEE9-4962-B697-3225A591DBF7}">
  <dimension ref="B6:F38"/>
  <sheetViews>
    <sheetView topLeftCell="A4" zoomScale="130" zoomScaleNormal="130" workbookViewId="0">
      <selection activeCell="C39" sqref="C39"/>
    </sheetView>
  </sheetViews>
  <sheetFormatPr defaultRowHeight="15"/>
  <cols>
    <col min="3" max="3" width="16.85546875" customWidth="1"/>
    <col min="5" max="5" width="13.5703125" customWidth="1"/>
  </cols>
  <sheetData>
    <row r="6" spans="2:6" ht="15.75" thickBot="1"/>
    <row r="7" spans="2:6" ht="15.75" thickBot="1">
      <c r="B7" s="3"/>
      <c r="C7" s="20" t="s">
        <v>139</v>
      </c>
      <c r="D7" s="49" t="s">
        <v>140</v>
      </c>
      <c r="E7" s="49"/>
      <c r="F7" s="21" t="s">
        <v>141</v>
      </c>
    </row>
    <row r="8" spans="2:6">
      <c r="B8" s="52" t="s">
        <v>142</v>
      </c>
      <c r="C8" s="14" t="s">
        <v>143</v>
      </c>
      <c r="D8" s="50" t="s">
        <v>144</v>
      </c>
      <c r="E8" s="1" t="s">
        <v>145</v>
      </c>
      <c r="F8" s="2" t="s">
        <v>146</v>
      </c>
    </row>
    <row r="9" spans="2:6">
      <c r="B9" s="53"/>
      <c r="C9" s="15" t="s">
        <v>147</v>
      </c>
      <c r="D9" s="41"/>
      <c r="E9" t="s">
        <v>148</v>
      </c>
      <c r="F9" s="16" t="s">
        <v>149</v>
      </c>
    </row>
    <row r="10" spans="2:6">
      <c r="B10" s="53"/>
      <c r="C10" s="15" t="s">
        <v>150</v>
      </c>
      <c r="D10" s="41" t="s">
        <v>151</v>
      </c>
      <c r="E10" t="s">
        <v>152</v>
      </c>
      <c r="F10" s="16" t="s">
        <v>153</v>
      </c>
    </row>
    <row r="11" spans="2:6" ht="15.75" thickBot="1">
      <c r="B11" s="53"/>
      <c r="C11" s="17" t="s">
        <v>154</v>
      </c>
      <c r="D11" s="51"/>
      <c r="E11" s="18" t="s">
        <v>155</v>
      </c>
      <c r="F11" s="19" t="s">
        <v>156</v>
      </c>
    </row>
    <row r="12" spans="2:6">
      <c r="B12" s="53"/>
      <c r="C12" s="14" t="s">
        <v>157</v>
      </c>
      <c r="D12" s="50" t="s">
        <v>144</v>
      </c>
      <c r="E12" s="1" t="s">
        <v>145</v>
      </c>
      <c r="F12" s="2" t="s">
        <v>158</v>
      </c>
    </row>
    <row r="13" spans="2:6">
      <c r="B13" s="53"/>
      <c r="C13" s="15" t="s">
        <v>159</v>
      </c>
      <c r="D13" s="41"/>
      <c r="E13" t="s">
        <v>148</v>
      </c>
      <c r="F13" s="16" t="s">
        <v>160</v>
      </c>
    </row>
    <row r="14" spans="2:6">
      <c r="B14" s="53"/>
      <c r="C14" s="15" t="s">
        <v>161</v>
      </c>
      <c r="D14" s="41" t="s">
        <v>151</v>
      </c>
      <c r="E14" t="s">
        <v>152</v>
      </c>
      <c r="F14" s="16" t="s">
        <v>162</v>
      </c>
    </row>
    <row r="15" spans="2:6" ht="15.75" thickBot="1">
      <c r="B15" s="54"/>
      <c r="C15" s="17" t="s">
        <v>163</v>
      </c>
      <c r="D15" s="51"/>
      <c r="E15" s="18" t="s">
        <v>155</v>
      </c>
      <c r="F15" s="19" t="s">
        <v>164</v>
      </c>
    </row>
    <row r="16" spans="2:6" ht="15.75" thickBot="1"/>
    <row r="17" spans="2:6" ht="15.75" thickBot="1">
      <c r="B17" s="3"/>
      <c r="C17" s="20" t="s">
        <v>139</v>
      </c>
      <c r="D17" s="49" t="s">
        <v>140</v>
      </c>
      <c r="E17" s="49"/>
      <c r="F17" s="21" t="s">
        <v>141</v>
      </c>
    </row>
    <row r="18" spans="2:6">
      <c r="B18" s="52" t="s">
        <v>165</v>
      </c>
      <c r="C18" s="14" t="s">
        <v>143</v>
      </c>
      <c r="D18" s="50" t="s">
        <v>144</v>
      </c>
      <c r="E18" s="1" t="s">
        <v>145</v>
      </c>
      <c r="F18" s="2" t="s">
        <v>146</v>
      </c>
    </row>
    <row r="19" spans="2:6">
      <c r="B19" s="53"/>
      <c r="C19" s="15" t="s">
        <v>147</v>
      </c>
      <c r="D19" s="41"/>
      <c r="E19" t="s">
        <v>148</v>
      </c>
      <c r="F19" s="16" t="s">
        <v>149</v>
      </c>
    </row>
    <row r="20" spans="2:6">
      <c r="B20" s="53"/>
      <c r="C20" s="15" t="s">
        <v>150</v>
      </c>
      <c r="D20" s="41" t="s">
        <v>151</v>
      </c>
      <c r="E20" t="s">
        <v>152</v>
      </c>
      <c r="F20" s="16" t="s">
        <v>153</v>
      </c>
    </row>
    <row r="21" spans="2:6" ht="15.75" thickBot="1">
      <c r="B21" s="54"/>
      <c r="C21" s="17" t="s">
        <v>154</v>
      </c>
      <c r="D21" s="51"/>
      <c r="E21" s="18" t="s">
        <v>155</v>
      </c>
      <c r="F21" s="19" t="s">
        <v>156</v>
      </c>
    </row>
    <row r="22" spans="2:6" ht="15.75" thickBot="1"/>
    <row r="23" spans="2:6" ht="15.75" thickBot="1">
      <c r="B23" s="3"/>
      <c r="C23" s="20" t="s">
        <v>139</v>
      </c>
      <c r="D23" s="49" t="s">
        <v>140</v>
      </c>
      <c r="E23" s="49"/>
      <c r="F23" s="21" t="s">
        <v>141</v>
      </c>
    </row>
    <row r="24" spans="2:6" ht="15" customHeight="1">
      <c r="B24" s="52" t="s">
        <v>166</v>
      </c>
      <c r="C24" s="14" t="s">
        <v>143</v>
      </c>
      <c r="D24" s="50" t="s">
        <v>144</v>
      </c>
      <c r="E24" s="1" t="s">
        <v>145</v>
      </c>
      <c r="F24" s="2" t="s">
        <v>146</v>
      </c>
    </row>
    <row r="25" spans="2:6">
      <c r="B25" s="53"/>
      <c r="C25" s="15" t="s">
        <v>147</v>
      </c>
      <c r="D25" s="41"/>
      <c r="E25" t="s">
        <v>148</v>
      </c>
      <c r="F25" s="16" t="s">
        <v>149</v>
      </c>
    </row>
    <row r="26" spans="2:6">
      <c r="B26" s="53"/>
      <c r="C26" s="15" t="s">
        <v>157</v>
      </c>
      <c r="D26" s="41" t="s">
        <v>144</v>
      </c>
      <c r="E26" t="s">
        <v>145</v>
      </c>
      <c r="F26" s="16" t="s">
        <v>153</v>
      </c>
    </row>
    <row r="27" spans="2:6" ht="15.75" thickBot="1">
      <c r="B27" s="54"/>
      <c r="C27" s="17" t="s">
        <v>159</v>
      </c>
      <c r="D27" s="51"/>
      <c r="E27" s="18" t="s">
        <v>148</v>
      </c>
      <c r="F27" s="19" t="s">
        <v>156</v>
      </c>
    </row>
    <row r="29" spans="2:6" ht="15.75" hidden="1" thickBot="1">
      <c r="B29" s="3"/>
      <c r="C29" s="20" t="s">
        <v>139</v>
      </c>
      <c r="D29" s="49" t="s">
        <v>140</v>
      </c>
      <c r="E29" s="49"/>
      <c r="F29" s="21" t="s">
        <v>141</v>
      </c>
    </row>
    <row r="30" spans="2:6" hidden="1">
      <c r="B30" s="52" t="s">
        <v>166</v>
      </c>
      <c r="C30" s="14" t="s">
        <v>143</v>
      </c>
      <c r="D30" s="50" t="s">
        <v>144</v>
      </c>
      <c r="E30" s="1" t="s">
        <v>145</v>
      </c>
      <c r="F30" s="2" t="s">
        <v>146</v>
      </c>
    </row>
    <row r="31" spans="2:6" hidden="1">
      <c r="B31" s="53"/>
      <c r="C31" s="15" t="s">
        <v>147</v>
      </c>
      <c r="D31" s="41"/>
      <c r="E31" t="s">
        <v>148</v>
      </c>
      <c r="F31" s="16" t="s">
        <v>149</v>
      </c>
    </row>
    <row r="32" spans="2:6" hidden="1">
      <c r="B32" s="53"/>
      <c r="C32" s="15" t="s">
        <v>161</v>
      </c>
      <c r="D32" s="41" t="s">
        <v>151</v>
      </c>
      <c r="E32" t="s">
        <v>152</v>
      </c>
      <c r="F32" s="16" t="s">
        <v>153</v>
      </c>
    </row>
    <row r="33" spans="2:6" ht="15.75" hidden="1" thickBot="1">
      <c r="B33" s="54"/>
      <c r="C33" s="17" t="s">
        <v>163</v>
      </c>
      <c r="D33" s="51"/>
      <c r="E33" s="18" t="s">
        <v>155</v>
      </c>
      <c r="F33" s="19" t="s">
        <v>156</v>
      </c>
    </row>
    <row r="38" spans="2:6">
      <c r="C38" t="s">
        <v>167</v>
      </c>
    </row>
  </sheetData>
  <mergeCells count="18">
    <mergeCell ref="D29:E29"/>
    <mergeCell ref="B30:B33"/>
    <mergeCell ref="D30:D31"/>
    <mergeCell ref="D32:D33"/>
    <mergeCell ref="D23:E23"/>
    <mergeCell ref="B24:B27"/>
    <mergeCell ref="D24:D25"/>
    <mergeCell ref="D26:D27"/>
    <mergeCell ref="D7:E7"/>
    <mergeCell ref="D12:D13"/>
    <mergeCell ref="D14:D15"/>
    <mergeCell ref="D17:E17"/>
    <mergeCell ref="B18:B21"/>
    <mergeCell ref="D18:D19"/>
    <mergeCell ref="D20:D21"/>
    <mergeCell ref="B8:B15"/>
    <mergeCell ref="D8:D9"/>
    <mergeCell ref="D10:D1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8564-4DE6-40C4-AF3D-D527F62343DA}">
  <sheetPr>
    <pageSetUpPr fitToPage="1"/>
  </sheetPr>
  <dimension ref="C4:Q58"/>
  <sheetViews>
    <sheetView topLeftCell="A57" workbookViewId="0">
      <selection activeCell="N29" sqref="N29"/>
    </sheetView>
  </sheetViews>
  <sheetFormatPr defaultRowHeight="15"/>
  <cols>
    <col min="3" max="4" width="11" customWidth="1"/>
    <col min="6" max="6" width="10.85546875" customWidth="1"/>
    <col min="7" max="7" width="6.7109375" customWidth="1"/>
    <col min="8" max="8" width="21" customWidth="1"/>
    <col min="9" max="9" width="9.42578125" customWidth="1"/>
    <col min="10" max="10" width="9.42578125" hidden="1" customWidth="1"/>
    <col min="11" max="11" width="8.7109375" hidden="1" customWidth="1"/>
    <col min="12" max="12" width="11.140625" customWidth="1"/>
    <col min="14" max="14" width="13" customWidth="1"/>
  </cols>
  <sheetData>
    <row r="4" spans="3:17" ht="15.75" thickBot="1"/>
    <row r="5" spans="3:17" ht="15.75" thickBot="1">
      <c r="C5" s="65" t="s">
        <v>168</v>
      </c>
      <c r="D5" s="66"/>
      <c r="E5" s="66"/>
      <c r="F5" s="66"/>
      <c r="G5" s="66"/>
      <c r="H5" s="66"/>
      <c r="I5" s="66"/>
      <c r="J5" s="66"/>
      <c r="K5" s="66"/>
      <c r="L5" s="67"/>
      <c r="N5" s="64"/>
      <c r="O5" s="64"/>
      <c r="P5" s="4"/>
      <c r="Q5" s="4"/>
    </row>
    <row r="6" spans="3:17" ht="15.75" thickBot="1">
      <c r="C6" s="3" t="s">
        <v>169</v>
      </c>
      <c r="D6" s="1" t="s">
        <v>170</v>
      </c>
      <c r="E6" s="1" t="s">
        <v>171</v>
      </c>
      <c r="F6" s="1" t="s">
        <v>172</v>
      </c>
      <c r="G6" s="1" t="s">
        <v>173</v>
      </c>
      <c r="H6" s="1" t="s">
        <v>174</v>
      </c>
      <c r="I6" s="1" t="s">
        <v>175</v>
      </c>
      <c r="J6" s="1" t="s">
        <v>176</v>
      </c>
      <c r="K6" s="1" t="s">
        <v>177</v>
      </c>
      <c r="L6" s="2" t="s">
        <v>178</v>
      </c>
      <c r="N6" s="4" t="s">
        <v>179</v>
      </c>
      <c r="O6" s="4" t="s">
        <v>139</v>
      </c>
      <c r="P6" s="4"/>
      <c r="Q6" s="4"/>
    </row>
    <row r="7" spans="3:17">
      <c r="C7" s="61" t="s">
        <v>144</v>
      </c>
      <c r="D7" s="55" t="s">
        <v>180</v>
      </c>
      <c r="E7" s="57" t="s">
        <v>146</v>
      </c>
      <c r="F7" s="57" t="s">
        <v>181</v>
      </c>
      <c r="G7" s="5" t="s">
        <v>182</v>
      </c>
      <c r="H7" s="5"/>
      <c r="I7" s="5"/>
      <c r="J7" s="5"/>
      <c r="K7" s="5"/>
      <c r="L7" s="6">
        <v>0</v>
      </c>
      <c r="N7" s="4"/>
      <c r="O7" s="4"/>
      <c r="P7" s="4"/>
      <c r="Q7" s="4"/>
    </row>
    <row r="8" spans="3:17">
      <c r="C8" s="62"/>
      <c r="D8" s="56"/>
      <c r="E8" s="41"/>
      <c r="F8" s="41"/>
      <c r="G8" t="s">
        <v>183</v>
      </c>
      <c r="H8" t="s">
        <v>184</v>
      </c>
      <c r="K8" s="7" t="s">
        <v>185</v>
      </c>
      <c r="L8" s="8">
        <v>0</v>
      </c>
      <c r="N8" s="4"/>
      <c r="O8" s="4">
        <v>115</v>
      </c>
      <c r="P8" s="4">
        <f t="shared" ref="P8:P18" si="0">O8-112</f>
        <v>3</v>
      </c>
      <c r="Q8" s="4"/>
    </row>
    <row r="9" spans="3:17">
      <c r="C9" s="62"/>
      <c r="D9" s="56"/>
      <c r="E9" s="41"/>
      <c r="F9" s="41"/>
      <c r="G9" t="s">
        <v>186</v>
      </c>
      <c r="H9" t="s">
        <v>187</v>
      </c>
      <c r="K9" s="7" t="s">
        <v>185</v>
      </c>
      <c r="L9" s="8">
        <v>0</v>
      </c>
      <c r="N9" s="4"/>
      <c r="O9" s="4">
        <v>120</v>
      </c>
      <c r="P9" s="4">
        <f t="shared" si="0"/>
        <v>8</v>
      </c>
      <c r="Q9" s="4"/>
    </row>
    <row r="10" spans="3:17">
      <c r="C10" s="62"/>
      <c r="D10" s="56"/>
      <c r="E10" s="41"/>
      <c r="F10" s="41"/>
      <c r="G10" t="s">
        <v>188</v>
      </c>
      <c r="H10" t="s">
        <v>189</v>
      </c>
      <c r="K10" s="7" t="s">
        <v>185</v>
      </c>
      <c r="L10" s="8">
        <v>1</v>
      </c>
      <c r="N10" s="4"/>
      <c r="O10" s="4">
        <v>124</v>
      </c>
      <c r="P10" s="4">
        <f t="shared" si="0"/>
        <v>12</v>
      </c>
      <c r="Q10" s="4"/>
    </row>
    <row r="11" spans="3:17">
      <c r="C11" s="62"/>
      <c r="D11" s="56"/>
      <c r="E11" s="41"/>
      <c r="F11" s="41"/>
      <c r="G11" t="s">
        <v>190</v>
      </c>
      <c r="L11" s="8">
        <v>0</v>
      </c>
      <c r="N11" s="4"/>
      <c r="O11" s="4"/>
      <c r="P11" s="4"/>
      <c r="Q11" s="4"/>
    </row>
    <row r="12" spans="3:17">
      <c r="C12" s="62"/>
      <c r="D12" s="59"/>
      <c r="E12" s="60"/>
      <c r="F12" s="60"/>
      <c r="G12" s="9" t="s">
        <v>191</v>
      </c>
      <c r="H12" s="9" t="s">
        <v>192</v>
      </c>
      <c r="I12" s="10" t="s">
        <v>185</v>
      </c>
      <c r="J12" s="10" t="s">
        <v>185</v>
      </c>
      <c r="K12" s="10" t="s">
        <v>185</v>
      </c>
      <c r="L12" s="11">
        <v>1</v>
      </c>
      <c r="N12" s="4"/>
      <c r="O12" s="4">
        <v>114</v>
      </c>
      <c r="P12" s="4">
        <f t="shared" si="0"/>
        <v>2</v>
      </c>
      <c r="Q12" s="4"/>
    </row>
    <row r="13" spans="3:17">
      <c r="C13" s="62"/>
      <c r="D13" s="55" t="s">
        <v>193</v>
      </c>
      <c r="E13" s="57" t="s">
        <v>149</v>
      </c>
      <c r="F13" s="57" t="s">
        <v>181</v>
      </c>
      <c r="G13" s="5" t="s">
        <v>182</v>
      </c>
      <c r="H13" s="5"/>
      <c r="I13" s="5"/>
      <c r="J13" s="5"/>
      <c r="K13" s="5"/>
      <c r="L13" s="6">
        <v>0</v>
      </c>
      <c r="N13" s="4"/>
      <c r="O13" s="4"/>
      <c r="P13" s="4"/>
      <c r="Q13" s="4"/>
    </row>
    <row r="14" spans="3:17">
      <c r="C14" s="62"/>
      <c r="D14" s="56"/>
      <c r="E14" s="41"/>
      <c r="F14" s="41"/>
      <c r="G14" t="s">
        <v>183</v>
      </c>
      <c r="H14" t="s">
        <v>184</v>
      </c>
      <c r="K14" s="7" t="s">
        <v>185</v>
      </c>
      <c r="L14" s="8">
        <v>0</v>
      </c>
      <c r="N14" s="4"/>
      <c r="O14" s="4">
        <f>O8+16</f>
        <v>131</v>
      </c>
      <c r="P14" s="4">
        <f t="shared" si="0"/>
        <v>19</v>
      </c>
      <c r="Q14" s="4"/>
    </row>
    <row r="15" spans="3:17">
      <c r="C15" s="62"/>
      <c r="D15" s="56"/>
      <c r="E15" s="41"/>
      <c r="F15" s="41"/>
      <c r="G15" t="s">
        <v>186</v>
      </c>
      <c r="H15" t="s">
        <v>187</v>
      </c>
      <c r="K15" s="7" t="s">
        <v>185</v>
      </c>
      <c r="L15" s="8">
        <v>0</v>
      </c>
      <c r="N15" s="4"/>
      <c r="O15" s="4">
        <f t="shared" ref="O15:O18" si="1">O9+16</f>
        <v>136</v>
      </c>
      <c r="P15" s="4">
        <f t="shared" si="0"/>
        <v>24</v>
      </c>
      <c r="Q15" s="4"/>
    </row>
    <row r="16" spans="3:17">
      <c r="C16" s="62"/>
      <c r="D16" s="56"/>
      <c r="E16" s="41"/>
      <c r="F16" s="41"/>
      <c r="G16" t="s">
        <v>188</v>
      </c>
      <c r="H16" t="s">
        <v>189</v>
      </c>
      <c r="K16" s="7" t="s">
        <v>185</v>
      </c>
      <c r="L16" s="8">
        <v>1</v>
      </c>
      <c r="N16" s="4"/>
      <c r="O16" s="4">
        <f t="shared" si="1"/>
        <v>140</v>
      </c>
      <c r="P16" s="4">
        <f t="shared" si="0"/>
        <v>28</v>
      </c>
      <c r="Q16" s="4"/>
    </row>
    <row r="17" spans="3:17">
      <c r="C17" s="62"/>
      <c r="D17" s="56"/>
      <c r="E17" s="41"/>
      <c r="F17" s="41"/>
      <c r="G17" t="s">
        <v>190</v>
      </c>
      <c r="L17" s="8">
        <v>0</v>
      </c>
      <c r="N17" s="4"/>
      <c r="O17" s="4"/>
      <c r="P17" s="4">
        <f t="shared" si="0"/>
        <v>-112</v>
      </c>
      <c r="Q17" s="4"/>
    </row>
    <row r="18" spans="3:17">
      <c r="C18" s="62"/>
      <c r="D18" s="59"/>
      <c r="E18" s="60"/>
      <c r="F18" s="60"/>
      <c r="G18" s="9" t="s">
        <v>191</v>
      </c>
      <c r="H18" s="9" t="s">
        <v>192</v>
      </c>
      <c r="I18" s="10" t="s">
        <v>185</v>
      </c>
      <c r="J18" s="10" t="s">
        <v>185</v>
      </c>
      <c r="K18" s="10" t="s">
        <v>185</v>
      </c>
      <c r="L18" s="11">
        <v>1</v>
      </c>
      <c r="N18" s="4"/>
      <c r="O18" s="4">
        <f t="shared" si="1"/>
        <v>130</v>
      </c>
      <c r="P18" s="4">
        <f t="shared" si="0"/>
        <v>18</v>
      </c>
      <c r="Q18" s="4"/>
    </row>
    <row r="19" spans="3:17">
      <c r="C19" s="62"/>
      <c r="D19" s="55" t="s">
        <v>194</v>
      </c>
      <c r="E19" s="57" t="s">
        <v>146</v>
      </c>
      <c r="F19" s="58" t="s">
        <v>195</v>
      </c>
      <c r="G19" s="5" t="s">
        <v>183</v>
      </c>
      <c r="H19" s="5" t="s">
        <v>196</v>
      </c>
      <c r="I19" s="7" t="s">
        <v>185</v>
      </c>
      <c r="J19" s="7" t="s">
        <v>185</v>
      </c>
      <c r="K19" s="7" t="s">
        <v>185</v>
      </c>
      <c r="L19" s="6">
        <v>0</v>
      </c>
      <c r="N19" s="4"/>
      <c r="O19" s="4">
        <v>112</v>
      </c>
      <c r="P19" s="4">
        <f>O19-112</f>
        <v>0</v>
      </c>
      <c r="Q19" s="4"/>
    </row>
    <row r="20" spans="3:17">
      <c r="C20" s="62"/>
      <c r="D20" s="56"/>
      <c r="E20" s="41"/>
      <c r="F20" s="41"/>
      <c r="G20" t="s">
        <v>186</v>
      </c>
      <c r="H20" t="s">
        <v>197</v>
      </c>
      <c r="K20" s="7" t="s">
        <v>185</v>
      </c>
      <c r="L20" s="8">
        <v>0</v>
      </c>
      <c r="N20" s="4"/>
      <c r="O20" s="4">
        <v>113</v>
      </c>
      <c r="P20" s="4">
        <f t="shared" ref="P20:P32" si="2">O20-112</f>
        <v>1</v>
      </c>
      <c r="Q20" s="4"/>
    </row>
    <row r="21" spans="3:17">
      <c r="C21" s="62"/>
      <c r="D21" s="56"/>
      <c r="E21" s="41"/>
      <c r="F21" s="41"/>
      <c r="G21" t="s">
        <v>188</v>
      </c>
      <c r="H21" t="s">
        <v>198</v>
      </c>
      <c r="I21" s="7" t="s">
        <v>185</v>
      </c>
      <c r="J21" s="7" t="s">
        <v>185</v>
      </c>
      <c r="K21" s="7" t="s">
        <v>185</v>
      </c>
      <c r="L21" s="8">
        <v>1</v>
      </c>
      <c r="N21" s="4"/>
      <c r="O21" s="4">
        <v>116</v>
      </c>
      <c r="P21" s="4">
        <f t="shared" si="2"/>
        <v>4</v>
      </c>
      <c r="Q21" s="4"/>
    </row>
    <row r="22" spans="3:17">
      <c r="C22" s="62"/>
      <c r="D22" s="56"/>
      <c r="E22" s="41"/>
      <c r="F22" s="41"/>
      <c r="G22" t="s">
        <v>190</v>
      </c>
      <c r="H22" t="s">
        <v>199</v>
      </c>
      <c r="K22" s="7" t="s">
        <v>185</v>
      </c>
      <c r="L22" s="8">
        <v>1</v>
      </c>
      <c r="N22" s="4"/>
      <c r="O22" s="4">
        <v>117</v>
      </c>
      <c r="P22" s="4">
        <f t="shared" si="2"/>
        <v>5</v>
      </c>
      <c r="Q22" s="4"/>
    </row>
    <row r="23" spans="3:17">
      <c r="C23" s="62"/>
      <c r="D23" s="56"/>
      <c r="E23" s="41"/>
      <c r="F23" s="41"/>
      <c r="G23" t="s">
        <v>200</v>
      </c>
      <c r="H23" t="s">
        <v>201</v>
      </c>
      <c r="K23" s="7" t="s">
        <v>185</v>
      </c>
      <c r="L23" s="8">
        <v>0</v>
      </c>
      <c r="N23" s="4"/>
      <c r="O23" s="4">
        <v>118</v>
      </c>
      <c r="P23" s="4">
        <f t="shared" si="2"/>
        <v>6</v>
      </c>
      <c r="Q23" s="4"/>
    </row>
    <row r="24" spans="3:17">
      <c r="C24" s="62"/>
      <c r="D24" s="56"/>
      <c r="E24" s="41"/>
      <c r="F24" s="41"/>
      <c r="G24" t="s">
        <v>202</v>
      </c>
      <c r="H24" t="s">
        <v>203</v>
      </c>
      <c r="I24" s="7" t="s">
        <v>185</v>
      </c>
      <c r="J24" s="7" t="s">
        <v>185</v>
      </c>
      <c r="K24" s="7" t="s">
        <v>185</v>
      </c>
      <c r="L24" s="8">
        <v>0</v>
      </c>
      <c r="N24" s="4"/>
      <c r="O24" s="4">
        <v>119</v>
      </c>
      <c r="P24" s="4">
        <f t="shared" si="2"/>
        <v>7</v>
      </c>
      <c r="Q24" s="4"/>
    </row>
    <row r="25" spans="3:17">
      <c r="C25" s="62"/>
      <c r="D25" s="56"/>
      <c r="E25" s="41"/>
      <c r="F25" s="41"/>
      <c r="G25" t="s">
        <v>204</v>
      </c>
      <c r="H25" t="s">
        <v>205</v>
      </c>
      <c r="I25" s="7" t="s">
        <v>185</v>
      </c>
      <c r="J25" s="7" t="s">
        <v>185</v>
      </c>
      <c r="K25" s="7" t="s">
        <v>185</v>
      </c>
      <c r="L25" s="8">
        <v>1</v>
      </c>
      <c r="N25" s="4"/>
      <c r="O25" s="4">
        <v>123</v>
      </c>
      <c r="P25" s="4">
        <f t="shared" si="2"/>
        <v>11</v>
      </c>
      <c r="Q25" s="4"/>
    </row>
    <row r="26" spans="3:17">
      <c r="C26" s="62"/>
      <c r="D26" s="55" t="s">
        <v>206</v>
      </c>
      <c r="E26" s="57" t="s">
        <v>149</v>
      </c>
      <c r="F26" s="58" t="s">
        <v>195</v>
      </c>
      <c r="G26" s="5" t="s">
        <v>183</v>
      </c>
      <c r="H26" s="5" t="s">
        <v>196</v>
      </c>
      <c r="I26" s="12" t="s">
        <v>185</v>
      </c>
      <c r="J26" s="12" t="s">
        <v>185</v>
      </c>
      <c r="K26" s="12" t="s">
        <v>185</v>
      </c>
      <c r="L26" s="6">
        <v>0</v>
      </c>
      <c r="N26" s="4"/>
      <c r="O26" s="4">
        <f>O20+16</f>
        <v>129</v>
      </c>
      <c r="P26" s="4">
        <f>O26-112</f>
        <v>17</v>
      </c>
      <c r="Q26" s="4"/>
    </row>
    <row r="27" spans="3:17">
      <c r="C27" s="62"/>
      <c r="D27" s="56"/>
      <c r="E27" s="41"/>
      <c r="F27" s="41"/>
      <c r="G27" t="s">
        <v>186</v>
      </c>
      <c r="H27" t="s">
        <v>197</v>
      </c>
      <c r="K27" s="7" t="s">
        <v>185</v>
      </c>
      <c r="L27" s="8">
        <v>0</v>
      </c>
      <c r="N27" s="4"/>
      <c r="O27" s="4">
        <f t="shared" ref="O27:O32" si="3">O21+16</f>
        <v>132</v>
      </c>
      <c r="P27" s="4">
        <f t="shared" si="2"/>
        <v>20</v>
      </c>
      <c r="Q27" s="4"/>
    </row>
    <row r="28" spans="3:17">
      <c r="C28" s="62"/>
      <c r="D28" s="56"/>
      <c r="E28" s="41"/>
      <c r="F28" s="41"/>
      <c r="G28" t="s">
        <v>188</v>
      </c>
      <c r="H28" t="s">
        <v>198</v>
      </c>
      <c r="I28" s="7" t="s">
        <v>185</v>
      </c>
      <c r="J28" s="7" t="s">
        <v>185</v>
      </c>
      <c r="K28" s="7" t="s">
        <v>185</v>
      </c>
      <c r="L28" s="8">
        <v>1</v>
      </c>
      <c r="N28" s="4"/>
      <c r="O28" s="4">
        <f t="shared" si="3"/>
        <v>133</v>
      </c>
      <c r="P28" s="4">
        <f t="shared" si="2"/>
        <v>21</v>
      </c>
      <c r="Q28" s="4"/>
    </row>
    <row r="29" spans="3:17">
      <c r="C29" s="62"/>
      <c r="D29" s="56"/>
      <c r="E29" s="41"/>
      <c r="F29" s="41"/>
      <c r="G29" t="s">
        <v>190</v>
      </c>
      <c r="H29" t="s">
        <v>199</v>
      </c>
      <c r="K29" s="7" t="s">
        <v>185</v>
      </c>
      <c r="L29" s="8">
        <v>1</v>
      </c>
      <c r="N29" s="4"/>
      <c r="O29" s="4">
        <f t="shared" si="3"/>
        <v>134</v>
      </c>
      <c r="P29" s="4">
        <f t="shared" si="2"/>
        <v>22</v>
      </c>
      <c r="Q29" s="4"/>
    </row>
    <row r="30" spans="3:17">
      <c r="C30" s="62"/>
      <c r="D30" s="56"/>
      <c r="E30" s="41"/>
      <c r="F30" s="41"/>
      <c r="G30" t="s">
        <v>200</v>
      </c>
      <c r="H30" t="s">
        <v>201</v>
      </c>
      <c r="K30" s="7" t="s">
        <v>185</v>
      </c>
      <c r="L30" s="8">
        <v>0</v>
      </c>
      <c r="N30" s="4"/>
      <c r="O30" s="4">
        <f t="shared" si="3"/>
        <v>135</v>
      </c>
      <c r="P30" s="4">
        <f t="shared" si="2"/>
        <v>23</v>
      </c>
      <c r="Q30" s="4"/>
    </row>
    <row r="31" spans="3:17">
      <c r="C31" s="62"/>
      <c r="D31" s="56"/>
      <c r="E31" s="41"/>
      <c r="F31" s="41"/>
      <c r="G31" t="s">
        <v>202</v>
      </c>
      <c r="H31" t="s">
        <v>203</v>
      </c>
      <c r="I31" s="7" t="s">
        <v>185</v>
      </c>
      <c r="J31" s="7" t="s">
        <v>185</v>
      </c>
      <c r="K31" s="7" t="s">
        <v>185</v>
      </c>
      <c r="L31" s="8">
        <v>0</v>
      </c>
      <c r="N31" s="4"/>
      <c r="O31" s="4">
        <f t="shared" si="3"/>
        <v>139</v>
      </c>
      <c r="P31" s="4">
        <f t="shared" si="2"/>
        <v>27</v>
      </c>
      <c r="Q31" s="4"/>
    </row>
    <row r="32" spans="3:17" ht="15.75" thickBot="1">
      <c r="C32" s="63"/>
      <c r="D32" s="59"/>
      <c r="E32" s="60"/>
      <c r="F32" s="60"/>
      <c r="G32" s="9" t="s">
        <v>204</v>
      </c>
      <c r="H32" s="9" t="s">
        <v>205</v>
      </c>
      <c r="I32" s="10" t="s">
        <v>185</v>
      </c>
      <c r="J32" s="10" t="s">
        <v>185</v>
      </c>
      <c r="K32" s="10" t="s">
        <v>185</v>
      </c>
      <c r="L32" s="8">
        <v>1</v>
      </c>
      <c r="N32" s="4"/>
      <c r="O32" s="4">
        <f t="shared" si="3"/>
        <v>145</v>
      </c>
      <c r="P32" s="4">
        <f t="shared" si="2"/>
        <v>33</v>
      </c>
      <c r="Q32" s="4"/>
    </row>
    <row r="33" spans="3:17">
      <c r="C33" s="61" t="s">
        <v>151</v>
      </c>
      <c r="D33" s="55" t="s">
        <v>180</v>
      </c>
      <c r="E33" s="57" t="s">
        <v>153</v>
      </c>
      <c r="F33" s="57" t="s">
        <v>181</v>
      </c>
      <c r="G33" s="5" t="s">
        <v>182</v>
      </c>
      <c r="H33" s="5"/>
      <c r="I33" s="5"/>
      <c r="J33" s="5"/>
      <c r="K33" s="5"/>
      <c r="L33" s="6">
        <v>0</v>
      </c>
      <c r="N33" s="4"/>
      <c r="O33" s="4"/>
      <c r="P33" s="4"/>
      <c r="Q33" s="4"/>
    </row>
    <row r="34" spans="3:17">
      <c r="C34" s="62"/>
      <c r="D34" s="56"/>
      <c r="E34" s="41"/>
      <c r="F34" s="41"/>
      <c r="G34" t="s">
        <v>183</v>
      </c>
      <c r="H34" t="s">
        <v>184</v>
      </c>
      <c r="K34" s="7" t="s">
        <v>185</v>
      </c>
      <c r="L34" s="8">
        <v>0</v>
      </c>
      <c r="N34" s="4"/>
      <c r="O34" s="4"/>
      <c r="P34" s="4"/>
      <c r="Q34" s="4"/>
    </row>
    <row r="35" spans="3:17">
      <c r="C35" s="62"/>
      <c r="D35" s="56"/>
      <c r="E35" s="41"/>
      <c r="F35" s="41"/>
      <c r="G35" t="s">
        <v>186</v>
      </c>
      <c r="H35" t="s">
        <v>187</v>
      </c>
      <c r="K35" s="7" t="s">
        <v>185</v>
      </c>
      <c r="L35" s="8">
        <v>0</v>
      </c>
      <c r="N35" s="4"/>
      <c r="O35" s="4"/>
      <c r="P35" s="4"/>
      <c r="Q35" s="4"/>
    </row>
    <row r="36" spans="3:17">
      <c r="C36" s="62"/>
      <c r="D36" s="56"/>
      <c r="E36" s="41"/>
      <c r="F36" s="41"/>
      <c r="G36" t="s">
        <v>188</v>
      </c>
      <c r="H36" t="s">
        <v>189</v>
      </c>
      <c r="K36" s="7" t="s">
        <v>185</v>
      </c>
      <c r="L36" s="8">
        <v>1</v>
      </c>
      <c r="N36" s="4"/>
      <c r="O36" s="4"/>
      <c r="P36" s="4"/>
      <c r="Q36" s="4"/>
    </row>
    <row r="37" spans="3:17">
      <c r="C37" s="62"/>
      <c r="D37" s="56"/>
      <c r="E37" s="41"/>
      <c r="F37" s="41"/>
      <c r="G37" t="s">
        <v>190</v>
      </c>
      <c r="L37" s="8">
        <v>0</v>
      </c>
      <c r="N37" s="4"/>
      <c r="O37" s="4"/>
      <c r="P37" s="4"/>
      <c r="Q37" s="4"/>
    </row>
    <row r="38" spans="3:17">
      <c r="C38" s="62"/>
      <c r="D38" s="59"/>
      <c r="E38" s="60"/>
      <c r="F38" s="60"/>
      <c r="G38" s="9" t="s">
        <v>191</v>
      </c>
      <c r="H38" s="9" t="s">
        <v>192</v>
      </c>
      <c r="I38" s="10" t="s">
        <v>185</v>
      </c>
      <c r="J38" s="10" t="s">
        <v>185</v>
      </c>
      <c r="K38" s="10" t="s">
        <v>185</v>
      </c>
      <c r="L38" s="11">
        <v>1</v>
      </c>
      <c r="N38" s="4"/>
      <c r="O38" s="4"/>
      <c r="P38" s="4"/>
      <c r="Q38" s="4"/>
    </row>
    <row r="39" spans="3:17">
      <c r="C39" s="62"/>
      <c r="D39" s="55" t="s">
        <v>193</v>
      </c>
      <c r="E39" s="57" t="s">
        <v>156</v>
      </c>
      <c r="F39" s="57" t="s">
        <v>181</v>
      </c>
      <c r="G39" s="5" t="s">
        <v>182</v>
      </c>
      <c r="H39" s="5"/>
      <c r="I39" s="5"/>
      <c r="J39" s="5"/>
      <c r="K39" s="5"/>
      <c r="L39" s="6">
        <v>0</v>
      </c>
      <c r="N39" s="4"/>
      <c r="O39" s="4"/>
      <c r="P39" s="4"/>
      <c r="Q39" s="4"/>
    </row>
    <row r="40" spans="3:17">
      <c r="C40" s="62"/>
      <c r="D40" s="56"/>
      <c r="E40" s="41"/>
      <c r="F40" s="41"/>
      <c r="G40" t="s">
        <v>183</v>
      </c>
      <c r="H40" t="s">
        <v>184</v>
      </c>
      <c r="K40" s="7" t="s">
        <v>185</v>
      </c>
      <c r="L40" s="8">
        <v>0</v>
      </c>
      <c r="N40" s="4"/>
      <c r="O40" s="4"/>
      <c r="P40" s="4"/>
      <c r="Q40" s="4"/>
    </row>
    <row r="41" spans="3:17">
      <c r="C41" s="62"/>
      <c r="D41" s="56"/>
      <c r="E41" s="41"/>
      <c r="F41" s="41"/>
      <c r="G41" t="s">
        <v>186</v>
      </c>
      <c r="H41" t="s">
        <v>187</v>
      </c>
      <c r="K41" s="7" t="s">
        <v>185</v>
      </c>
      <c r="L41" s="8">
        <v>0</v>
      </c>
      <c r="N41" s="4"/>
      <c r="O41" s="4"/>
      <c r="P41" s="4"/>
      <c r="Q41" s="4"/>
    </row>
    <row r="42" spans="3:17">
      <c r="C42" s="62"/>
      <c r="D42" s="56"/>
      <c r="E42" s="41"/>
      <c r="F42" s="41"/>
      <c r="G42" t="s">
        <v>188</v>
      </c>
      <c r="H42" t="s">
        <v>189</v>
      </c>
      <c r="K42" s="7" t="s">
        <v>185</v>
      </c>
      <c r="L42" s="8">
        <v>1</v>
      </c>
      <c r="N42" s="4"/>
      <c r="O42" s="4"/>
      <c r="P42" s="4"/>
      <c r="Q42" s="4"/>
    </row>
    <row r="43" spans="3:17">
      <c r="C43" s="62"/>
      <c r="D43" s="56"/>
      <c r="E43" s="41"/>
      <c r="F43" s="41"/>
      <c r="G43" t="s">
        <v>190</v>
      </c>
      <c r="L43" s="8">
        <v>0</v>
      </c>
      <c r="N43" s="4"/>
      <c r="O43" s="4"/>
      <c r="P43" s="4"/>
      <c r="Q43" s="4"/>
    </row>
    <row r="44" spans="3:17">
      <c r="C44" s="62"/>
      <c r="D44" s="59"/>
      <c r="E44" s="60"/>
      <c r="F44" s="60"/>
      <c r="G44" s="9" t="s">
        <v>191</v>
      </c>
      <c r="H44" s="9" t="s">
        <v>192</v>
      </c>
      <c r="I44" s="10" t="s">
        <v>185</v>
      </c>
      <c r="J44" s="10" t="s">
        <v>185</v>
      </c>
      <c r="K44" s="10" t="s">
        <v>185</v>
      </c>
      <c r="L44" s="11">
        <v>1</v>
      </c>
      <c r="N44" s="4"/>
      <c r="O44" s="4"/>
      <c r="P44" s="4"/>
      <c r="Q44" s="4"/>
    </row>
    <row r="45" spans="3:17">
      <c r="C45" s="62"/>
      <c r="D45" s="55" t="s">
        <v>194</v>
      </c>
      <c r="E45" s="57" t="s">
        <v>153</v>
      </c>
      <c r="F45" s="58" t="s">
        <v>195</v>
      </c>
      <c r="G45" s="5" t="s">
        <v>183</v>
      </c>
      <c r="H45" s="5" t="s">
        <v>196</v>
      </c>
      <c r="I45" s="7" t="s">
        <v>185</v>
      </c>
      <c r="J45" s="7" t="s">
        <v>185</v>
      </c>
      <c r="K45" s="7" t="s">
        <v>185</v>
      </c>
      <c r="L45" s="6">
        <v>0</v>
      </c>
      <c r="N45" s="4"/>
      <c r="O45" s="4"/>
      <c r="P45" s="4"/>
      <c r="Q45" s="4"/>
    </row>
    <row r="46" spans="3:17">
      <c r="C46" s="62"/>
      <c r="D46" s="56"/>
      <c r="E46" s="41"/>
      <c r="F46" s="41"/>
      <c r="G46" t="s">
        <v>186</v>
      </c>
      <c r="H46" t="s">
        <v>197</v>
      </c>
      <c r="K46" s="7" t="s">
        <v>185</v>
      </c>
      <c r="L46" s="8">
        <v>0</v>
      </c>
      <c r="N46" s="4"/>
      <c r="O46" s="4"/>
      <c r="P46" s="4"/>
      <c r="Q46" s="4"/>
    </row>
    <row r="47" spans="3:17">
      <c r="C47" s="62"/>
      <c r="D47" s="56"/>
      <c r="E47" s="41"/>
      <c r="F47" s="41"/>
      <c r="G47" t="s">
        <v>188</v>
      </c>
      <c r="H47" t="s">
        <v>198</v>
      </c>
      <c r="I47" s="7" t="s">
        <v>185</v>
      </c>
      <c r="J47" s="7" t="s">
        <v>185</v>
      </c>
      <c r="K47" s="7" t="s">
        <v>185</v>
      </c>
      <c r="L47" s="8">
        <v>1</v>
      </c>
      <c r="N47" s="4"/>
      <c r="O47" s="4"/>
      <c r="P47" s="4"/>
      <c r="Q47" s="4"/>
    </row>
    <row r="48" spans="3:17">
      <c r="C48" s="62"/>
      <c r="D48" s="56"/>
      <c r="E48" s="41"/>
      <c r="F48" s="41"/>
      <c r="G48" t="s">
        <v>190</v>
      </c>
      <c r="H48" t="s">
        <v>199</v>
      </c>
      <c r="K48" s="7" t="s">
        <v>185</v>
      </c>
      <c r="L48" s="8">
        <v>1</v>
      </c>
      <c r="N48" s="4"/>
      <c r="O48" s="4"/>
      <c r="P48" s="4"/>
      <c r="Q48" s="4"/>
    </row>
    <row r="49" spans="3:17">
      <c r="C49" s="62"/>
      <c r="D49" s="56"/>
      <c r="E49" s="41"/>
      <c r="F49" s="41"/>
      <c r="G49" t="s">
        <v>200</v>
      </c>
      <c r="H49" t="s">
        <v>201</v>
      </c>
      <c r="K49" s="7" t="s">
        <v>185</v>
      </c>
      <c r="L49" s="8">
        <v>0</v>
      </c>
      <c r="N49" s="4"/>
      <c r="O49" s="4"/>
      <c r="P49" s="4"/>
      <c r="Q49" s="4"/>
    </row>
    <row r="50" spans="3:17">
      <c r="C50" s="62"/>
      <c r="D50" s="56"/>
      <c r="E50" s="41"/>
      <c r="F50" s="41"/>
      <c r="G50" t="s">
        <v>202</v>
      </c>
      <c r="H50" t="s">
        <v>203</v>
      </c>
      <c r="I50" s="7" t="s">
        <v>185</v>
      </c>
      <c r="J50" s="7" t="s">
        <v>185</v>
      </c>
      <c r="K50" s="7" t="s">
        <v>185</v>
      </c>
      <c r="L50" s="8">
        <v>0</v>
      </c>
      <c r="N50" s="4"/>
      <c r="O50" s="4"/>
      <c r="P50" s="4"/>
      <c r="Q50" s="4"/>
    </row>
    <row r="51" spans="3:17">
      <c r="C51" s="62"/>
      <c r="D51" s="56"/>
      <c r="E51" s="41"/>
      <c r="F51" s="41"/>
      <c r="G51" t="s">
        <v>204</v>
      </c>
      <c r="H51" t="s">
        <v>205</v>
      </c>
      <c r="I51" s="7" t="s">
        <v>185</v>
      </c>
      <c r="J51" s="7" t="s">
        <v>185</v>
      </c>
      <c r="K51" s="7" t="s">
        <v>185</v>
      </c>
      <c r="L51" s="8">
        <v>1</v>
      </c>
      <c r="N51" s="4"/>
      <c r="O51" s="4"/>
      <c r="P51" s="4"/>
      <c r="Q51" s="4"/>
    </row>
    <row r="52" spans="3:17">
      <c r="C52" s="62"/>
      <c r="D52" s="55" t="s">
        <v>206</v>
      </c>
      <c r="E52" s="57" t="s">
        <v>156</v>
      </c>
      <c r="F52" s="58" t="s">
        <v>195</v>
      </c>
      <c r="G52" s="5" t="s">
        <v>183</v>
      </c>
      <c r="H52" s="5" t="s">
        <v>196</v>
      </c>
      <c r="I52" s="12" t="s">
        <v>185</v>
      </c>
      <c r="J52" s="12" t="s">
        <v>185</v>
      </c>
      <c r="K52" s="12" t="s">
        <v>185</v>
      </c>
      <c r="L52" s="6">
        <v>0</v>
      </c>
      <c r="N52" s="4"/>
      <c r="O52" s="4"/>
      <c r="P52" s="4"/>
      <c r="Q52" s="4"/>
    </row>
    <row r="53" spans="3:17">
      <c r="C53" s="62"/>
      <c r="D53" s="56"/>
      <c r="E53" s="41"/>
      <c r="F53" s="41"/>
      <c r="G53" t="s">
        <v>186</v>
      </c>
      <c r="H53" t="s">
        <v>197</v>
      </c>
      <c r="K53" s="7" t="s">
        <v>185</v>
      </c>
      <c r="L53" s="8">
        <v>0</v>
      </c>
      <c r="N53" s="4"/>
      <c r="O53" s="4"/>
      <c r="P53" s="4"/>
      <c r="Q53" s="4"/>
    </row>
    <row r="54" spans="3:17">
      <c r="C54" s="62"/>
      <c r="D54" s="56"/>
      <c r="E54" s="41"/>
      <c r="F54" s="41"/>
      <c r="G54" t="s">
        <v>188</v>
      </c>
      <c r="H54" t="s">
        <v>198</v>
      </c>
      <c r="I54" s="7" t="s">
        <v>185</v>
      </c>
      <c r="J54" s="7" t="s">
        <v>185</v>
      </c>
      <c r="K54" s="7" t="s">
        <v>185</v>
      </c>
      <c r="L54" s="8">
        <v>1</v>
      </c>
      <c r="N54" s="4"/>
      <c r="O54" s="4"/>
      <c r="P54" s="4"/>
      <c r="Q54" s="4"/>
    </row>
    <row r="55" spans="3:17">
      <c r="C55" s="62"/>
      <c r="D55" s="56"/>
      <c r="E55" s="41"/>
      <c r="F55" s="41"/>
      <c r="G55" t="s">
        <v>190</v>
      </c>
      <c r="H55" t="s">
        <v>199</v>
      </c>
      <c r="K55" s="7" t="s">
        <v>185</v>
      </c>
      <c r="L55" s="8">
        <v>1</v>
      </c>
      <c r="N55" s="4"/>
      <c r="O55" s="4"/>
      <c r="P55" s="4"/>
      <c r="Q55" s="4"/>
    </row>
    <row r="56" spans="3:17">
      <c r="C56" s="62"/>
      <c r="D56" s="56"/>
      <c r="E56" s="41"/>
      <c r="F56" s="41"/>
      <c r="G56" t="s">
        <v>200</v>
      </c>
      <c r="H56" t="s">
        <v>201</v>
      </c>
      <c r="K56" s="7" t="s">
        <v>185</v>
      </c>
      <c r="L56" s="8">
        <v>0</v>
      </c>
      <c r="N56" s="4"/>
      <c r="O56" s="4"/>
      <c r="P56" s="4"/>
      <c r="Q56" s="4"/>
    </row>
    <row r="57" spans="3:17">
      <c r="C57" s="62"/>
      <c r="D57" s="56"/>
      <c r="E57" s="41"/>
      <c r="F57" s="41"/>
      <c r="G57" t="s">
        <v>202</v>
      </c>
      <c r="H57" t="s">
        <v>203</v>
      </c>
      <c r="I57" s="7" t="s">
        <v>185</v>
      </c>
      <c r="J57" s="7" t="s">
        <v>185</v>
      </c>
      <c r="K57" s="7" t="s">
        <v>185</v>
      </c>
      <c r="L57" s="8">
        <v>0</v>
      </c>
      <c r="N57" s="4"/>
      <c r="O57" s="4"/>
      <c r="P57" s="4"/>
      <c r="Q57" s="4"/>
    </row>
    <row r="58" spans="3:17" ht="15.75" thickBot="1">
      <c r="C58" s="63"/>
      <c r="D58" s="59"/>
      <c r="E58" s="60"/>
      <c r="F58" s="60"/>
      <c r="G58" s="9" t="s">
        <v>204</v>
      </c>
      <c r="H58" s="9" t="s">
        <v>205</v>
      </c>
      <c r="I58" s="10" t="s">
        <v>185</v>
      </c>
      <c r="J58" s="10" t="s">
        <v>185</v>
      </c>
      <c r="K58" s="10" t="s">
        <v>185</v>
      </c>
      <c r="L58" s="11">
        <v>1</v>
      </c>
      <c r="N58" s="4"/>
      <c r="O58" s="4"/>
      <c r="P58" s="4"/>
      <c r="Q58" s="4"/>
    </row>
  </sheetData>
  <mergeCells count="28">
    <mergeCell ref="N5:O5"/>
    <mergeCell ref="F13:F18"/>
    <mergeCell ref="D19:D25"/>
    <mergeCell ref="E19:E25"/>
    <mergeCell ref="F19:F25"/>
    <mergeCell ref="C5:L5"/>
    <mergeCell ref="D26:D32"/>
    <mergeCell ref="E26:E32"/>
    <mergeCell ref="F26:F32"/>
    <mergeCell ref="C33:C58"/>
    <mergeCell ref="D33:D38"/>
    <mergeCell ref="E33:E38"/>
    <mergeCell ref="F33:F38"/>
    <mergeCell ref="D39:D44"/>
    <mergeCell ref="E39:E44"/>
    <mergeCell ref="F39:F44"/>
    <mergeCell ref="C7:C32"/>
    <mergeCell ref="D7:D12"/>
    <mergeCell ref="E7:E12"/>
    <mergeCell ref="F7:F12"/>
    <mergeCell ref="D13:D18"/>
    <mergeCell ref="E13:E18"/>
    <mergeCell ref="D45:D51"/>
    <mergeCell ref="E45:E51"/>
    <mergeCell ref="F45:F51"/>
    <mergeCell ref="D52:D58"/>
    <mergeCell ref="E52:E58"/>
    <mergeCell ref="F52:F58"/>
  </mergeCells>
  <pageMargins left="0.25" right="0.25" top="0.75" bottom="0.75" header="0.3" footer="0.3"/>
  <pageSetup paperSize="9" scale="82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7F83-DC13-48F7-93DE-8A28FB662704}">
  <dimension ref="A1"/>
  <sheetViews>
    <sheetView topLeftCell="A16" workbookViewId="0">
      <selection activeCell="AB39" sqref="AB39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65D1-1BF8-4E01-AF56-D0E6BF6801ED}">
  <dimension ref="A1"/>
  <sheetViews>
    <sheetView topLeftCell="C5" workbookViewId="0">
      <selection activeCell="C5" sqref="C5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6F42-3FED-4044-8774-5B56445E179E}">
  <dimension ref="C4:V33"/>
  <sheetViews>
    <sheetView topLeftCell="A7" zoomScale="110" zoomScaleNormal="110" workbookViewId="0">
      <selection activeCell="X31" sqref="X31"/>
    </sheetView>
  </sheetViews>
  <sheetFormatPr defaultRowHeight="15"/>
  <sheetData>
    <row r="4" spans="3:22">
      <c r="C4" t="s">
        <v>207</v>
      </c>
    </row>
    <row r="5" spans="3:22">
      <c r="C5" s="22" t="s">
        <v>208</v>
      </c>
    </row>
    <row r="6" spans="3:22">
      <c r="C6" s="22" t="s">
        <v>209</v>
      </c>
    </row>
    <row r="8" spans="3:22" ht="15.75" thickBot="1"/>
    <row r="9" spans="3:22" ht="15.75">
      <c r="L9" s="14"/>
      <c r="M9" s="34" t="s">
        <v>210</v>
      </c>
      <c r="N9" s="1"/>
      <c r="O9" s="1"/>
      <c r="P9" s="1"/>
      <c r="Q9" s="1"/>
      <c r="R9" s="1"/>
      <c r="S9" s="1"/>
      <c r="T9" s="1"/>
      <c r="U9" s="1"/>
      <c r="V9" s="2"/>
    </row>
    <row r="10" spans="3:22" ht="15.75">
      <c r="L10" s="15"/>
      <c r="M10" s="35" t="s">
        <v>211</v>
      </c>
      <c r="V10" s="16"/>
    </row>
    <row r="11" spans="3:22" ht="15.75">
      <c r="L11" s="15"/>
      <c r="M11" s="36" t="s">
        <v>212</v>
      </c>
      <c r="V11" s="16"/>
    </row>
    <row r="12" spans="3:22" ht="15.75">
      <c r="L12" s="15"/>
      <c r="M12" s="35" t="s">
        <v>213</v>
      </c>
      <c r="V12" s="16"/>
    </row>
    <row r="13" spans="3:22" ht="15.75">
      <c r="L13" s="15"/>
      <c r="M13" s="35" t="s">
        <v>214</v>
      </c>
      <c r="V13" s="16"/>
    </row>
    <row r="14" spans="3:22" ht="15.75">
      <c r="L14" s="15"/>
      <c r="M14" s="35" t="s">
        <v>215</v>
      </c>
      <c r="V14" s="16"/>
    </row>
    <row r="15" spans="3:22" ht="15.75">
      <c r="L15" s="15"/>
      <c r="M15" s="35" t="s">
        <v>216</v>
      </c>
      <c r="V15" s="16"/>
    </row>
    <row r="16" spans="3:22">
      <c r="L16" s="15"/>
      <c r="V16" s="16"/>
    </row>
    <row r="17" spans="12:22">
      <c r="L17" s="15"/>
      <c r="V17" s="16"/>
    </row>
    <row r="18" spans="12:22">
      <c r="L18" s="15"/>
      <c r="V18" s="16"/>
    </row>
    <row r="19" spans="12:22">
      <c r="L19" s="15"/>
      <c r="V19" s="16"/>
    </row>
    <row r="20" spans="12:22" ht="15.75" thickBot="1">
      <c r="L20" s="17"/>
      <c r="M20" s="18"/>
      <c r="N20" s="18"/>
      <c r="O20" s="18"/>
      <c r="P20" s="18"/>
      <c r="Q20" s="18"/>
      <c r="R20" s="18"/>
      <c r="S20" s="18"/>
      <c r="T20" s="18"/>
      <c r="U20" s="18"/>
      <c r="V20" s="19"/>
    </row>
    <row r="21" spans="12:22" ht="15.75" thickBot="1"/>
    <row r="22" spans="12:22" ht="15.75">
      <c r="L22" s="14"/>
      <c r="M22" s="34" t="s">
        <v>217</v>
      </c>
      <c r="N22" s="1"/>
      <c r="O22" s="1"/>
      <c r="P22" s="1"/>
      <c r="Q22" s="1"/>
      <c r="R22" s="1"/>
      <c r="S22" s="1"/>
      <c r="T22" s="1"/>
      <c r="U22" s="1"/>
      <c r="V22" s="2"/>
    </row>
    <row r="23" spans="12:22" ht="15.75">
      <c r="L23" s="15"/>
      <c r="M23" s="35" t="s">
        <v>218</v>
      </c>
      <c r="V23" s="16"/>
    </row>
    <row r="24" spans="12:22" ht="15.75">
      <c r="L24" s="15"/>
      <c r="M24" s="36"/>
      <c r="V24" s="16"/>
    </row>
    <row r="25" spans="12:22" ht="15.75">
      <c r="L25" s="15"/>
      <c r="M25" s="35" t="s">
        <v>219</v>
      </c>
      <c r="V25" s="16"/>
    </row>
    <row r="26" spans="12:22" ht="15.75">
      <c r="L26" s="15"/>
      <c r="M26" s="35" t="s">
        <v>220</v>
      </c>
      <c r="V26" s="16"/>
    </row>
    <row r="27" spans="12:22" ht="15.75">
      <c r="L27" s="15"/>
      <c r="M27" s="35" t="s">
        <v>215</v>
      </c>
      <c r="V27" s="16"/>
    </row>
    <row r="28" spans="12:22" ht="15.75">
      <c r="L28" s="15"/>
      <c r="M28" s="35" t="s">
        <v>221</v>
      </c>
      <c r="V28" s="16"/>
    </row>
    <row r="29" spans="12:22">
      <c r="L29" s="15"/>
      <c r="V29" s="16"/>
    </row>
    <row r="30" spans="12:22">
      <c r="L30" s="15"/>
      <c r="V30" s="16"/>
    </row>
    <row r="31" spans="12:22">
      <c r="L31" s="15"/>
      <c r="V31" s="16"/>
    </row>
    <row r="32" spans="12:22">
      <c r="L32" s="15"/>
      <c r="V32" s="16"/>
    </row>
    <row r="33" spans="12:22" ht="15.75" thickBot="1"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9"/>
    </row>
  </sheetData>
  <hyperlinks>
    <hyperlink ref="C5" r:id="rId1" xr:uid="{4D9B7BC7-3CF5-484E-A9D4-97332A79BED9}"/>
    <hyperlink ref="C6" r:id="rId2" xr:uid="{53AA8CB9-E1C1-4635-A999-5F8D074F0A62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7150-932F-4954-82A5-C84938EBDCE0}">
  <dimension ref="C5:J17"/>
  <sheetViews>
    <sheetView workbookViewId="0">
      <selection activeCell="C6" sqref="C6"/>
    </sheetView>
  </sheetViews>
  <sheetFormatPr defaultRowHeight="15"/>
  <cols>
    <col min="3" max="3" width="9.140625" style="13"/>
    <col min="5" max="5" width="19.28515625" customWidth="1"/>
  </cols>
  <sheetData>
    <row r="5" spans="3:10" ht="15.75" thickBot="1"/>
    <row r="6" spans="3:10">
      <c r="C6" s="26" t="s">
        <v>222</v>
      </c>
      <c r="D6" s="71" t="s">
        <v>223</v>
      </c>
      <c r="E6" s="72"/>
      <c r="F6" s="72"/>
      <c r="G6" s="72"/>
      <c r="H6" s="72"/>
      <c r="I6" s="72"/>
      <c r="J6" s="73"/>
    </row>
    <row r="7" spans="3:10" ht="15.75" thickBot="1">
      <c r="C7" s="74" t="s">
        <v>224</v>
      </c>
      <c r="J7" s="16"/>
    </row>
    <row r="8" spans="3:10" ht="15.75" thickBot="1">
      <c r="C8" s="74"/>
      <c r="E8" s="24" t="s">
        <v>225</v>
      </c>
      <c r="F8" s="76" t="s">
        <v>226</v>
      </c>
      <c r="G8" s="76"/>
      <c r="H8" s="76"/>
      <c r="I8" s="77"/>
      <c r="J8" s="16"/>
    </row>
    <row r="9" spans="3:10" ht="15.75" thickBot="1">
      <c r="C9" s="74"/>
      <c r="J9" s="16"/>
    </row>
    <row r="10" spans="3:10" ht="15.75" thickBot="1">
      <c r="C10" s="74"/>
      <c r="E10" s="25" t="s">
        <v>227</v>
      </c>
      <c r="F10" s="76" t="s">
        <v>226</v>
      </c>
      <c r="G10" s="76"/>
      <c r="H10" s="76"/>
      <c r="I10" s="77"/>
      <c r="J10" s="16"/>
    </row>
    <row r="11" spans="3:10" ht="15.75" thickBot="1">
      <c r="C11" s="74"/>
      <c r="J11" s="16"/>
    </row>
    <row r="12" spans="3:10" ht="15.75" thickBot="1">
      <c r="C12" s="74"/>
      <c r="E12" s="23" t="s">
        <v>228</v>
      </c>
      <c r="F12" s="76" t="s">
        <v>229</v>
      </c>
      <c r="G12" s="77"/>
      <c r="J12" s="16"/>
    </row>
    <row r="13" spans="3:10" ht="15.75" thickBot="1">
      <c r="C13" s="74"/>
      <c r="J13" s="16"/>
    </row>
    <row r="14" spans="3:10" ht="15.75" thickBot="1">
      <c r="C14" s="74"/>
      <c r="E14" s="23" t="s">
        <v>228</v>
      </c>
      <c r="F14" s="76" t="s">
        <v>230</v>
      </c>
      <c r="G14" s="77"/>
      <c r="J14" s="16"/>
    </row>
    <row r="15" spans="3:10" ht="15.75" thickBot="1">
      <c r="C15" s="74"/>
      <c r="J15" s="16"/>
    </row>
    <row r="16" spans="3:10" ht="15.75" thickBot="1">
      <c r="C16" s="74"/>
      <c r="E16" s="68" t="s">
        <v>231</v>
      </c>
      <c r="F16" s="69"/>
      <c r="G16" s="69"/>
      <c r="H16" s="69"/>
      <c r="I16" s="70"/>
      <c r="J16" s="16"/>
    </row>
    <row r="17" spans="3:10" ht="15.75" thickBot="1">
      <c r="C17" s="75"/>
      <c r="D17" s="18"/>
      <c r="E17" s="18"/>
      <c r="F17" s="18"/>
      <c r="G17" s="18"/>
      <c r="H17" s="18"/>
      <c r="I17" s="18"/>
      <c r="J17" s="19"/>
    </row>
  </sheetData>
  <mergeCells count="7">
    <mergeCell ref="E16:I16"/>
    <mergeCell ref="D6:J6"/>
    <mergeCell ref="C7:C17"/>
    <mergeCell ref="F8:I8"/>
    <mergeCell ref="F10:I10"/>
    <mergeCell ref="F12:G12"/>
    <mergeCell ref="F14:G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CA28-6E9D-4E9B-9700-318C355A6F6A}">
  <dimension ref="B3:J560"/>
  <sheetViews>
    <sheetView topLeftCell="A308" workbookViewId="0">
      <selection activeCell="G343" sqref="G343:G344"/>
    </sheetView>
  </sheetViews>
  <sheetFormatPr defaultRowHeight="15"/>
  <cols>
    <col min="7" max="7" width="19.28515625" customWidth="1"/>
    <col min="10" max="10" width="21.7109375" customWidth="1"/>
  </cols>
  <sheetData>
    <row r="3" spans="2:10" ht="15.75" thickBot="1">
      <c r="D3" s="51" t="s">
        <v>232</v>
      </c>
      <c r="E3" s="51"/>
      <c r="F3" s="51"/>
      <c r="G3" s="51"/>
      <c r="H3" s="51" t="s">
        <v>233</v>
      </c>
      <c r="I3" s="51"/>
      <c r="J3" s="51"/>
    </row>
    <row r="4" spans="2:10" ht="30.75" thickBot="1">
      <c r="B4" s="30" t="s">
        <v>234</v>
      </c>
      <c r="C4" s="31" t="s">
        <v>235</v>
      </c>
      <c r="D4" s="31" t="s">
        <v>236</v>
      </c>
      <c r="E4" s="31"/>
      <c r="F4" s="31" t="s">
        <v>237</v>
      </c>
      <c r="G4" s="32" t="s">
        <v>238</v>
      </c>
      <c r="H4" s="31" t="s">
        <v>236</v>
      </c>
      <c r="I4" s="31" t="s">
        <v>237</v>
      </c>
      <c r="J4" s="32" t="s">
        <v>238</v>
      </c>
    </row>
    <row r="5" spans="2:10">
      <c r="B5" t="s">
        <v>239</v>
      </c>
      <c r="C5" t="s">
        <v>240</v>
      </c>
    </row>
    <row r="6" spans="2:10">
      <c r="B6" t="s">
        <v>240</v>
      </c>
      <c r="C6" t="s">
        <v>240</v>
      </c>
      <c r="D6" s="41" t="s">
        <v>76</v>
      </c>
      <c r="E6" s="13"/>
      <c r="F6" s="41">
        <v>0</v>
      </c>
      <c r="G6" s="41">
        <v>0</v>
      </c>
      <c r="H6" s="13"/>
    </row>
    <row r="7" spans="2:10" ht="15.75" thickBot="1">
      <c r="B7" t="s">
        <v>239</v>
      </c>
      <c r="C7" t="s">
        <v>240</v>
      </c>
      <c r="D7" s="41"/>
      <c r="E7" s="13"/>
      <c r="F7" s="41"/>
      <c r="G7" s="41"/>
      <c r="H7" s="13"/>
    </row>
    <row r="8" spans="2:10">
      <c r="B8" t="s">
        <v>239</v>
      </c>
      <c r="C8" t="s">
        <v>239</v>
      </c>
      <c r="D8" s="41"/>
      <c r="E8" s="13"/>
      <c r="F8" s="41"/>
      <c r="G8" s="41"/>
      <c r="H8" s="13"/>
      <c r="I8" s="78">
        <v>0</v>
      </c>
      <c r="J8" s="79" t="s">
        <v>241</v>
      </c>
    </row>
    <row r="9" spans="2:10">
      <c r="B9" t="s">
        <v>240</v>
      </c>
      <c r="C9" t="s">
        <v>239</v>
      </c>
      <c r="D9" s="41"/>
      <c r="E9" s="13"/>
      <c r="F9" s="41">
        <v>1</v>
      </c>
      <c r="G9" s="41">
        <v>0</v>
      </c>
      <c r="H9" s="13"/>
      <c r="I9" s="78"/>
      <c r="J9" s="80"/>
    </row>
    <row r="10" spans="2:10">
      <c r="B10" t="s">
        <v>239</v>
      </c>
      <c r="C10" t="s">
        <v>239</v>
      </c>
      <c r="D10" s="41"/>
      <c r="E10" s="13"/>
      <c r="F10" s="41"/>
      <c r="G10" s="41"/>
      <c r="H10" s="13"/>
      <c r="I10" s="78">
        <v>1</v>
      </c>
      <c r="J10" s="80"/>
    </row>
    <row r="11" spans="2:10">
      <c r="B11" t="s">
        <v>240</v>
      </c>
      <c r="C11" t="s">
        <v>239</v>
      </c>
      <c r="D11" s="41"/>
      <c r="E11" s="13"/>
      <c r="F11" s="41">
        <v>2</v>
      </c>
      <c r="G11" s="41">
        <v>0</v>
      </c>
      <c r="H11" s="13"/>
      <c r="I11" s="78"/>
      <c r="J11" s="80"/>
    </row>
    <row r="12" spans="2:10">
      <c r="B12" t="s">
        <v>239</v>
      </c>
      <c r="C12" t="s">
        <v>239</v>
      </c>
      <c r="D12" s="41"/>
      <c r="E12" s="13"/>
      <c r="F12" s="41"/>
      <c r="G12" s="41"/>
      <c r="H12" s="13"/>
      <c r="I12" s="78">
        <v>2</v>
      </c>
      <c r="J12" s="80"/>
    </row>
    <row r="13" spans="2:10">
      <c r="B13" t="s">
        <v>240</v>
      </c>
      <c r="C13" t="s">
        <v>239</v>
      </c>
      <c r="D13" s="41"/>
      <c r="E13" s="13"/>
      <c r="F13" s="41">
        <v>3</v>
      </c>
      <c r="G13" s="41">
        <v>0</v>
      </c>
      <c r="H13" s="13"/>
      <c r="I13" s="78"/>
      <c r="J13" s="80"/>
    </row>
    <row r="14" spans="2:10">
      <c r="B14" t="s">
        <v>239</v>
      </c>
      <c r="C14" t="s">
        <v>239</v>
      </c>
      <c r="D14" s="41"/>
      <c r="E14" s="13"/>
      <c r="F14" s="41"/>
      <c r="G14" s="41"/>
      <c r="H14" s="13"/>
      <c r="I14" s="78">
        <v>3</v>
      </c>
      <c r="J14" s="80"/>
    </row>
    <row r="15" spans="2:10">
      <c r="B15" t="s">
        <v>240</v>
      </c>
      <c r="C15" t="s">
        <v>239</v>
      </c>
      <c r="D15" s="41"/>
      <c r="E15" s="13"/>
      <c r="F15" s="41">
        <v>4</v>
      </c>
      <c r="G15" s="41">
        <v>0</v>
      </c>
      <c r="H15" s="13"/>
      <c r="I15" s="78"/>
      <c r="J15" s="80"/>
    </row>
    <row r="16" spans="2:10">
      <c r="B16" t="s">
        <v>239</v>
      </c>
      <c r="C16" t="s">
        <v>239</v>
      </c>
      <c r="D16" s="41"/>
      <c r="E16" s="13"/>
      <c r="F16" s="41"/>
      <c r="G16" s="41"/>
      <c r="H16" s="13"/>
      <c r="I16" s="78">
        <v>4</v>
      </c>
      <c r="J16" s="80"/>
    </row>
    <row r="17" spans="2:10">
      <c r="B17" t="s">
        <v>240</v>
      </c>
      <c r="C17" t="s">
        <v>239</v>
      </c>
      <c r="D17" s="41"/>
      <c r="E17" s="13"/>
      <c r="F17" s="41">
        <v>5</v>
      </c>
      <c r="G17" s="41">
        <v>0</v>
      </c>
      <c r="H17" s="13"/>
      <c r="I17" s="78"/>
      <c r="J17" s="80"/>
    </row>
    <row r="18" spans="2:10">
      <c r="B18" t="s">
        <v>239</v>
      </c>
      <c r="C18" t="s">
        <v>239</v>
      </c>
      <c r="D18" s="41"/>
      <c r="E18" s="13"/>
      <c r="F18" s="41"/>
      <c r="G18" s="41"/>
      <c r="H18" s="13"/>
      <c r="I18" s="78">
        <v>5</v>
      </c>
      <c r="J18" s="80"/>
    </row>
    <row r="19" spans="2:10">
      <c r="B19" t="s">
        <v>240</v>
      </c>
      <c r="C19" t="s">
        <v>239</v>
      </c>
      <c r="D19" s="41"/>
      <c r="E19" s="13"/>
      <c r="F19" s="41">
        <v>6</v>
      </c>
      <c r="G19" s="41">
        <v>0</v>
      </c>
      <c r="H19" s="13"/>
      <c r="I19" s="78"/>
      <c r="J19" s="80"/>
    </row>
    <row r="20" spans="2:10">
      <c r="B20" t="s">
        <v>239</v>
      </c>
      <c r="C20" t="s">
        <v>239</v>
      </c>
      <c r="D20" s="41"/>
      <c r="E20" s="13"/>
      <c r="F20" s="41"/>
      <c r="G20" s="41"/>
      <c r="H20" s="13"/>
      <c r="I20" s="78">
        <v>6</v>
      </c>
      <c r="J20" s="80"/>
    </row>
    <row r="21" spans="2:10">
      <c r="B21" t="s">
        <v>240</v>
      </c>
      <c r="C21" t="s">
        <v>239</v>
      </c>
      <c r="D21" s="41"/>
      <c r="E21" s="13"/>
      <c r="F21" s="41">
        <v>7</v>
      </c>
      <c r="G21" s="41">
        <v>0</v>
      </c>
      <c r="H21" s="13"/>
      <c r="I21" s="78"/>
      <c r="J21" s="80"/>
    </row>
    <row r="22" spans="2:10">
      <c r="B22" t="s">
        <v>239</v>
      </c>
      <c r="C22" t="s">
        <v>239</v>
      </c>
      <c r="D22" s="41"/>
      <c r="E22" s="13"/>
      <c r="F22" s="41"/>
      <c r="G22" s="41"/>
      <c r="H22" s="13"/>
      <c r="I22" s="78">
        <v>7</v>
      </c>
      <c r="J22" s="80"/>
    </row>
    <row r="23" spans="2:10" ht="15.75" thickBot="1">
      <c r="B23" t="s">
        <v>240</v>
      </c>
      <c r="C23" t="s">
        <v>239</v>
      </c>
      <c r="D23" s="41"/>
      <c r="E23" s="13"/>
      <c r="F23" s="41">
        <v>8</v>
      </c>
      <c r="G23" s="41">
        <v>0</v>
      </c>
      <c r="H23" s="13"/>
      <c r="I23" s="78"/>
      <c r="J23" s="80"/>
    </row>
    <row r="24" spans="2:10">
      <c r="B24" t="s">
        <v>239</v>
      </c>
      <c r="C24" t="s">
        <v>239</v>
      </c>
      <c r="D24" s="41"/>
      <c r="E24" s="13"/>
      <c r="F24" s="41"/>
      <c r="G24" s="41"/>
      <c r="H24" s="13"/>
      <c r="I24" s="78">
        <v>8</v>
      </c>
      <c r="J24" s="79" t="s">
        <v>242</v>
      </c>
    </row>
    <row r="25" spans="2:10">
      <c r="B25" t="s">
        <v>240</v>
      </c>
      <c r="C25" t="s">
        <v>239</v>
      </c>
      <c r="D25" s="41"/>
      <c r="E25" s="13"/>
      <c r="F25" s="41">
        <v>9</v>
      </c>
      <c r="G25" s="41">
        <v>0</v>
      </c>
      <c r="H25" s="13"/>
      <c r="I25" s="78"/>
      <c r="J25" s="80"/>
    </row>
    <row r="26" spans="2:10">
      <c r="B26" t="s">
        <v>239</v>
      </c>
      <c r="C26" t="s">
        <v>239</v>
      </c>
      <c r="D26" s="41"/>
      <c r="E26" s="13"/>
      <c r="F26" s="41"/>
      <c r="G26" s="41"/>
      <c r="H26" s="13"/>
      <c r="I26" s="78">
        <v>9</v>
      </c>
      <c r="J26" s="80"/>
    </row>
    <row r="27" spans="2:10">
      <c r="B27" t="s">
        <v>240</v>
      </c>
      <c r="C27" t="s">
        <v>239</v>
      </c>
      <c r="D27" s="41"/>
      <c r="E27" s="13"/>
      <c r="F27" s="41">
        <v>10</v>
      </c>
      <c r="G27" s="41">
        <v>0</v>
      </c>
      <c r="H27" s="13"/>
      <c r="I27" s="78"/>
      <c r="J27" s="80"/>
    </row>
    <row r="28" spans="2:10">
      <c r="B28" t="s">
        <v>239</v>
      </c>
      <c r="C28" t="s">
        <v>239</v>
      </c>
      <c r="D28" s="41"/>
      <c r="E28" s="13"/>
      <c r="F28" s="41"/>
      <c r="G28" s="41"/>
      <c r="H28" s="13"/>
      <c r="I28" s="78">
        <v>10</v>
      </c>
      <c r="J28" s="80"/>
    </row>
    <row r="29" spans="2:10">
      <c r="B29" t="s">
        <v>240</v>
      </c>
      <c r="C29" t="s">
        <v>239</v>
      </c>
      <c r="D29" s="41"/>
      <c r="E29" s="13"/>
      <c r="F29" s="41">
        <v>11</v>
      </c>
      <c r="G29" s="41">
        <v>0</v>
      </c>
      <c r="H29" s="13"/>
      <c r="I29" s="78"/>
      <c r="J29" s="80"/>
    </row>
    <row r="30" spans="2:10">
      <c r="B30" t="s">
        <v>239</v>
      </c>
      <c r="C30" t="s">
        <v>239</v>
      </c>
      <c r="D30" s="41"/>
      <c r="E30" s="13"/>
      <c r="F30" s="41"/>
      <c r="G30" s="41"/>
      <c r="H30" s="13"/>
      <c r="I30" s="78">
        <v>11</v>
      </c>
      <c r="J30" s="80"/>
    </row>
    <row r="31" spans="2:10" ht="15.75" thickBot="1">
      <c r="B31" t="s">
        <v>240</v>
      </c>
      <c r="C31" t="s">
        <v>239</v>
      </c>
      <c r="D31" s="41">
        <v>0</v>
      </c>
      <c r="E31" s="13"/>
      <c r="F31" s="41">
        <v>12</v>
      </c>
      <c r="G31" s="41" t="s">
        <v>243</v>
      </c>
      <c r="H31" s="13"/>
      <c r="I31" s="78"/>
      <c r="J31" s="81"/>
    </row>
    <row r="32" spans="2:10">
      <c r="B32" t="s">
        <v>239</v>
      </c>
      <c r="C32" t="s">
        <v>239</v>
      </c>
      <c r="D32" s="41"/>
      <c r="E32" s="13"/>
      <c r="F32" s="41"/>
      <c r="G32" s="41"/>
      <c r="H32" s="41">
        <v>0</v>
      </c>
      <c r="I32" s="78">
        <v>12</v>
      </c>
    </row>
    <row r="33" spans="2:9">
      <c r="B33" t="s">
        <v>240</v>
      </c>
      <c r="C33" t="s">
        <v>239</v>
      </c>
      <c r="D33" s="41">
        <v>1</v>
      </c>
      <c r="E33" s="13"/>
      <c r="F33" s="41">
        <v>13</v>
      </c>
      <c r="G33" s="41" t="s">
        <v>244</v>
      </c>
      <c r="H33" s="41"/>
      <c r="I33" s="78"/>
    </row>
    <row r="34" spans="2:9">
      <c r="B34" t="s">
        <v>239</v>
      </c>
      <c r="C34" t="s">
        <v>239</v>
      </c>
      <c r="D34" s="41"/>
      <c r="E34" s="13"/>
      <c r="F34" s="41"/>
      <c r="G34" s="41"/>
      <c r="H34" s="41">
        <v>1</v>
      </c>
      <c r="I34" s="78">
        <v>13</v>
      </c>
    </row>
    <row r="35" spans="2:9">
      <c r="B35" t="s">
        <v>240</v>
      </c>
      <c r="C35" t="s">
        <v>239</v>
      </c>
      <c r="D35" s="41">
        <v>2</v>
      </c>
      <c r="E35" s="13"/>
      <c r="F35" s="41">
        <v>14</v>
      </c>
      <c r="G35" s="41" t="s">
        <v>245</v>
      </c>
      <c r="H35" s="41"/>
      <c r="I35" s="78"/>
    </row>
    <row r="36" spans="2:9">
      <c r="B36" t="s">
        <v>239</v>
      </c>
      <c r="C36" t="s">
        <v>239</v>
      </c>
      <c r="D36" s="41"/>
      <c r="E36" s="13"/>
      <c r="F36" s="41"/>
      <c r="G36" s="41"/>
      <c r="H36" s="41">
        <v>2</v>
      </c>
      <c r="I36" s="78">
        <v>14</v>
      </c>
    </row>
    <row r="37" spans="2:9">
      <c r="B37" t="s">
        <v>240</v>
      </c>
      <c r="C37" t="s">
        <v>239</v>
      </c>
      <c r="D37" s="41">
        <v>3</v>
      </c>
      <c r="E37" s="13"/>
      <c r="F37" s="41">
        <v>15</v>
      </c>
      <c r="G37" s="41" t="s">
        <v>246</v>
      </c>
      <c r="H37" s="41"/>
      <c r="I37" s="78"/>
    </row>
    <row r="38" spans="2:9">
      <c r="B38" t="s">
        <v>239</v>
      </c>
      <c r="C38" t="s">
        <v>239</v>
      </c>
      <c r="D38" s="41"/>
      <c r="E38" s="13"/>
      <c r="F38" s="41"/>
      <c r="G38" s="41"/>
      <c r="H38" s="41">
        <v>3</v>
      </c>
      <c r="I38" s="78">
        <v>15</v>
      </c>
    </row>
    <row r="39" spans="2:9">
      <c r="B39" t="s">
        <v>240</v>
      </c>
      <c r="C39" t="s">
        <v>239</v>
      </c>
      <c r="D39" s="41">
        <v>4</v>
      </c>
      <c r="E39" s="13"/>
      <c r="F39" s="41">
        <v>16</v>
      </c>
      <c r="G39" s="41" t="s">
        <v>247</v>
      </c>
      <c r="H39" s="41"/>
      <c r="I39" s="78"/>
    </row>
    <row r="40" spans="2:9">
      <c r="B40" t="s">
        <v>239</v>
      </c>
      <c r="C40" t="s">
        <v>239</v>
      </c>
      <c r="D40" s="41"/>
      <c r="E40" s="13"/>
      <c r="F40" s="41"/>
      <c r="G40" s="41"/>
      <c r="H40" s="41">
        <v>4</v>
      </c>
      <c r="I40" s="78">
        <v>16</v>
      </c>
    </row>
    <row r="41" spans="2:9">
      <c r="B41" t="s">
        <v>240</v>
      </c>
      <c r="C41" t="s">
        <v>239</v>
      </c>
      <c r="D41" s="41">
        <v>5</v>
      </c>
      <c r="E41" s="13"/>
      <c r="F41" s="41">
        <v>17</v>
      </c>
      <c r="G41" s="41" t="s">
        <v>248</v>
      </c>
      <c r="H41" s="41"/>
      <c r="I41" s="78"/>
    </row>
    <row r="42" spans="2:9">
      <c r="B42" t="s">
        <v>239</v>
      </c>
      <c r="C42" t="s">
        <v>239</v>
      </c>
      <c r="D42" s="41"/>
      <c r="E42" s="13"/>
      <c r="F42" s="41"/>
      <c r="G42" s="41"/>
      <c r="H42" s="41">
        <v>5</v>
      </c>
      <c r="I42" s="78">
        <v>17</v>
      </c>
    </row>
    <row r="43" spans="2:9">
      <c r="B43" t="s">
        <v>240</v>
      </c>
      <c r="C43" t="s">
        <v>239</v>
      </c>
      <c r="D43" s="41">
        <v>6</v>
      </c>
      <c r="E43" s="13"/>
      <c r="F43" s="41">
        <v>18</v>
      </c>
      <c r="G43" s="41" t="s">
        <v>249</v>
      </c>
      <c r="H43" s="41"/>
      <c r="I43" s="78"/>
    </row>
    <row r="44" spans="2:9">
      <c r="B44" t="s">
        <v>239</v>
      </c>
      <c r="C44" t="s">
        <v>239</v>
      </c>
      <c r="D44" s="41"/>
      <c r="E44" s="13"/>
      <c r="F44" s="41"/>
      <c r="G44" s="41"/>
      <c r="H44" s="41">
        <v>6</v>
      </c>
      <c r="I44" s="78">
        <v>18</v>
      </c>
    </row>
    <row r="45" spans="2:9">
      <c r="B45" t="s">
        <v>240</v>
      </c>
      <c r="C45" t="s">
        <v>239</v>
      </c>
      <c r="D45" s="41">
        <v>7</v>
      </c>
      <c r="E45" s="13"/>
      <c r="F45" s="41">
        <v>19</v>
      </c>
      <c r="G45" s="41" t="s">
        <v>250</v>
      </c>
      <c r="H45" s="41"/>
      <c r="I45" s="78"/>
    </row>
    <row r="46" spans="2:9">
      <c r="B46" t="s">
        <v>239</v>
      </c>
      <c r="C46" t="s">
        <v>239</v>
      </c>
      <c r="D46" s="41"/>
      <c r="E46" s="13"/>
      <c r="F46" s="41"/>
      <c r="G46" s="41"/>
      <c r="H46" s="41">
        <v>7</v>
      </c>
      <c r="I46" s="78">
        <v>19</v>
      </c>
    </row>
    <row r="47" spans="2:9">
      <c r="B47" t="s">
        <v>240</v>
      </c>
      <c r="C47" t="s">
        <v>239</v>
      </c>
      <c r="D47" s="41">
        <v>8</v>
      </c>
      <c r="E47" s="13"/>
      <c r="F47" s="41">
        <v>20</v>
      </c>
      <c r="G47" s="46" t="s">
        <v>251</v>
      </c>
      <c r="H47" s="41"/>
      <c r="I47" s="78"/>
    </row>
    <row r="48" spans="2:9">
      <c r="B48" t="s">
        <v>239</v>
      </c>
      <c r="C48" t="s">
        <v>239</v>
      </c>
      <c r="D48" s="41"/>
      <c r="E48" s="13"/>
      <c r="F48" s="41"/>
      <c r="G48" s="41"/>
      <c r="H48" s="41">
        <v>8</v>
      </c>
      <c r="I48" s="78">
        <v>20</v>
      </c>
    </row>
    <row r="49" spans="2:9">
      <c r="B49" t="s">
        <v>240</v>
      </c>
      <c r="C49" t="s">
        <v>239</v>
      </c>
      <c r="D49" s="41">
        <v>9</v>
      </c>
      <c r="E49" s="13"/>
      <c r="F49" s="41">
        <v>21</v>
      </c>
      <c r="G49" s="46" t="s">
        <v>251</v>
      </c>
      <c r="H49" s="41"/>
      <c r="I49" s="78"/>
    </row>
    <row r="50" spans="2:9">
      <c r="B50" t="s">
        <v>239</v>
      </c>
      <c r="C50" t="s">
        <v>239</v>
      </c>
      <c r="D50" s="41"/>
      <c r="E50" s="13"/>
      <c r="F50" s="41"/>
      <c r="G50" s="41"/>
      <c r="H50" s="41">
        <v>9</v>
      </c>
      <c r="I50" s="78">
        <v>21</v>
      </c>
    </row>
    <row r="51" spans="2:9">
      <c r="B51" t="s">
        <v>240</v>
      </c>
      <c r="C51" t="s">
        <v>239</v>
      </c>
      <c r="D51" s="41">
        <v>10</v>
      </c>
      <c r="E51" s="13"/>
      <c r="F51" s="41">
        <v>22</v>
      </c>
      <c r="G51" s="46" t="s">
        <v>252</v>
      </c>
      <c r="H51" s="41"/>
      <c r="I51" s="78"/>
    </row>
    <row r="52" spans="2:9">
      <c r="B52" t="s">
        <v>239</v>
      </c>
      <c r="C52" t="s">
        <v>239</v>
      </c>
      <c r="D52" s="41"/>
      <c r="E52" s="13"/>
      <c r="F52" s="41"/>
      <c r="G52" s="41"/>
      <c r="H52" s="41">
        <v>10</v>
      </c>
      <c r="I52" s="78">
        <v>22</v>
      </c>
    </row>
    <row r="53" spans="2:9">
      <c r="B53" t="s">
        <v>240</v>
      </c>
      <c r="C53" t="s">
        <v>239</v>
      </c>
      <c r="D53" s="41">
        <v>11</v>
      </c>
      <c r="E53" s="13"/>
      <c r="F53" s="41">
        <v>23</v>
      </c>
      <c r="G53" s="46" t="s">
        <v>252</v>
      </c>
      <c r="H53" s="41"/>
      <c r="I53" s="78"/>
    </row>
    <row r="54" spans="2:9">
      <c r="B54" t="s">
        <v>239</v>
      </c>
      <c r="C54" t="s">
        <v>239</v>
      </c>
      <c r="D54" s="41"/>
      <c r="E54" s="13"/>
      <c r="F54" s="41"/>
      <c r="G54" s="41"/>
      <c r="H54" s="41">
        <v>11</v>
      </c>
      <c r="I54" s="78">
        <v>23</v>
      </c>
    </row>
    <row r="55" spans="2:9">
      <c r="B55" t="s">
        <v>240</v>
      </c>
      <c r="C55" t="s">
        <v>239</v>
      </c>
      <c r="D55" s="41">
        <v>12</v>
      </c>
      <c r="E55" s="13"/>
      <c r="F55" s="41">
        <v>24</v>
      </c>
      <c r="G55" s="46" t="s">
        <v>253</v>
      </c>
      <c r="H55" s="41"/>
      <c r="I55" s="78"/>
    </row>
    <row r="56" spans="2:9">
      <c r="B56" t="s">
        <v>239</v>
      </c>
      <c r="C56" t="s">
        <v>239</v>
      </c>
      <c r="D56" s="41"/>
      <c r="E56" s="13"/>
      <c r="F56" s="41"/>
      <c r="G56" s="41"/>
      <c r="H56" s="41">
        <v>12</v>
      </c>
      <c r="I56" s="78">
        <v>24</v>
      </c>
    </row>
    <row r="57" spans="2:9">
      <c r="B57" t="s">
        <v>240</v>
      </c>
      <c r="C57" t="s">
        <v>239</v>
      </c>
      <c r="D57" s="41">
        <v>13</v>
      </c>
      <c r="E57" s="13"/>
      <c r="F57" s="41">
        <v>25</v>
      </c>
      <c r="G57" s="46" t="s">
        <v>252</v>
      </c>
      <c r="H57" s="41"/>
      <c r="I57" s="78"/>
    </row>
    <row r="58" spans="2:9">
      <c r="B58" t="s">
        <v>239</v>
      </c>
      <c r="C58" t="s">
        <v>239</v>
      </c>
      <c r="D58" s="41"/>
      <c r="E58" s="13"/>
      <c r="F58" s="41"/>
      <c r="G58" s="41"/>
      <c r="H58" s="41">
        <v>13</v>
      </c>
      <c r="I58" s="78">
        <v>25</v>
      </c>
    </row>
    <row r="59" spans="2:9">
      <c r="B59" t="s">
        <v>240</v>
      </c>
      <c r="C59" t="s">
        <v>239</v>
      </c>
      <c r="D59" s="41">
        <v>14</v>
      </c>
      <c r="E59" s="13"/>
      <c r="F59" s="41">
        <v>26</v>
      </c>
      <c r="G59" s="46" t="s">
        <v>251</v>
      </c>
      <c r="H59" s="41"/>
      <c r="I59" s="78"/>
    </row>
    <row r="60" spans="2:9">
      <c r="B60" t="s">
        <v>239</v>
      </c>
      <c r="C60" t="s">
        <v>239</v>
      </c>
      <c r="D60" s="41"/>
      <c r="E60" s="13"/>
      <c r="F60" s="41"/>
      <c r="G60" s="41"/>
      <c r="H60" s="41">
        <v>14</v>
      </c>
      <c r="I60" s="78">
        <v>26</v>
      </c>
    </row>
    <row r="61" spans="2:9">
      <c r="B61" t="s">
        <v>240</v>
      </c>
      <c r="C61" t="s">
        <v>239</v>
      </c>
      <c r="D61" s="41">
        <v>15</v>
      </c>
      <c r="E61" s="13"/>
      <c r="F61" s="41">
        <v>27</v>
      </c>
      <c r="G61" s="46" t="s">
        <v>251</v>
      </c>
      <c r="H61" s="41"/>
      <c r="I61" s="78"/>
    </row>
    <row r="62" spans="2:9">
      <c r="B62" t="s">
        <v>239</v>
      </c>
      <c r="C62" t="s">
        <v>239</v>
      </c>
      <c r="D62" s="41"/>
      <c r="E62" s="13"/>
      <c r="F62" s="41"/>
      <c r="G62" s="41"/>
      <c r="H62" s="41">
        <v>15</v>
      </c>
      <c r="I62" s="78">
        <v>27</v>
      </c>
    </row>
    <row r="63" spans="2:9">
      <c r="B63" t="s">
        <v>240</v>
      </c>
      <c r="C63" t="s">
        <v>239</v>
      </c>
      <c r="D63" s="41">
        <v>16</v>
      </c>
      <c r="E63" s="13"/>
      <c r="F63" s="41">
        <v>28</v>
      </c>
      <c r="G63" s="46">
        <v>0</v>
      </c>
      <c r="H63" s="41"/>
      <c r="I63" s="78"/>
    </row>
    <row r="64" spans="2:9">
      <c r="B64" t="s">
        <v>239</v>
      </c>
      <c r="C64" t="s">
        <v>239</v>
      </c>
      <c r="D64" s="41"/>
      <c r="E64" s="13"/>
      <c r="F64" s="41"/>
      <c r="G64" s="41"/>
      <c r="H64" s="41">
        <v>16</v>
      </c>
      <c r="I64" s="78">
        <v>28</v>
      </c>
    </row>
    <row r="65" spans="2:9">
      <c r="B65" t="s">
        <v>240</v>
      </c>
      <c r="C65" t="s">
        <v>239</v>
      </c>
      <c r="D65" s="41">
        <v>17</v>
      </c>
      <c r="E65" s="13"/>
      <c r="F65" s="41">
        <v>29</v>
      </c>
      <c r="G65" s="46">
        <v>0</v>
      </c>
      <c r="H65" s="41"/>
      <c r="I65" s="78"/>
    </row>
    <row r="66" spans="2:9">
      <c r="B66" t="s">
        <v>239</v>
      </c>
      <c r="C66" t="s">
        <v>239</v>
      </c>
      <c r="D66" s="41"/>
      <c r="E66" s="13"/>
      <c r="F66" s="41"/>
      <c r="G66" s="41"/>
      <c r="H66" s="41">
        <v>17</v>
      </c>
      <c r="I66" s="78">
        <v>29</v>
      </c>
    </row>
    <row r="67" spans="2:9">
      <c r="B67" t="s">
        <v>240</v>
      </c>
      <c r="C67" t="s">
        <v>239</v>
      </c>
      <c r="D67" s="41">
        <v>18</v>
      </c>
      <c r="E67" s="13"/>
      <c r="F67" s="41">
        <v>30</v>
      </c>
      <c r="G67" s="46">
        <v>0</v>
      </c>
      <c r="H67" s="41"/>
      <c r="I67" s="78"/>
    </row>
    <row r="68" spans="2:9">
      <c r="B68" t="s">
        <v>239</v>
      </c>
      <c r="C68" t="s">
        <v>239</v>
      </c>
      <c r="D68" s="41"/>
      <c r="E68" s="13"/>
      <c r="F68" s="41"/>
      <c r="G68" s="41"/>
      <c r="H68" s="41">
        <v>18</v>
      </c>
      <c r="I68" s="78">
        <v>30</v>
      </c>
    </row>
    <row r="69" spans="2:9">
      <c r="B69" t="s">
        <v>240</v>
      </c>
      <c r="C69" t="s">
        <v>239</v>
      </c>
      <c r="D69" s="41">
        <v>19</v>
      </c>
      <c r="E69" s="13"/>
      <c r="F69" s="41">
        <v>31</v>
      </c>
      <c r="G69" s="46">
        <v>0</v>
      </c>
      <c r="H69" s="41"/>
      <c r="I69" s="78"/>
    </row>
    <row r="70" spans="2:9">
      <c r="B70" t="s">
        <v>239</v>
      </c>
      <c r="C70" t="s">
        <v>239</v>
      </c>
      <c r="D70" s="41"/>
      <c r="E70" s="13"/>
      <c r="F70" s="41"/>
      <c r="G70" s="41"/>
      <c r="H70" s="41">
        <v>19</v>
      </c>
      <c r="I70" s="78">
        <v>31</v>
      </c>
    </row>
    <row r="71" spans="2:9">
      <c r="B71" t="s">
        <v>240</v>
      </c>
      <c r="C71" t="s">
        <v>239</v>
      </c>
      <c r="D71" s="41">
        <v>20</v>
      </c>
      <c r="E71" s="13"/>
      <c r="F71" s="41">
        <v>32</v>
      </c>
      <c r="G71" s="46">
        <v>0</v>
      </c>
      <c r="H71" s="41"/>
      <c r="I71" s="78"/>
    </row>
    <row r="72" spans="2:9">
      <c r="B72" t="s">
        <v>239</v>
      </c>
      <c r="C72" t="s">
        <v>239</v>
      </c>
      <c r="D72" s="41"/>
      <c r="E72" s="13"/>
      <c r="F72" s="41"/>
      <c r="G72" s="41"/>
      <c r="H72" s="41">
        <v>20</v>
      </c>
      <c r="I72" s="78">
        <v>32</v>
      </c>
    </row>
    <row r="73" spans="2:9">
      <c r="B73" t="s">
        <v>240</v>
      </c>
      <c r="C73" t="s">
        <v>239</v>
      </c>
      <c r="D73" s="41">
        <v>21</v>
      </c>
      <c r="E73" s="13"/>
      <c r="F73" s="41">
        <v>33</v>
      </c>
      <c r="G73" s="46">
        <v>0</v>
      </c>
      <c r="H73" s="41"/>
      <c r="I73" s="78"/>
    </row>
    <row r="74" spans="2:9">
      <c r="B74" t="s">
        <v>239</v>
      </c>
      <c r="C74" t="s">
        <v>239</v>
      </c>
      <c r="D74" s="41"/>
      <c r="E74" s="13"/>
      <c r="F74" s="41"/>
      <c r="G74" s="41"/>
      <c r="H74" s="41">
        <v>21</v>
      </c>
      <c r="I74" s="78">
        <v>33</v>
      </c>
    </row>
    <row r="75" spans="2:9">
      <c r="B75" t="s">
        <v>240</v>
      </c>
      <c r="C75" t="s">
        <v>239</v>
      </c>
      <c r="D75" s="41">
        <v>22</v>
      </c>
      <c r="E75" s="13"/>
      <c r="F75" s="41">
        <v>34</v>
      </c>
      <c r="G75" s="46">
        <v>0</v>
      </c>
      <c r="H75" s="41"/>
      <c r="I75" s="78"/>
    </row>
    <row r="76" spans="2:9">
      <c r="B76" t="s">
        <v>239</v>
      </c>
      <c r="C76" t="s">
        <v>239</v>
      </c>
      <c r="D76" s="41"/>
      <c r="E76" s="13"/>
      <c r="F76" s="41"/>
      <c r="G76" s="41"/>
      <c r="H76" s="41">
        <v>22</v>
      </c>
      <c r="I76" s="78">
        <v>34</v>
      </c>
    </row>
    <row r="77" spans="2:9">
      <c r="B77" t="s">
        <v>240</v>
      </c>
      <c r="C77" t="s">
        <v>239</v>
      </c>
      <c r="D77" s="41">
        <v>23</v>
      </c>
      <c r="E77" s="13"/>
      <c r="F77" s="41">
        <v>35</v>
      </c>
      <c r="G77" s="46">
        <v>0</v>
      </c>
      <c r="H77" s="41"/>
      <c r="I77" s="78"/>
    </row>
    <row r="78" spans="2:9">
      <c r="B78" t="s">
        <v>239</v>
      </c>
      <c r="C78" t="s">
        <v>239</v>
      </c>
      <c r="D78" s="41"/>
      <c r="E78" s="13"/>
      <c r="F78" s="41"/>
      <c r="G78" s="41"/>
      <c r="H78" s="41">
        <v>23</v>
      </c>
      <c r="I78" s="78">
        <v>35</v>
      </c>
    </row>
    <row r="79" spans="2:9">
      <c r="B79" t="s">
        <v>240</v>
      </c>
      <c r="C79" t="s">
        <v>239</v>
      </c>
      <c r="D79" s="41">
        <v>24</v>
      </c>
      <c r="E79" s="13"/>
      <c r="F79" s="41">
        <v>36</v>
      </c>
      <c r="G79" s="46">
        <v>0</v>
      </c>
      <c r="H79" s="41"/>
      <c r="I79" s="78"/>
    </row>
    <row r="80" spans="2:9">
      <c r="B80" t="s">
        <v>239</v>
      </c>
      <c r="C80" t="s">
        <v>239</v>
      </c>
      <c r="D80" s="41"/>
      <c r="E80" s="13"/>
      <c r="F80" s="41"/>
      <c r="G80" s="41"/>
      <c r="H80" s="41">
        <v>24</v>
      </c>
      <c r="I80" s="78">
        <v>36</v>
      </c>
    </row>
    <row r="81" spans="2:9">
      <c r="B81" t="s">
        <v>240</v>
      </c>
      <c r="C81" t="s">
        <v>239</v>
      </c>
      <c r="D81" s="41">
        <v>25</v>
      </c>
      <c r="E81" s="13"/>
      <c r="F81" s="41">
        <v>37</v>
      </c>
      <c r="G81" s="46">
        <v>0</v>
      </c>
      <c r="H81" s="41"/>
      <c r="I81" s="78"/>
    </row>
    <row r="82" spans="2:9">
      <c r="B82" t="s">
        <v>239</v>
      </c>
      <c r="C82" t="s">
        <v>239</v>
      </c>
      <c r="D82" s="41"/>
      <c r="E82" s="13"/>
      <c r="F82" s="41"/>
      <c r="G82" s="41"/>
      <c r="H82" s="41">
        <v>25</v>
      </c>
      <c r="I82" s="78">
        <v>37</v>
      </c>
    </row>
    <row r="83" spans="2:9">
      <c r="B83" t="s">
        <v>240</v>
      </c>
      <c r="C83" t="s">
        <v>239</v>
      </c>
      <c r="D83" s="41">
        <v>26</v>
      </c>
      <c r="E83" s="13"/>
      <c r="F83" s="41">
        <v>38</v>
      </c>
      <c r="G83" s="46">
        <v>0</v>
      </c>
      <c r="H83" s="41"/>
      <c r="I83" s="78"/>
    </row>
    <row r="84" spans="2:9">
      <c r="B84" t="s">
        <v>239</v>
      </c>
      <c r="C84" t="s">
        <v>239</v>
      </c>
      <c r="D84" s="41"/>
      <c r="E84" s="13"/>
      <c r="F84" s="41"/>
      <c r="G84" s="41"/>
      <c r="H84" s="41">
        <v>26</v>
      </c>
      <c r="I84" s="78">
        <v>38</v>
      </c>
    </row>
    <row r="85" spans="2:9">
      <c r="B85" t="s">
        <v>240</v>
      </c>
      <c r="C85" t="s">
        <v>239</v>
      </c>
      <c r="D85" s="41">
        <v>27</v>
      </c>
      <c r="E85" s="13"/>
      <c r="F85" s="41">
        <v>39</v>
      </c>
      <c r="G85" s="46">
        <v>0</v>
      </c>
      <c r="H85" s="41"/>
      <c r="I85" s="78"/>
    </row>
    <row r="86" spans="2:9">
      <c r="B86" t="s">
        <v>239</v>
      </c>
      <c r="C86" t="s">
        <v>239</v>
      </c>
      <c r="D86" s="41"/>
      <c r="E86" s="13"/>
      <c r="F86" s="41"/>
      <c r="G86" s="41"/>
      <c r="H86" s="41">
        <v>27</v>
      </c>
      <c r="I86" s="78">
        <v>39</v>
      </c>
    </row>
    <row r="87" spans="2:9">
      <c r="B87" t="s">
        <v>240</v>
      </c>
      <c r="C87" t="s">
        <v>239</v>
      </c>
      <c r="D87" s="41">
        <v>28</v>
      </c>
      <c r="E87" s="13"/>
      <c r="F87" s="41">
        <v>40</v>
      </c>
      <c r="G87" s="46">
        <v>0</v>
      </c>
      <c r="H87" s="41"/>
      <c r="I87" s="78"/>
    </row>
    <row r="88" spans="2:9">
      <c r="B88" t="s">
        <v>239</v>
      </c>
      <c r="C88" t="s">
        <v>239</v>
      </c>
      <c r="D88" s="41"/>
      <c r="E88" s="13"/>
      <c r="F88" s="41"/>
      <c r="G88" s="41"/>
      <c r="H88" s="41">
        <v>28</v>
      </c>
      <c r="I88" s="78">
        <v>40</v>
      </c>
    </row>
    <row r="89" spans="2:9">
      <c r="B89" t="s">
        <v>240</v>
      </c>
      <c r="C89" t="s">
        <v>239</v>
      </c>
      <c r="D89" s="41">
        <v>29</v>
      </c>
      <c r="E89" s="13"/>
      <c r="F89" s="41">
        <v>41</v>
      </c>
      <c r="G89" s="46">
        <v>0</v>
      </c>
      <c r="H89" s="41"/>
      <c r="I89" s="78"/>
    </row>
    <row r="90" spans="2:9">
      <c r="B90" t="s">
        <v>239</v>
      </c>
      <c r="C90" t="s">
        <v>239</v>
      </c>
      <c r="D90" s="41"/>
      <c r="E90" s="13"/>
      <c r="F90" s="41"/>
      <c r="G90" s="41"/>
      <c r="H90" s="41">
        <v>29</v>
      </c>
      <c r="I90" s="78">
        <v>41</v>
      </c>
    </row>
    <row r="91" spans="2:9">
      <c r="B91" t="s">
        <v>240</v>
      </c>
      <c r="C91" t="s">
        <v>239</v>
      </c>
      <c r="D91" s="41">
        <v>30</v>
      </c>
      <c r="E91" s="13"/>
      <c r="F91" s="41">
        <v>42</v>
      </c>
      <c r="G91" s="46">
        <v>0</v>
      </c>
      <c r="H91" s="41"/>
      <c r="I91" s="78"/>
    </row>
    <row r="92" spans="2:9">
      <c r="B92" t="s">
        <v>239</v>
      </c>
      <c r="C92" t="s">
        <v>239</v>
      </c>
      <c r="D92" s="41"/>
      <c r="E92" s="13"/>
      <c r="F92" s="41"/>
      <c r="G92" s="41"/>
      <c r="H92" s="41">
        <v>30</v>
      </c>
      <c r="I92" s="78">
        <v>42</v>
      </c>
    </row>
    <row r="93" spans="2:9">
      <c r="B93" t="s">
        <v>240</v>
      </c>
      <c r="C93" t="s">
        <v>239</v>
      </c>
      <c r="D93" s="41">
        <v>31</v>
      </c>
      <c r="E93" s="13"/>
      <c r="F93" s="41">
        <v>43</v>
      </c>
      <c r="G93" s="46">
        <v>0</v>
      </c>
      <c r="H93" s="41"/>
      <c r="I93" s="78"/>
    </row>
    <row r="94" spans="2:9">
      <c r="B94" t="s">
        <v>239</v>
      </c>
      <c r="C94" t="s">
        <v>239</v>
      </c>
      <c r="D94" s="41"/>
      <c r="E94" s="13"/>
      <c r="F94" s="41"/>
      <c r="G94" s="41"/>
      <c r="H94" s="41">
        <v>31</v>
      </c>
      <c r="I94" s="78">
        <v>43</v>
      </c>
    </row>
    <row r="95" spans="2:9">
      <c r="B95" t="s">
        <v>240</v>
      </c>
      <c r="C95" t="s">
        <v>239</v>
      </c>
      <c r="D95" s="41">
        <v>32</v>
      </c>
      <c r="E95" s="13"/>
      <c r="F95" s="41">
        <v>44</v>
      </c>
      <c r="G95" s="46">
        <v>0</v>
      </c>
      <c r="H95" s="41"/>
      <c r="I95" s="78"/>
    </row>
    <row r="96" spans="2:9">
      <c r="B96" t="s">
        <v>239</v>
      </c>
      <c r="C96" t="s">
        <v>239</v>
      </c>
      <c r="D96" s="41"/>
      <c r="E96" s="13"/>
      <c r="F96" s="41"/>
      <c r="G96" s="41"/>
      <c r="H96" s="41">
        <v>32</v>
      </c>
      <c r="I96" s="78">
        <v>44</v>
      </c>
    </row>
    <row r="97" spans="2:9">
      <c r="B97" t="s">
        <v>240</v>
      </c>
      <c r="C97" t="s">
        <v>239</v>
      </c>
      <c r="D97" s="41">
        <v>33</v>
      </c>
      <c r="E97" s="13"/>
      <c r="F97" s="41">
        <v>45</v>
      </c>
      <c r="G97" s="46">
        <v>0</v>
      </c>
      <c r="H97" s="41"/>
      <c r="I97" s="78"/>
    </row>
    <row r="98" spans="2:9">
      <c r="B98" t="s">
        <v>239</v>
      </c>
      <c r="C98" t="s">
        <v>239</v>
      </c>
      <c r="D98" s="41"/>
      <c r="E98" s="13"/>
      <c r="F98" s="41"/>
      <c r="G98" s="41"/>
      <c r="H98" s="41">
        <v>33</v>
      </c>
      <c r="I98" s="78">
        <v>45</v>
      </c>
    </row>
    <row r="99" spans="2:9">
      <c r="B99" t="s">
        <v>240</v>
      </c>
      <c r="C99" t="s">
        <v>239</v>
      </c>
      <c r="D99" s="41">
        <v>34</v>
      </c>
      <c r="E99" s="13"/>
      <c r="F99" s="41">
        <v>46</v>
      </c>
      <c r="G99" s="46">
        <v>0</v>
      </c>
      <c r="H99" s="41"/>
      <c r="I99" s="78"/>
    </row>
    <row r="100" spans="2:9">
      <c r="B100" t="s">
        <v>239</v>
      </c>
      <c r="C100" t="s">
        <v>239</v>
      </c>
      <c r="D100" s="41"/>
      <c r="E100" s="13"/>
      <c r="F100" s="41"/>
      <c r="G100" s="41"/>
      <c r="H100" s="41">
        <v>34</v>
      </c>
      <c r="I100" s="78">
        <v>46</v>
      </c>
    </row>
    <row r="101" spans="2:9">
      <c r="B101" t="s">
        <v>240</v>
      </c>
      <c r="C101" t="s">
        <v>239</v>
      </c>
      <c r="D101" s="41">
        <v>35</v>
      </c>
      <c r="E101" s="13"/>
      <c r="F101" s="41">
        <v>47</v>
      </c>
      <c r="G101" s="46">
        <v>0</v>
      </c>
      <c r="H101" s="41"/>
      <c r="I101" s="78"/>
    </row>
    <row r="102" spans="2:9">
      <c r="B102" t="s">
        <v>239</v>
      </c>
      <c r="C102" t="s">
        <v>239</v>
      </c>
      <c r="D102" s="41"/>
      <c r="E102" s="13"/>
      <c r="F102" s="41"/>
      <c r="G102" s="41"/>
      <c r="H102" s="41">
        <v>35</v>
      </c>
      <c r="I102" s="78">
        <v>47</v>
      </c>
    </row>
    <row r="103" spans="2:9">
      <c r="B103" t="s">
        <v>240</v>
      </c>
      <c r="C103" t="s">
        <v>239</v>
      </c>
      <c r="D103" s="41">
        <v>36</v>
      </c>
      <c r="E103" s="13"/>
      <c r="F103" s="41">
        <v>48</v>
      </c>
      <c r="G103" s="46">
        <v>0</v>
      </c>
      <c r="H103" s="41"/>
      <c r="I103" s="78"/>
    </row>
    <row r="104" spans="2:9">
      <c r="B104" t="s">
        <v>239</v>
      </c>
      <c r="C104" t="s">
        <v>239</v>
      </c>
      <c r="D104" s="41"/>
      <c r="E104" s="13"/>
      <c r="F104" s="41"/>
      <c r="G104" s="41"/>
      <c r="H104" s="41">
        <v>36</v>
      </c>
      <c r="I104" s="78">
        <v>48</v>
      </c>
    </row>
    <row r="105" spans="2:9">
      <c r="B105" t="s">
        <v>240</v>
      </c>
      <c r="C105" t="s">
        <v>239</v>
      </c>
      <c r="D105" s="41">
        <v>37</v>
      </c>
      <c r="E105" s="13"/>
      <c r="F105" s="41">
        <v>49</v>
      </c>
      <c r="G105" s="46">
        <v>0</v>
      </c>
      <c r="H105" s="41"/>
      <c r="I105" s="78"/>
    </row>
    <row r="106" spans="2:9">
      <c r="B106" t="s">
        <v>239</v>
      </c>
      <c r="C106" t="s">
        <v>239</v>
      </c>
      <c r="D106" s="41"/>
      <c r="E106" s="13"/>
      <c r="F106" s="41"/>
      <c r="G106" s="41"/>
      <c r="H106" s="41">
        <v>37</v>
      </c>
      <c r="I106" s="78">
        <v>49</v>
      </c>
    </row>
    <row r="107" spans="2:9">
      <c r="B107" t="s">
        <v>240</v>
      </c>
      <c r="C107" t="s">
        <v>239</v>
      </c>
      <c r="D107" s="41">
        <v>38</v>
      </c>
      <c r="E107" s="13"/>
      <c r="F107" s="41">
        <v>50</v>
      </c>
      <c r="G107" s="46">
        <v>0</v>
      </c>
      <c r="H107" s="41"/>
      <c r="I107" s="78"/>
    </row>
    <row r="108" spans="2:9">
      <c r="B108" t="s">
        <v>239</v>
      </c>
      <c r="C108" t="s">
        <v>239</v>
      </c>
      <c r="D108" s="41"/>
      <c r="E108" s="13"/>
      <c r="F108" s="41"/>
      <c r="G108" s="41"/>
      <c r="H108" s="41">
        <v>38</v>
      </c>
      <c r="I108" s="78">
        <v>50</v>
      </c>
    </row>
    <row r="109" spans="2:9">
      <c r="B109" t="s">
        <v>240</v>
      </c>
      <c r="C109" t="s">
        <v>239</v>
      </c>
      <c r="D109" s="41">
        <v>39</v>
      </c>
      <c r="E109" s="13"/>
      <c r="F109" s="41">
        <v>51</v>
      </c>
      <c r="G109" s="46">
        <v>0</v>
      </c>
      <c r="H109" s="41"/>
      <c r="I109" s="78"/>
    </row>
    <row r="110" spans="2:9">
      <c r="B110" t="s">
        <v>239</v>
      </c>
      <c r="C110" t="s">
        <v>239</v>
      </c>
      <c r="D110" s="41"/>
      <c r="E110" s="13"/>
      <c r="F110" s="41"/>
      <c r="G110" s="41"/>
      <c r="H110" s="41">
        <v>39</v>
      </c>
      <c r="I110" s="78">
        <v>51</v>
      </c>
    </row>
    <row r="111" spans="2:9">
      <c r="B111" t="s">
        <v>240</v>
      </c>
      <c r="C111" t="s">
        <v>239</v>
      </c>
      <c r="D111" s="41">
        <v>40</v>
      </c>
      <c r="E111" s="13"/>
      <c r="F111" s="41">
        <v>52</v>
      </c>
      <c r="G111" s="46">
        <v>0</v>
      </c>
      <c r="H111" s="41"/>
      <c r="I111" s="78"/>
    </row>
    <row r="112" spans="2:9">
      <c r="B112" t="s">
        <v>239</v>
      </c>
      <c r="C112" t="s">
        <v>239</v>
      </c>
      <c r="D112" s="41"/>
      <c r="E112" s="13"/>
      <c r="F112" s="41"/>
      <c r="G112" s="41"/>
      <c r="H112" s="41">
        <v>40</v>
      </c>
      <c r="I112" s="78">
        <v>52</v>
      </c>
    </row>
    <row r="113" spans="2:9">
      <c r="B113" t="s">
        <v>240</v>
      </c>
      <c r="C113" t="s">
        <v>239</v>
      </c>
      <c r="D113" s="41">
        <v>41</v>
      </c>
      <c r="E113" s="13"/>
      <c r="F113" s="41">
        <v>53</v>
      </c>
      <c r="G113" s="46">
        <v>0</v>
      </c>
      <c r="H113" s="41"/>
      <c r="I113" s="78"/>
    </row>
    <row r="114" spans="2:9">
      <c r="B114" t="s">
        <v>239</v>
      </c>
      <c r="C114" t="s">
        <v>239</v>
      </c>
      <c r="D114" s="41"/>
      <c r="E114" s="13"/>
      <c r="F114" s="41"/>
      <c r="G114" s="41"/>
      <c r="H114" s="41">
        <v>41</v>
      </c>
      <c r="I114" s="78">
        <v>53</v>
      </c>
    </row>
    <row r="115" spans="2:9">
      <c r="B115" t="s">
        <v>240</v>
      </c>
      <c r="C115" t="s">
        <v>239</v>
      </c>
      <c r="D115" s="41">
        <v>42</v>
      </c>
      <c r="E115" s="13"/>
      <c r="F115" s="41">
        <v>54</v>
      </c>
      <c r="G115" s="46">
        <v>0</v>
      </c>
      <c r="H115" s="41"/>
      <c r="I115" s="78"/>
    </row>
    <row r="116" spans="2:9">
      <c r="B116" t="s">
        <v>239</v>
      </c>
      <c r="C116" t="s">
        <v>239</v>
      </c>
      <c r="D116" s="41"/>
      <c r="E116" s="13"/>
      <c r="F116" s="41"/>
      <c r="G116" s="41"/>
      <c r="H116" s="41">
        <v>42</v>
      </c>
      <c r="I116" s="78">
        <v>54</v>
      </c>
    </row>
    <row r="117" spans="2:9">
      <c r="B117" t="s">
        <v>240</v>
      </c>
      <c r="C117" t="s">
        <v>239</v>
      </c>
      <c r="D117" s="41">
        <v>43</v>
      </c>
      <c r="E117" s="13"/>
      <c r="F117" s="41">
        <v>55</v>
      </c>
      <c r="G117" s="46">
        <v>0</v>
      </c>
      <c r="H117" s="41"/>
      <c r="I117" s="78"/>
    </row>
    <row r="118" spans="2:9">
      <c r="B118" t="s">
        <v>239</v>
      </c>
      <c r="C118" t="s">
        <v>239</v>
      </c>
      <c r="D118" s="41"/>
      <c r="E118" s="13"/>
      <c r="F118" s="41"/>
      <c r="G118" s="41"/>
      <c r="H118" s="41">
        <v>43</v>
      </c>
      <c r="I118" s="78">
        <v>55</v>
      </c>
    </row>
    <row r="119" spans="2:9">
      <c r="B119" t="s">
        <v>240</v>
      </c>
      <c r="C119" t="s">
        <v>239</v>
      </c>
      <c r="D119" s="41">
        <v>44</v>
      </c>
      <c r="E119" s="13"/>
      <c r="F119" s="41">
        <v>56</v>
      </c>
      <c r="G119" s="46">
        <v>0</v>
      </c>
      <c r="H119" s="41"/>
      <c r="I119" s="78"/>
    </row>
    <row r="120" spans="2:9">
      <c r="B120" t="s">
        <v>239</v>
      </c>
      <c r="C120" t="s">
        <v>239</v>
      </c>
      <c r="D120" s="41"/>
      <c r="E120" s="13"/>
      <c r="F120" s="41"/>
      <c r="G120" s="41"/>
      <c r="H120" s="41">
        <v>44</v>
      </c>
      <c r="I120" s="78">
        <v>56</v>
      </c>
    </row>
    <row r="121" spans="2:9">
      <c r="B121" t="s">
        <v>240</v>
      </c>
      <c r="C121" t="s">
        <v>239</v>
      </c>
      <c r="D121" s="41">
        <v>45</v>
      </c>
      <c r="E121" s="13"/>
      <c r="F121" s="41">
        <v>57</v>
      </c>
      <c r="G121" s="46">
        <v>0</v>
      </c>
      <c r="H121" s="41"/>
      <c r="I121" s="78"/>
    </row>
    <row r="122" spans="2:9">
      <c r="B122" t="s">
        <v>239</v>
      </c>
      <c r="C122" t="s">
        <v>239</v>
      </c>
      <c r="D122" s="41"/>
      <c r="E122" s="13"/>
      <c r="F122" s="41"/>
      <c r="G122" s="41"/>
      <c r="H122" s="41">
        <v>45</v>
      </c>
      <c r="I122" s="78">
        <v>57</v>
      </c>
    </row>
    <row r="123" spans="2:9">
      <c r="B123" t="s">
        <v>240</v>
      </c>
      <c r="C123" t="s">
        <v>239</v>
      </c>
      <c r="D123" s="41">
        <v>46</v>
      </c>
      <c r="E123" s="13"/>
      <c r="F123" s="41">
        <v>58</v>
      </c>
      <c r="G123" s="46">
        <v>0</v>
      </c>
      <c r="H123" s="41"/>
      <c r="I123" s="78"/>
    </row>
    <row r="124" spans="2:9">
      <c r="B124" t="s">
        <v>239</v>
      </c>
      <c r="C124" t="s">
        <v>239</v>
      </c>
      <c r="D124" s="41"/>
      <c r="E124" s="13"/>
      <c r="F124" s="41"/>
      <c r="G124" s="41"/>
      <c r="H124" s="41">
        <v>46</v>
      </c>
      <c r="I124" s="78">
        <v>58</v>
      </c>
    </row>
    <row r="125" spans="2:9">
      <c r="B125" t="s">
        <v>240</v>
      </c>
      <c r="C125" t="s">
        <v>239</v>
      </c>
      <c r="D125" s="41">
        <v>47</v>
      </c>
      <c r="E125" s="13"/>
      <c r="F125" s="41">
        <v>59</v>
      </c>
      <c r="G125" s="46">
        <v>0</v>
      </c>
      <c r="H125" s="41"/>
      <c r="I125" s="78"/>
    </row>
    <row r="126" spans="2:9">
      <c r="B126" t="s">
        <v>239</v>
      </c>
      <c r="C126" t="s">
        <v>239</v>
      </c>
      <c r="D126" s="41"/>
      <c r="E126" s="13"/>
      <c r="F126" s="41"/>
      <c r="G126" s="41"/>
      <c r="H126" s="41">
        <v>47</v>
      </c>
      <c r="I126" s="78">
        <v>59</v>
      </c>
    </row>
    <row r="127" spans="2:9">
      <c r="B127" t="s">
        <v>240</v>
      </c>
      <c r="C127" t="s">
        <v>239</v>
      </c>
      <c r="D127" s="41">
        <v>48</v>
      </c>
      <c r="E127" s="13"/>
      <c r="F127" s="41">
        <v>60</v>
      </c>
      <c r="G127" s="46">
        <v>0</v>
      </c>
      <c r="H127" s="41"/>
      <c r="I127" s="78"/>
    </row>
    <row r="128" spans="2:9">
      <c r="B128" t="s">
        <v>239</v>
      </c>
      <c r="C128" t="s">
        <v>239</v>
      </c>
      <c r="D128" s="41"/>
      <c r="E128" s="13"/>
      <c r="F128" s="41"/>
      <c r="G128" s="41"/>
      <c r="H128" s="41">
        <v>48</v>
      </c>
      <c r="I128" s="78">
        <v>60</v>
      </c>
    </row>
    <row r="129" spans="2:9">
      <c r="B129" t="s">
        <v>240</v>
      </c>
      <c r="C129" t="s">
        <v>239</v>
      </c>
      <c r="D129" s="41">
        <v>49</v>
      </c>
      <c r="E129" s="13"/>
      <c r="F129" s="41">
        <v>61</v>
      </c>
      <c r="G129" s="46">
        <v>0</v>
      </c>
      <c r="H129" s="41"/>
      <c r="I129" s="78"/>
    </row>
    <row r="130" spans="2:9">
      <c r="B130" t="s">
        <v>239</v>
      </c>
      <c r="C130" t="s">
        <v>239</v>
      </c>
      <c r="D130" s="41"/>
      <c r="E130" s="13"/>
      <c r="F130" s="41"/>
      <c r="G130" s="41"/>
      <c r="H130" s="41">
        <v>49</v>
      </c>
      <c r="I130" s="78">
        <v>61</v>
      </c>
    </row>
    <row r="131" spans="2:9">
      <c r="B131" t="s">
        <v>240</v>
      </c>
      <c r="C131" t="s">
        <v>239</v>
      </c>
      <c r="D131" s="41">
        <v>50</v>
      </c>
      <c r="E131" s="13"/>
      <c r="F131" s="41">
        <v>62</v>
      </c>
      <c r="G131" s="46">
        <v>0</v>
      </c>
      <c r="H131" s="41"/>
      <c r="I131" s="78"/>
    </row>
    <row r="132" spans="2:9">
      <c r="B132" t="s">
        <v>239</v>
      </c>
      <c r="C132" t="s">
        <v>239</v>
      </c>
      <c r="D132" s="41"/>
      <c r="E132" s="13"/>
      <c r="F132" s="41"/>
      <c r="G132" s="41"/>
      <c r="H132" s="41">
        <v>50</v>
      </c>
      <c r="I132" s="78">
        <v>62</v>
      </c>
    </row>
    <row r="133" spans="2:9">
      <c r="B133" t="s">
        <v>240</v>
      </c>
      <c r="C133" t="s">
        <v>239</v>
      </c>
      <c r="D133" s="41">
        <v>51</v>
      </c>
      <c r="E133" s="13"/>
      <c r="F133" s="41">
        <v>63</v>
      </c>
      <c r="G133" s="46">
        <v>0</v>
      </c>
      <c r="H133" s="41"/>
      <c r="I133" s="78"/>
    </row>
    <row r="134" spans="2:9">
      <c r="B134" t="s">
        <v>239</v>
      </c>
      <c r="C134" t="s">
        <v>239</v>
      </c>
      <c r="D134" s="41"/>
      <c r="E134" s="13"/>
      <c r="F134" s="41"/>
      <c r="G134" s="41"/>
      <c r="H134" s="41">
        <v>51</v>
      </c>
      <c r="I134" s="78">
        <v>63</v>
      </c>
    </row>
    <row r="135" spans="2:9">
      <c r="B135" t="s">
        <v>240</v>
      </c>
      <c r="C135" t="s">
        <v>239</v>
      </c>
      <c r="D135" s="41">
        <v>52</v>
      </c>
      <c r="E135" s="13"/>
      <c r="F135" s="41">
        <v>64</v>
      </c>
      <c r="G135" s="46">
        <v>0</v>
      </c>
      <c r="H135" s="41"/>
      <c r="I135" s="78"/>
    </row>
    <row r="136" spans="2:9">
      <c r="B136" t="s">
        <v>239</v>
      </c>
      <c r="C136" t="s">
        <v>239</v>
      </c>
      <c r="D136" s="41"/>
      <c r="E136" s="13"/>
      <c r="F136" s="41"/>
      <c r="G136" s="41"/>
      <c r="H136" s="41">
        <v>52</v>
      </c>
      <c r="I136" s="78">
        <v>64</v>
      </c>
    </row>
    <row r="137" spans="2:9">
      <c r="B137" t="s">
        <v>240</v>
      </c>
      <c r="C137" t="s">
        <v>239</v>
      </c>
      <c r="D137" s="41">
        <v>53</v>
      </c>
      <c r="E137" s="13"/>
      <c r="F137" s="41">
        <v>65</v>
      </c>
      <c r="G137" s="46">
        <v>0</v>
      </c>
      <c r="H137" s="41"/>
      <c r="I137" s="78"/>
    </row>
    <row r="138" spans="2:9">
      <c r="B138" t="s">
        <v>239</v>
      </c>
      <c r="C138" t="s">
        <v>239</v>
      </c>
      <c r="D138" s="41"/>
      <c r="E138" s="13"/>
      <c r="F138" s="41"/>
      <c r="G138" s="41"/>
      <c r="H138" s="41">
        <v>53</v>
      </c>
      <c r="I138" s="78">
        <v>65</v>
      </c>
    </row>
    <row r="139" spans="2:9">
      <c r="B139" t="s">
        <v>240</v>
      </c>
      <c r="C139" t="s">
        <v>239</v>
      </c>
      <c r="D139" s="41">
        <v>54</v>
      </c>
      <c r="E139" s="13"/>
      <c r="F139" s="41">
        <v>66</v>
      </c>
      <c r="G139" s="46">
        <v>0</v>
      </c>
      <c r="H139" s="41"/>
      <c r="I139" s="78"/>
    </row>
    <row r="140" spans="2:9">
      <c r="B140" t="s">
        <v>239</v>
      </c>
      <c r="C140" t="s">
        <v>239</v>
      </c>
      <c r="D140" s="41"/>
      <c r="E140" s="13"/>
      <c r="F140" s="41"/>
      <c r="G140" s="41"/>
      <c r="H140" s="41">
        <v>54</v>
      </c>
      <c r="I140" s="78">
        <v>66</v>
      </c>
    </row>
    <row r="141" spans="2:9">
      <c r="B141" t="s">
        <v>240</v>
      </c>
      <c r="C141" t="s">
        <v>239</v>
      </c>
      <c r="D141" s="41">
        <v>55</v>
      </c>
      <c r="E141" s="13"/>
      <c r="F141" s="41">
        <v>67</v>
      </c>
      <c r="G141" s="46">
        <v>0</v>
      </c>
      <c r="H141" s="41"/>
      <c r="I141" s="78"/>
    </row>
    <row r="142" spans="2:9">
      <c r="B142" t="s">
        <v>239</v>
      </c>
      <c r="C142" t="s">
        <v>239</v>
      </c>
      <c r="D142" s="41"/>
      <c r="E142" s="13"/>
      <c r="F142" s="41"/>
      <c r="G142" s="41"/>
      <c r="H142" s="41">
        <v>55</v>
      </c>
      <c r="I142" s="78">
        <v>67</v>
      </c>
    </row>
    <row r="143" spans="2:9">
      <c r="B143" t="s">
        <v>240</v>
      </c>
      <c r="C143" t="s">
        <v>239</v>
      </c>
      <c r="D143" s="41">
        <v>56</v>
      </c>
      <c r="E143" s="13"/>
      <c r="F143" s="41">
        <v>68</v>
      </c>
      <c r="G143" s="46">
        <v>0</v>
      </c>
      <c r="H143" s="41"/>
      <c r="I143" s="78"/>
    </row>
    <row r="144" spans="2:9">
      <c r="B144" t="s">
        <v>239</v>
      </c>
      <c r="C144" t="s">
        <v>239</v>
      </c>
      <c r="D144" s="41"/>
      <c r="E144" s="13"/>
      <c r="F144" s="41"/>
      <c r="G144" s="41"/>
      <c r="H144" s="41">
        <v>56</v>
      </c>
      <c r="I144" s="78">
        <v>68</v>
      </c>
    </row>
    <row r="145" spans="2:9">
      <c r="B145" t="s">
        <v>240</v>
      </c>
      <c r="C145" t="s">
        <v>239</v>
      </c>
      <c r="D145" s="41">
        <v>57</v>
      </c>
      <c r="E145" s="13"/>
      <c r="F145" s="41">
        <v>69</v>
      </c>
      <c r="G145" s="46">
        <v>0</v>
      </c>
      <c r="H145" s="41"/>
      <c r="I145" s="78"/>
    </row>
    <row r="146" spans="2:9">
      <c r="B146" t="s">
        <v>239</v>
      </c>
      <c r="C146" t="s">
        <v>239</v>
      </c>
      <c r="D146" s="41"/>
      <c r="E146" s="13"/>
      <c r="F146" s="41"/>
      <c r="G146" s="41"/>
      <c r="H146" s="41">
        <v>57</v>
      </c>
      <c r="I146" s="78">
        <v>69</v>
      </c>
    </row>
    <row r="147" spans="2:9">
      <c r="B147" t="s">
        <v>240</v>
      </c>
      <c r="C147" t="s">
        <v>239</v>
      </c>
      <c r="D147" s="41">
        <v>58</v>
      </c>
      <c r="E147" s="13"/>
      <c r="F147" s="41">
        <v>70</v>
      </c>
      <c r="G147" s="46">
        <v>0</v>
      </c>
      <c r="H147" s="41"/>
      <c r="I147" s="78"/>
    </row>
    <row r="148" spans="2:9">
      <c r="B148" t="s">
        <v>239</v>
      </c>
      <c r="C148" t="s">
        <v>239</v>
      </c>
      <c r="D148" s="41"/>
      <c r="E148" s="13"/>
      <c r="F148" s="41"/>
      <c r="G148" s="41"/>
      <c r="H148" s="41">
        <v>58</v>
      </c>
      <c r="I148" s="78">
        <v>70</v>
      </c>
    </row>
    <row r="149" spans="2:9">
      <c r="B149" t="s">
        <v>240</v>
      </c>
      <c r="C149" t="s">
        <v>239</v>
      </c>
      <c r="D149" s="41">
        <v>59</v>
      </c>
      <c r="E149" s="13"/>
      <c r="F149" s="41">
        <v>71</v>
      </c>
      <c r="G149" s="46">
        <v>0</v>
      </c>
      <c r="H149" s="41"/>
      <c r="I149" s="78"/>
    </row>
    <row r="150" spans="2:9">
      <c r="B150" t="s">
        <v>239</v>
      </c>
      <c r="C150" t="s">
        <v>239</v>
      </c>
      <c r="D150" s="41"/>
      <c r="E150" s="13"/>
      <c r="F150" s="41"/>
      <c r="G150" s="41"/>
      <c r="H150" s="41">
        <v>59</v>
      </c>
      <c r="I150" s="78">
        <v>71</v>
      </c>
    </row>
    <row r="151" spans="2:9">
      <c r="B151" t="s">
        <v>240</v>
      </c>
      <c r="C151" t="s">
        <v>239</v>
      </c>
      <c r="D151" s="41">
        <v>60</v>
      </c>
      <c r="E151" s="13"/>
      <c r="F151" s="41">
        <v>72</v>
      </c>
      <c r="G151" s="46">
        <v>0</v>
      </c>
      <c r="H151" s="41"/>
      <c r="I151" s="78"/>
    </row>
    <row r="152" spans="2:9">
      <c r="B152" t="s">
        <v>239</v>
      </c>
      <c r="C152" t="s">
        <v>239</v>
      </c>
      <c r="D152" s="41"/>
      <c r="E152" s="13"/>
      <c r="F152" s="41"/>
      <c r="G152" s="41"/>
      <c r="H152" s="41">
        <v>60</v>
      </c>
      <c r="I152" s="78">
        <v>72</v>
      </c>
    </row>
    <row r="153" spans="2:9">
      <c r="B153" t="s">
        <v>240</v>
      </c>
      <c r="C153" t="s">
        <v>239</v>
      </c>
      <c r="D153" s="41">
        <v>61</v>
      </c>
      <c r="E153" s="13"/>
      <c r="F153" s="41">
        <v>73</v>
      </c>
      <c r="G153" s="46">
        <v>0</v>
      </c>
      <c r="H153" s="41"/>
      <c r="I153" s="78"/>
    </row>
    <row r="154" spans="2:9">
      <c r="B154" t="s">
        <v>239</v>
      </c>
      <c r="C154" t="s">
        <v>239</v>
      </c>
      <c r="D154" s="41"/>
      <c r="E154" s="13"/>
      <c r="F154" s="41"/>
      <c r="G154" s="41"/>
      <c r="H154" s="41">
        <v>61</v>
      </c>
      <c r="I154" s="78">
        <v>73</v>
      </c>
    </row>
    <row r="155" spans="2:9">
      <c r="B155" t="s">
        <v>240</v>
      </c>
      <c r="C155" t="s">
        <v>239</v>
      </c>
      <c r="D155" s="41">
        <v>62</v>
      </c>
      <c r="E155" s="13"/>
      <c r="F155" s="41">
        <v>74</v>
      </c>
      <c r="G155" s="46">
        <v>0</v>
      </c>
      <c r="H155" s="41"/>
      <c r="I155" s="78"/>
    </row>
    <row r="156" spans="2:9">
      <c r="B156" t="s">
        <v>239</v>
      </c>
      <c r="C156" t="s">
        <v>239</v>
      </c>
      <c r="D156" s="41"/>
      <c r="E156" s="13"/>
      <c r="F156" s="41"/>
      <c r="G156" s="41"/>
      <c r="H156" s="41">
        <v>62</v>
      </c>
      <c r="I156" s="78">
        <v>74</v>
      </c>
    </row>
    <row r="157" spans="2:9">
      <c r="B157" t="s">
        <v>240</v>
      </c>
      <c r="C157" t="s">
        <v>239</v>
      </c>
      <c r="D157" s="41">
        <v>63</v>
      </c>
      <c r="E157" s="13"/>
      <c r="F157" s="41">
        <v>75</v>
      </c>
      <c r="G157" s="46">
        <v>0</v>
      </c>
      <c r="H157" s="41"/>
      <c r="I157" s="78"/>
    </row>
    <row r="158" spans="2:9">
      <c r="B158" t="s">
        <v>239</v>
      </c>
      <c r="C158" t="s">
        <v>239</v>
      </c>
      <c r="D158" s="41"/>
      <c r="E158" s="13"/>
      <c r="F158" s="41"/>
      <c r="G158" s="41"/>
      <c r="H158" s="41">
        <v>63</v>
      </c>
      <c r="I158" s="78">
        <v>75</v>
      </c>
    </row>
    <row r="159" spans="2:9">
      <c r="B159" t="s">
        <v>240</v>
      </c>
      <c r="C159" t="s">
        <v>239</v>
      </c>
      <c r="D159" s="41">
        <v>64</v>
      </c>
      <c r="E159" s="13"/>
      <c r="F159" s="41">
        <v>76</v>
      </c>
      <c r="G159" s="46">
        <v>0</v>
      </c>
      <c r="H159" s="41"/>
      <c r="I159" s="78"/>
    </row>
    <row r="160" spans="2:9">
      <c r="B160" t="s">
        <v>239</v>
      </c>
      <c r="C160" t="s">
        <v>239</v>
      </c>
      <c r="D160" s="41"/>
      <c r="E160" s="13"/>
      <c r="F160" s="41"/>
      <c r="G160" s="41"/>
      <c r="H160" s="41">
        <v>64</v>
      </c>
      <c r="I160" s="78">
        <v>76</v>
      </c>
    </row>
    <row r="161" spans="2:9">
      <c r="B161" t="s">
        <v>240</v>
      </c>
      <c r="C161" t="s">
        <v>239</v>
      </c>
      <c r="D161" s="41">
        <v>65</v>
      </c>
      <c r="E161" s="13"/>
      <c r="F161" s="41">
        <v>77</v>
      </c>
      <c r="G161" s="46">
        <v>0</v>
      </c>
      <c r="H161" s="41"/>
      <c r="I161" s="78"/>
    </row>
    <row r="162" spans="2:9">
      <c r="B162" t="s">
        <v>239</v>
      </c>
      <c r="C162" t="s">
        <v>239</v>
      </c>
      <c r="D162" s="41"/>
      <c r="E162" s="13"/>
      <c r="F162" s="41"/>
      <c r="G162" s="41"/>
      <c r="H162" s="41">
        <v>65</v>
      </c>
      <c r="I162" s="78">
        <v>77</v>
      </c>
    </row>
    <row r="163" spans="2:9">
      <c r="B163" t="s">
        <v>240</v>
      </c>
      <c r="C163" t="s">
        <v>239</v>
      </c>
      <c r="D163" s="41">
        <v>66</v>
      </c>
      <c r="E163" s="13"/>
      <c r="F163" s="41">
        <v>78</v>
      </c>
      <c r="G163" s="46">
        <v>0</v>
      </c>
      <c r="H163" s="41"/>
      <c r="I163" s="78"/>
    </row>
    <row r="164" spans="2:9">
      <c r="B164" t="s">
        <v>239</v>
      </c>
      <c r="C164" t="s">
        <v>239</v>
      </c>
      <c r="D164" s="41"/>
      <c r="E164" s="13"/>
      <c r="F164" s="41"/>
      <c r="G164" s="41"/>
      <c r="H164" s="41">
        <v>66</v>
      </c>
      <c r="I164" s="78">
        <v>78</v>
      </c>
    </row>
    <row r="165" spans="2:9">
      <c r="B165" t="s">
        <v>240</v>
      </c>
      <c r="C165" t="s">
        <v>239</v>
      </c>
      <c r="D165" s="41">
        <v>67</v>
      </c>
      <c r="E165" s="13"/>
      <c r="F165" s="41">
        <v>79</v>
      </c>
      <c r="G165" s="46">
        <v>0</v>
      </c>
      <c r="H165" s="41"/>
      <c r="I165" s="78"/>
    </row>
    <row r="166" spans="2:9">
      <c r="B166" t="s">
        <v>239</v>
      </c>
      <c r="C166" t="s">
        <v>239</v>
      </c>
      <c r="D166" s="41"/>
      <c r="E166" s="13"/>
      <c r="F166" s="41"/>
      <c r="G166" s="41"/>
      <c r="H166" s="41">
        <v>67</v>
      </c>
      <c r="I166" s="78">
        <v>79</v>
      </c>
    </row>
    <row r="167" spans="2:9">
      <c r="B167" t="s">
        <v>240</v>
      </c>
      <c r="C167" t="s">
        <v>239</v>
      </c>
      <c r="D167" s="41">
        <v>68</v>
      </c>
      <c r="E167" s="13"/>
      <c r="F167" s="41">
        <v>80</v>
      </c>
      <c r="G167" s="46">
        <v>0</v>
      </c>
      <c r="H167" s="41"/>
      <c r="I167" s="78"/>
    </row>
    <row r="168" spans="2:9">
      <c r="B168" t="s">
        <v>239</v>
      </c>
      <c r="C168" t="s">
        <v>239</v>
      </c>
      <c r="D168" s="41"/>
      <c r="E168" s="13"/>
      <c r="F168" s="41"/>
      <c r="G168" s="41"/>
      <c r="H168" s="41">
        <v>68</v>
      </c>
      <c r="I168" s="78">
        <v>80</v>
      </c>
    </row>
    <row r="169" spans="2:9">
      <c r="B169" t="s">
        <v>240</v>
      </c>
      <c r="C169" t="s">
        <v>239</v>
      </c>
      <c r="D169" s="41">
        <v>69</v>
      </c>
      <c r="E169" s="13"/>
      <c r="F169" s="41">
        <v>81</v>
      </c>
      <c r="G169" s="46">
        <v>0</v>
      </c>
      <c r="H169" s="41"/>
      <c r="I169" s="78"/>
    </row>
    <row r="170" spans="2:9">
      <c r="B170" t="s">
        <v>239</v>
      </c>
      <c r="C170" t="s">
        <v>239</v>
      </c>
      <c r="D170" s="41"/>
      <c r="E170" s="13"/>
      <c r="F170" s="41"/>
      <c r="G170" s="41"/>
      <c r="H170" s="41">
        <v>69</v>
      </c>
      <c r="I170" s="78">
        <v>81</v>
      </c>
    </row>
    <row r="171" spans="2:9">
      <c r="B171" t="s">
        <v>240</v>
      </c>
      <c r="C171" t="s">
        <v>239</v>
      </c>
      <c r="D171" s="41">
        <v>70</v>
      </c>
      <c r="E171" s="13"/>
      <c r="F171" s="41">
        <v>82</v>
      </c>
      <c r="G171" s="46">
        <v>0</v>
      </c>
      <c r="H171" s="41"/>
      <c r="I171" s="78"/>
    </row>
    <row r="172" spans="2:9">
      <c r="B172" t="s">
        <v>239</v>
      </c>
      <c r="C172" t="s">
        <v>239</v>
      </c>
      <c r="D172" s="41"/>
      <c r="E172" s="13"/>
      <c r="F172" s="41"/>
      <c r="G172" s="41"/>
      <c r="H172" s="41">
        <v>70</v>
      </c>
      <c r="I172" s="78">
        <v>82</v>
      </c>
    </row>
    <row r="173" spans="2:9">
      <c r="B173" t="s">
        <v>240</v>
      </c>
      <c r="C173" t="s">
        <v>239</v>
      </c>
      <c r="D173" s="41">
        <v>71</v>
      </c>
      <c r="E173" s="13"/>
      <c r="F173" s="41">
        <v>83</v>
      </c>
      <c r="G173" s="46">
        <v>0</v>
      </c>
      <c r="H173" s="41"/>
      <c r="I173" s="78"/>
    </row>
    <row r="174" spans="2:9">
      <c r="B174" t="s">
        <v>239</v>
      </c>
      <c r="C174" t="s">
        <v>239</v>
      </c>
      <c r="D174" s="41"/>
      <c r="E174" s="13"/>
      <c r="F174" s="41"/>
      <c r="G174" s="41"/>
      <c r="H174" s="41">
        <v>71</v>
      </c>
      <c r="I174" s="78">
        <v>83</v>
      </c>
    </row>
    <row r="175" spans="2:9">
      <c r="B175" t="s">
        <v>240</v>
      </c>
      <c r="C175" t="s">
        <v>239</v>
      </c>
      <c r="D175" s="41">
        <v>72</v>
      </c>
      <c r="E175" s="13"/>
      <c r="F175" s="41">
        <v>84</v>
      </c>
      <c r="G175" s="46">
        <v>0</v>
      </c>
      <c r="H175" s="41"/>
      <c r="I175" s="78"/>
    </row>
    <row r="176" spans="2:9">
      <c r="B176" t="s">
        <v>239</v>
      </c>
      <c r="C176" t="s">
        <v>239</v>
      </c>
      <c r="D176" s="41"/>
      <c r="E176" s="13"/>
      <c r="F176" s="41"/>
      <c r="G176" s="41"/>
      <c r="H176" s="41">
        <v>72</v>
      </c>
      <c r="I176" s="78">
        <v>84</v>
      </c>
    </row>
    <row r="177" spans="2:9">
      <c r="B177" t="s">
        <v>240</v>
      </c>
      <c r="C177" t="s">
        <v>239</v>
      </c>
      <c r="D177" s="41">
        <v>73</v>
      </c>
      <c r="E177" s="13"/>
      <c r="F177" s="41">
        <v>85</v>
      </c>
      <c r="G177" s="46">
        <v>0</v>
      </c>
      <c r="H177" s="41"/>
      <c r="I177" s="78"/>
    </row>
    <row r="178" spans="2:9">
      <c r="B178" t="s">
        <v>239</v>
      </c>
      <c r="C178" t="s">
        <v>239</v>
      </c>
      <c r="D178" s="41"/>
      <c r="E178" s="13"/>
      <c r="F178" s="41"/>
      <c r="G178" s="41"/>
      <c r="H178" s="41">
        <v>73</v>
      </c>
      <c r="I178" s="78">
        <v>85</v>
      </c>
    </row>
    <row r="179" spans="2:9">
      <c r="B179" t="s">
        <v>240</v>
      </c>
      <c r="C179" t="s">
        <v>239</v>
      </c>
      <c r="D179" s="41">
        <v>74</v>
      </c>
      <c r="E179" s="13"/>
      <c r="F179" s="41">
        <v>86</v>
      </c>
      <c r="G179" s="46">
        <v>0</v>
      </c>
      <c r="H179" s="41"/>
      <c r="I179" s="78"/>
    </row>
    <row r="180" spans="2:9">
      <c r="B180" t="s">
        <v>239</v>
      </c>
      <c r="C180" t="s">
        <v>239</v>
      </c>
      <c r="D180" s="41"/>
      <c r="E180" s="13"/>
      <c r="F180" s="41"/>
      <c r="G180" s="41"/>
      <c r="H180" s="41">
        <v>74</v>
      </c>
      <c r="I180" s="78">
        <v>86</v>
      </c>
    </row>
    <row r="181" spans="2:9">
      <c r="B181" t="s">
        <v>240</v>
      </c>
      <c r="C181" t="s">
        <v>239</v>
      </c>
      <c r="D181" s="41">
        <v>75</v>
      </c>
      <c r="E181" s="13"/>
      <c r="F181" s="41">
        <v>87</v>
      </c>
      <c r="G181" s="46">
        <v>0</v>
      </c>
      <c r="H181" s="41"/>
      <c r="I181" s="78"/>
    </row>
    <row r="182" spans="2:9">
      <c r="B182" t="s">
        <v>239</v>
      </c>
      <c r="C182" t="s">
        <v>239</v>
      </c>
      <c r="D182" s="41"/>
      <c r="E182" s="13"/>
      <c r="F182" s="41"/>
      <c r="G182" s="41"/>
      <c r="H182" s="41">
        <v>75</v>
      </c>
      <c r="I182" s="78">
        <v>87</v>
      </c>
    </row>
    <row r="183" spans="2:9">
      <c r="B183" t="s">
        <v>240</v>
      </c>
      <c r="C183" t="s">
        <v>239</v>
      </c>
      <c r="D183" s="41">
        <v>76</v>
      </c>
      <c r="E183" s="13"/>
      <c r="F183" s="41">
        <v>88</v>
      </c>
      <c r="G183" s="46">
        <v>0</v>
      </c>
      <c r="H183" s="41"/>
      <c r="I183" s="78"/>
    </row>
    <row r="184" spans="2:9">
      <c r="B184" t="s">
        <v>239</v>
      </c>
      <c r="C184" t="s">
        <v>239</v>
      </c>
      <c r="D184" s="41"/>
      <c r="E184" s="13"/>
      <c r="F184" s="41"/>
      <c r="G184" s="41"/>
      <c r="H184" s="41">
        <v>76</v>
      </c>
      <c r="I184" s="78">
        <v>88</v>
      </c>
    </row>
    <row r="185" spans="2:9">
      <c r="B185" t="s">
        <v>240</v>
      </c>
      <c r="C185" t="s">
        <v>239</v>
      </c>
      <c r="D185" s="41">
        <v>77</v>
      </c>
      <c r="E185" s="13"/>
      <c r="F185" s="41">
        <v>89</v>
      </c>
      <c r="G185" s="46">
        <v>0</v>
      </c>
      <c r="H185" s="41"/>
      <c r="I185" s="78"/>
    </row>
    <row r="186" spans="2:9">
      <c r="B186" t="s">
        <v>239</v>
      </c>
      <c r="C186" t="s">
        <v>239</v>
      </c>
      <c r="D186" s="41"/>
      <c r="E186" s="13"/>
      <c r="F186" s="41"/>
      <c r="G186" s="41"/>
      <c r="H186" s="41">
        <v>77</v>
      </c>
      <c r="I186" s="78">
        <v>89</v>
      </c>
    </row>
    <row r="187" spans="2:9">
      <c r="B187" t="s">
        <v>240</v>
      </c>
      <c r="C187" t="s">
        <v>239</v>
      </c>
      <c r="D187" s="41">
        <v>78</v>
      </c>
      <c r="E187" s="13"/>
      <c r="F187" s="41">
        <v>90</v>
      </c>
      <c r="G187" s="46">
        <v>0</v>
      </c>
      <c r="H187" s="41"/>
      <c r="I187" s="78"/>
    </row>
    <row r="188" spans="2:9">
      <c r="B188" t="s">
        <v>239</v>
      </c>
      <c r="C188" t="s">
        <v>239</v>
      </c>
      <c r="D188" s="41"/>
      <c r="E188" s="13"/>
      <c r="F188" s="41"/>
      <c r="G188" s="41"/>
      <c r="H188" s="41">
        <v>78</v>
      </c>
      <c r="I188" s="78">
        <v>90</v>
      </c>
    </row>
    <row r="189" spans="2:9">
      <c r="B189" t="s">
        <v>240</v>
      </c>
      <c r="C189" t="s">
        <v>239</v>
      </c>
      <c r="D189" s="41">
        <v>79</v>
      </c>
      <c r="E189" s="13"/>
      <c r="F189" s="41">
        <v>91</v>
      </c>
      <c r="G189" s="46">
        <v>0</v>
      </c>
      <c r="H189" s="41"/>
      <c r="I189" s="78"/>
    </row>
    <row r="190" spans="2:9">
      <c r="B190" t="s">
        <v>239</v>
      </c>
      <c r="C190" t="s">
        <v>239</v>
      </c>
      <c r="D190" s="41"/>
      <c r="E190" s="13"/>
      <c r="F190" s="41"/>
      <c r="G190" s="41"/>
      <c r="H190" s="41">
        <v>79</v>
      </c>
      <c r="I190" s="78">
        <v>91</v>
      </c>
    </row>
    <row r="191" spans="2:9">
      <c r="B191" t="s">
        <v>240</v>
      </c>
      <c r="C191" t="s">
        <v>239</v>
      </c>
      <c r="D191" s="41">
        <v>80</v>
      </c>
      <c r="E191" s="13"/>
      <c r="F191" s="41">
        <v>92</v>
      </c>
      <c r="G191" s="46">
        <v>0</v>
      </c>
      <c r="H191" s="41"/>
      <c r="I191" s="78"/>
    </row>
    <row r="192" spans="2:9">
      <c r="B192" t="s">
        <v>239</v>
      </c>
      <c r="C192" t="s">
        <v>239</v>
      </c>
      <c r="D192" s="41"/>
      <c r="E192" s="13"/>
      <c r="F192" s="41"/>
      <c r="G192" s="41"/>
      <c r="H192" s="41">
        <v>80</v>
      </c>
      <c r="I192" s="78">
        <v>92</v>
      </c>
    </row>
    <row r="193" spans="2:9">
      <c r="B193" t="s">
        <v>240</v>
      </c>
      <c r="C193" t="s">
        <v>239</v>
      </c>
      <c r="D193" s="41">
        <v>81</v>
      </c>
      <c r="E193" s="13"/>
      <c r="F193" s="41">
        <v>93</v>
      </c>
      <c r="G193" s="46">
        <v>0</v>
      </c>
      <c r="H193" s="41"/>
      <c r="I193" s="78"/>
    </row>
    <row r="194" spans="2:9">
      <c r="B194" t="s">
        <v>239</v>
      </c>
      <c r="C194" t="s">
        <v>239</v>
      </c>
      <c r="D194" s="41"/>
      <c r="E194" s="13"/>
      <c r="F194" s="41"/>
      <c r="G194" s="41"/>
      <c r="H194" s="41">
        <v>81</v>
      </c>
      <c r="I194" s="78">
        <v>93</v>
      </c>
    </row>
    <row r="195" spans="2:9">
      <c r="B195" t="s">
        <v>240</v>
      </c>
      <c r="C195" t="s">
        <v>239</v>
      </c>
      <c r="D195" s="41">
        <v>82</v>
      </c>
      <c r="E195" s="13"/>
      <c r="F195" s="41">
        <v>94</v>
      </c>
      <c r="G195" s="46">
        <v>0</v>
      </c>
      <c r="H195" s="41"/>
      <c r="I195" s="78"/>
    </row>
    <row r="196" spans="2:9">
      <c r="B196" t="s">
        <v>239</v>
      </c>
      <c r="C196" t="s">
        <v>239</v>
      </c>
      <c r="D196" s="41"/>
      <c r="E196" s="13"/>
      <c r="F196" s="41"/>
      <c r="G196" s="41"/>
      <c r="H196" s="41">
        <v>82</v>
      </c>
      <c r="I196" s="78">
        <v>94</v>
      </c>
    </row>
    <row r="197" spans="2:9">
      <c r="B197" t="s">
        <v>240</v>
      </c>
      <c r="C197" t="s">
        <v>239</v>
      </c>
      <c r="D197" s="41">
        <v>83</v>
      </c>
      <c r="E197" s="13"/>
      <c r="F197" s="41">
        <v>95</v>
      </c>
      <c r="G197" s="46">
        <v>0</v>
      </c>
      <c r="H197" s="41"/>
      <c r="I197" s="78"/>
    </row>
    <row r="198" spans="2:9">
      <c r="B198" t="s">
        <v>239</v>
      </c>
      <c r="C198" t="s">
        <v>239</v>
      </c>
      <c r="D198" s="41"/>
      <c r="E198" s="13"/>
      <c r="F198" s="41"/>
      <c r="G198" s="41"/>
      <c r="H198" s="41">
        <v>83</v>
      </c>
      <c r="I198" s="78">
        <v>95</v>
      </c>
    </row>
    <row r="199" spans="2:9">
      <c r="B199" t="s">
        <v>240</v>
      </c>
      <c r="C199" t="s">
        <v>239</v>
      </c>
      <c r="D199" s="41">
        <v>84</v>
      </c>
      <c r="E199" s="13"/>
      <c r="F199" s="41">
        <v>96</v>
      </c>
      <c r="G199" s="46">
        <v>0</v>
      </c>
      <c r="H199" s="41"/>
      <c r="I199" s="78"/>
    </row>
    <row r="200" spans="2:9">
      <c r="B200" t="s">
        <v>239</v>
      </c>
      <c r="C200" t="s">
        <v>239</v>
      </c>
      <c r="D200" s="41"/>
      <c r="E200" s="13"/>
      <c r="F200" s="41"/>
      <c r="G200" s="41"/>
      <c r="H200" s="41">
        <v>84</v>
      </c>
      <c r="I200" s="78">
        <v>96</v>
      </c>
    </row>
    <row r="201" spans="2:9">
      <c r="B201" t="s">
        <v>240</v>
      </c>
      <c r="C201" t="s">
        <v>239</v>
      </c>
      <c r="D201" s="41">
        <v>85</v>
      </c>
      <c r="E201" s="13"/>
      <c r="F201" s="41">
        <v>97</v>
      </c>
      <c r="G201" s="46">
        <v>0</v>
      </c>
      <c r="H201" s="41"/>
      <c r="I201" s="78"/>
    </row>
    <row r="202" spans="2:9">
      <c r="B202" t="s">
        <v>239</v>
      </c>
      <c r="C202" t="s">
        <v>239</v>
      </c>
      <c r="D202" s="41"/>
      <c r="E202" s="13"/>
      <c r="F202" s="41"/>
      <c r="G202" s="41"/>
      <c r="H202" s="41">
        <v>85</v>
      </c>
      <c r="I202" s="78">
        <v>97</v>
      </c>
    </row>
    <row r="203" spans="2:9">
      <c r="B203" t="s">
        <v>240</v>
      </c>
      <c r="C203" t="s">
        <v>239</v>
      </c>
      <c r="D203" s="41">
        <v>86</v>
      </c>
      <c r="E203" s="13"/>
      <c r="F203" s="41">
        <v>98</v>
      </c>
      <c r="G203" s="46">
        <v>0</v>
      </c>
      <c r="H203" s="41"/>
      <c r="I203" s="78"/>
    </row>
    <row r="204" spans="2:9">
      <c r="B204" t="s">
        <v>239</v>
      </c>
      <c r="C204" t="s">
        <v>239</v>
      </c>
      <c r="D204" s="41"/>
      <c r="E204" s="13"/>
      <c r="F204" s="41"/>
      <c r="G204" s="41"/>
      <c r="H204" s="41">
        <v>86</v>
      </c>
      <c r="I204" s="78">
        <v>98</v>
      </c>
    </row>
    <row r="205" spans="2:9">
      <c r="B205" t="s">
        <v>240</v>
      </c>
      <c r="C205" t="s">
        <v>239</v>
      </c>
      <c r="D205" s="41">
        <v>87</v>
      </c>
      <c r="E205" s="13"/>
      <c r="F205" s="41">
        <v>99</v>
      </c>
      <c r="G205" s="46">
        <v>0</v>
      </c>
      <c r="H205" s="41"/>
      <c r="I205" s="78"/>
    </row>
    <row r="206" spans="2:9">
      <c r="B206" t="s">
        <v>239</v>
      </c>
      <c r="C206" t="s">
        <v>239</v>
      </c>
      <c r="D206" s="41"/>
      <c r="E206" s="13"/>
      <c r="F206" s="41"/>
      <c r="G206" s="41"/>
      <c r="H206" s="41">
        <v>87</v>
      </c>
      <c r="I206" s="78">
        <v>99</v>
      </c>
    </row>
    <row r="207" spans="2:9">
      <c r="B207" t="s">
        <v>240</v>
      </c>
      <c r="C207" t="s">
        <v>239</v>
      </c>
      <c r="D207" s="41">
        <v>88</v>
      </c>
      <c r="E207" s="13"/>
      <c r="F207" s="41">
        <v>100</v>
      </c>
      <c r="G207" s="46">
        <v>0</v>
      </c>
      <c r="H207" s="41"/>
      <c r="I207" s="78"/>
    </row>
    <row r="208" spans="2:9">
      <c r="B208" t="s">
        <v>239</v>
      </c>
      <c r="C208" t="s">
        <v>239</v>
      </c>
      <c r="D208" s="41"/>
      <c r="E208" s="13"/>
      <c r="F208" s="41"/>
      <c r="G208" s="41"/>
      <c r="H208" s="41">
        <v>88</v>
      </c>
      <c r="I208" s="78">
        <v>100</v>
      </c>
    </row>
    <row r="209" spans="2:9">
      <c r="B209" t="s">
        <v>240</v>
      </c>
      <c r="C209" t="s">
        <v>239</v>
      </c>
      <c r="D209" s="41">
        <v>89</v>
      </c>
      <c r="E209" s="13"/>
      <c r="F209" s="41">
        <v>101</v>
      </c>
      <c r="G209" s="46">
        <v>0</v>
      </c>
      <c r="H209" s="41"/>
      <c r="I209" s="78"/>
    </row>
    <row r="210" spans="2:9">
      <c r="B210" t="s">
        <v>239</v>
      </c>
      <c r="C210" t="s">
        <v>239</v>
      </c>
      <c r="D210" s="41"/>
      <c r="E210" s="13"/>
      <c r="F210" s="41"/>
      <c r="G210" s="41"/>
      <c r="H210" s="41">
        <v>89</v>
      </c>
      <c r="I210" s="78">
        <v>101</v>
      </c>
    </row>
    <row r="211" spans="2:9">
      <c r="B211" t="s">
        <v>240</v>
      </c>
      <c r="C211" t="s">
        <v>239</v>
      </c>
      <c r="D211" s="41">
        <v>90</v>
      </c>
      <c r="E211" s="13"/>
      <c r="F211" s="41">
        <v>102</v>
      </c>
      <c r="G211" s="46">
        <v>0</v>
      </c>
      <c r="H211" s="41"/>
      <c r="I211" s="78"/>
    </row>
    <row r="212" spans="2:9">
      <c r="B212" t="s">
        <v>239</v>
      </c>
      <c r="C212" t="s">
        <v>239</v>
      </c>
      <c r="D212" s="41"/>
      <c r="E212" s="13"/>
      <c r="F212" s="41"/>
      <c r="G212" s="41"/>
      <c r="H212" s="41">
        <v>90</v>
      </c>
      <c r="I212" s="78">
        <v>102</v>
      </c>
    </row>
    <row r="213" spans="2:9">
      <c r="B213" t="s">
        <v>240</v>
      </c>
      <c r="C213" t="s">
        <v>239</v>
      </c>
      <c r="D213" s="41">
        <v>91</v>
      </c>
      <c r="E213" s="13"/>
      <c r="F213" s="41">
        <v>103</v>
      </c>
      <c r="G213" s="46">
        <v>0</v>
      </c>
      <c r="H213" s="41"/>
      <c r="I213" s="78"/>
    </row>
    <row r="214" spans="2:9">
      <c r="B214" t="s">
        <v>239</v>
      </c>
      <c r="C214" t="s">
        <v>239</v>
      </c>
      <c r="D214" s="41"/>
      <c r="E214" s="13"/>
      <c r="F214" s="41"/>
      <c r="G214" s="41"/>
      <c r="H214" s="41">
        <v>91</v>
      </c>
      <c r="I214" s="78">
        <v>103</v>
      </c>
    </row>
    <row r="215" spans="2:9">
      <c r="B215" t="s">
        <v>240</v>
      </c>
      <c r="C215" t="s">
        <v>239</v>
      </c>
      <c r="D215" s="41">
        <v>92</v>
      </c>
      <c r="E215" s="13"/>
      <c r="F215" s="41">
        <v>104</v>
      </c>
      <c r="G215" s="46">
        <v>0</v>
      </c>
      <c r="H215" s="41"/>
      <c r="I215" s="78"/>
    </row>
    <row r="216" spans="2:9">
      <c r="B216" t="s">
        <v>239</v>
      </c>
      <c r="C216" t="s">
        <v>239</v>
      </c>
      <c r="D216" s="41"/>
      <c r="E216" s="13"/>
      <c r="F216" s="41"/>
      <c r="G216" s="41"/>
      <c r="H216" s="41">
        <v>92</v>
      </c>
      <c r="I216" s="78">
        <v>104</v>
      </c>
    </row>
    <row r="217" spans="2:9">
      <c r="B217" t="s">
        <v>240</v>
      </c>
      <c r="C217" t="s">
        <v>239</v>
      </c>
      <c r="D217" s="41">
        <v>93</v>
      </c>
      <c r="E217" s="13"/>
      <c r="F217" s="41">
        <v>105</v>
      </c>
      <c r="G217" s="46">
        <v>0</v>
      </c>
      <c r="H217" s="41"/>
      <c r="I217" s="78"/>
    </row>
    <row r="218" spans="2:9">
      <c r="B218" t="s">
        <v>239</v>
      </c>
      <c r="C218" t="s">
        <v>239</v>
      </c>
      <c r="D218" s="41"/>
      <c r="E218" s="13"/>
      <c r="F218" s="41"/>
      <c r="G218" s="41"/>
      <c r="H218" s="41">
        <v>93</v>
      </c>
      <c r="I218" s="78">
        <v>105</v>
      </c>
    </row>
    <row r="219" spans="2:9">
      <c r="B219" t="s">
        <v>240</v>
      </c>
      <c r="C219" t="s">
        <v>239</v>
      </c>
      <c r="D219" s="41">
        <v>94</v>
      </c>
      <c r="E219" s="13"/>
      <c r="F219" s="41">
        <v>106</v>
      </c>
      <c r="G219" s="46">
        <v>0</v>
      </c>
      <c r="H219" s="41"/>
      <c r="I219" s="78"/>
    </row>
    <row r="220" spans="2:9">
      <c r="B220" t="s">
        <v>239</v>
      </c>
      <c r="C220" t="s">
        <v>239</v>
      </c>
      <c r="D220" s="41"/>
      <c r="E220" s="13"/>
      <c r="F220" s="41"/>
      <c r="G220" s="41"/>
      <c r="H220" s="41">
        <v>94</v>
      </c>
      <c r="I220" s="78">
        <v>106</v>
      </c>
    </row>
    <row r="221" spans="2:9">
      <c r="B221" t="s">
        <v>240</v>
      </c>
      <c r="C221" t="s">
        <v>239</v>
      </c>
      <c r="D221" s="41">
        <v>95</v>
      </c>
      <c r="E221" s="13"/>
      <c r="F221" s="41">
        <v>107</v>
      </c>
      <c r="G221" s="46">
        <v>0</v>
      </c>
      <c r="H221" s="41"/>
      <c r="I221" s="78"/>
    </row>
    <row r="222" spans="2:9">
      <c r="B222" t="s">
        <v>239</v>
      </c>
      <c r="C222" t="s">
        <v>239</v>
      </c>
      <c r="D222" s="41"/>
      <c r="E222" s="13"/>
      <c r="F222" s="41"/>
      <c r="G222" s="41"/>
      <c r="H222" s="41">
        <v>95</v>
      </c>
      <c r="I222" s="78">
        <v>107</v>
      </c>
    </row>
    <row r="223" spans="2:9">
      <c r="B223" t="s">
        <v>240</v>
      </c>
      <c r="C223" t="s">
        <v>239</v>
      </c>
      <c r="D223" s="41">
        <v>96</v>
      </c>
      <c r="E223" s="13"/>
      <c r="F223" s="41">
        <v>108</v>
      </c>
      <c r="G223" s="46">
        <v>0</v>
      </c>
      <c r="H223" s="41"/>
      <c r="I223" s="78"/>
    </row>
    <row r="224" spans="2:9">
      <c r="B224" t="s">
        <v>239</v>
      </c>
      <c r="C224" t="s">
        <v>239</v>
      </c>
      <c r="D224" s="41"/>
      <c r="E224" s="13"/>
      <c r="F224" s="41"/>
      <c r="G224" s="41"/>
      <c r="H224" s="41">
        <v>96</v>
      </c>
      <c r="I224" s="78">
        <v>108</v>
      </c>
    </row>
    <row r="225" spans="2:9">
      <c r="B225" t="s">
        <v>240</v>
      </c>
      <c r="C225" t="s">
        <v>239</v>
      </c>
      <c r="D225" s="41">
        <v>97</v>
      </c>
      <c r="E225" s="13"/>
      <c r="F225" s="41">
        <v>109</v>
      </c>
      <c r="G225" s="46">
        <v>0</v>
      </c>
      <c r="H225" s="41"/>
      <c r="I225" s="78"/>
    </row>
    <row r="226" spans="2:9">
      <c r="B226" t="s">
        <v>239</v>
      </c>
      <c r="C226" t="s">
        <v>239</v>
      </c>
      <c r="D226" s="41"/>
      <c r="E226" s="13"/>
      <c r="F226" s="41"/>
      <c r="G226" s="41"/>
      <c r="H226" s="41">
        <v>97</v>
      </c>
      <c r="I226" s="78">
        <v>109</v>
      </c>
    </row>
    <row r="227" spans="2:9">
      <c r="B227" t="s">
        <v>240</v>
      </c>
      <c r="C227" t="s">
        <v>239</v>
      </c>
      <c r="D227" s="41">
        <v>98</v>
      </c>
      <c r="E227" s="13"/>
      <c r="F227" s="41">
        <v>110</v>
      </c>
      <c r="G227" s="46">
        <v>0</v>
      </c>
      <c r="H227" s="41"/>
      <c r="I227" s="78"/>
    </row>
    <row r="228" spans="2:9">
      <c r="B228" t="s">
        <v>239</v>
      </c>
      <c r="C228" t="s">
        <v>239</v>
      </c>
      <c r="D228" s="41"/>
      <c r="E228" s="13"/>
      <c r="F228" s="41"/>
      <c r="G228" s="41"/>
      <c r="H228" s="41">
        <v>98</v>
      </c>
      <c r="I228" s="78">
        <v>110</v>
      </c>
    </row>
    <row r="229" spans="2:9">
      <c r="B229" t="s">
        <v>240</v>
      </c>
      <c r="C229" t="s">
        <v>239</v>
      </c>
      <c r="D229" s="41">
        <v>99</v>
      </c>
      <c r="E229" s="13"/>
      <c r="F229" s="41">
        <v>111</v>
      </c>
      <c r="G229" s="46">
        <v>0</v>
      </c>
      <c r="H229" s="41"/>
      <c r="I229" s="78"/>
    </row>
    <row r="230" spans="2:9">
      <c r="B230" t="s">
        <v>239</v>
      </c>
      <c r="C230" t="s">
        <v>239</v>
      </c>
      <c r="D230" s="41"/>
      <c r="E230" s="13"/>
      <c r="F230" s="41"/>
      <c r="G230" s="41"/>
      <c r="H230" s="41">
        <v>99</v>
      </c>
      <c r="I230" s="78">
        <v>111</v>
      </c>
    </row>
    <row r="231" spans="2:9">
      <c r="B231" t="s">
        <v>240</v>
      </c>
      <c r="C231" t="s">
        <v>239</v>
      </c>
      <c r="D231" s="41">
        <v>100</v>
      </c>
      <c r="E231" s="13"/>
      <c r="F231" s="41">
        <v>112</v>
      </c>
      <c r="G231" s="46">
        <v>0</v>
      </c>
      <c r="H231" s="41"/>
      <c r="I231" s="78"/>
    </row>
    <row r="232" spans="2:9">
      <c r="B232" t="s">
        <v>239</v>
      </c>
      <c r="C232" t="s">
        <v>239</v>
      </c>
      <c r="D232" s="41"/>
      <c r="E232" s="13"/>
      <c r="F232" s="41"/>
      <c r="G232" s="41"/>
      <c r="H232" s="41">
        <v>100</v>
      </c>
      <c r="I232" s="78">
        <v>112</v>
      </c>
    </row>
    <row r="233" spans="2:9">
      <c r="B233" t="s">
        <v>240</v>
      </c>
      <c r="C233" t="s">
        <v>239</v>
      </c>
      <c r="D233" s="41">
        <v>101</v>
      </c>
      <c r="E233" s="13"/>
      <c r="F233" s="41">
        <v>113</v>
      </c>
      <c r="G233" s="46">
        <v>0</v>
      </c>
      <c r="H233" s="41"/>
      <c r="I233" s="78"/>
    </row>
    <row r="234" spans="2:9">
      <c r="B234" t="s">
        <v>239</v>
      </c>
      <c r="C234" t="s">
        <v>239</v>
      </c>
      <c r="D234" s="41"/>
      <c r="E234" s="13"/>
      <c r="F234" s="41"/>
      <c r="G234" s="41"/>
      <c r="H234" s="41">
        <v>101</v>
      </c>
      <c r="I234" s="78">
        <v>113</v>
      </c>
    </row>
    <row r="235" spans="2:9">
      <c r="B235" t="s">
        <v>240</v>
      </c>
      <c r="C235" t="s">
        <v>239</v>
      </c>
      <c r="D235" s="41">
        <v>102</v>
      </c>
      <c r="E235" s="13"/>
      <c r="F235" s="41">
        <v>114</v>
      </c>
      <c r="G235" s="46">
        <v>0</v>
      </c>
      <c r="H235" s="41"/>
      <c r="I235" s="78"/>
    </row>
    <row r="236" spans="2:9">
      <c r="B236" t="s">
        <v>239</v>
      </c>
      <c r="C236" t="s">
        <v>239</v>
      </c>
      <c r="D236" s="41"/>
      <c r="E236" s="13"/>
      <c r="F236" s="41"/>
      <c r="G236" s="41"/>
      <c r="H236" s="41">
        <v>102</v>
      </c>
      <c r="I236" s="78">
        <v>114</v>
      </c>
    </row>
    <row r="237" spans="2:9">
      <c r="B237" t="s">
        <v>240</v>
      </c>
      <c r="C237" t="s">
        <v>239</v>
      </c>
      <c r="D237" s="41">
        <v>103</v>
      </c>
      <c r="E237" s="13"/>
      <c r="F237" s="41">
        <v>115</v>
      </c>
      <c r="G237" s="46">
        <v>0</v>
      </c>
      <c r="H237" s="41"/>
      <c r="I237" s="78"/>
    </row>
    <row r="238" spans="2:9">
      <c r="B238" t="s">
        <v>239</v>
      </c>
      <c r="C238" t="s">
        <v>239</v>
      </c>
      <c r="D238" s="41"/>
      <c r="E238" s="13"/>
      <c r="F238" s="41"/>
      <c r="G238" s="41"/>
      <c r="H238" s="41">
        <v>103</v>
      </c>
      <c r="I238" s="78">
        <v>115</v>
      </c>
    </row>
    <row r="239" spans="2:9">
      <c r="B239" t="s">
        <v>240</v>
      </c>
      <c r="C239" t="s">
        <v>239</v>
      </c>
      <c r="D239" s="41">
        <v>104</v>
      </c>
      <c r="E239" s="13"/>
      <c r="F239" s="41">
        <v>116</v>
      </c>
      <c r="G239" s="46">
        <v>0</v>
      </c>
      <c r="H239" s="41"/>
      <c r="I239" s="78"/>
    </row>
    <row r="240" spans="2:9">
      <c r="B240" t="s">
        <v>239</v>
      </c>
      <c r="C240" t="s">
        <v>239</v>
      </c>
      <c r="D240" s="41"/>
      <c r="E240" s="13"/>
      <c r="F240" s="41"/>
      <c r="G240" s="41"/>
      <c r="H240" s="41">
        <v>104</v>
      </c>
      <c r="I240" s="78">
        <v>116</v>
      </c>
    </row>
    <row r="241" spans="2:9">
      <c r="B241" t="s">
        <v>240</v>
      </c>
      <c r="C241" t="s">
        <v>239</v>
      </c>
      <c r="D241" s="41">
        <v>105</v>
      </c>
      <c r="E241" s="13"/>
      <c r="F241" s="41">
        <v>117</v>
      </c>
      <c r="G241" s="46">
        <v>0</v>
      </c>
      <c r="H241" s="41"/>
      <c r="I241" s="78"/>
    </row>
    <row r="242" spans="2:9">
      <c r="B242" t="s">
        <v>239</v>
      </c>
      <c r="C242" t="s">
        <v>239</v>
      </c>
      <c r="D242" s="41"/>
      <c r="E242" s="13"/>
      <c r="F242" s="41"/>
      <c r="G242" s="41"/>
      <c r="H242" s="41">
        <v>105</v>
      </c>
      <c r="I242" s="78">
        <v>117</v>
      </c>
    </row>
    <row r="243" spans="2:9">
      <c r="B243" t="s">
        <v>240</v>
      </c>
      <c r="C243" t="s">
        <v>239</v>
      </c>
      <c r="D243" s="41">
        <v>106</v>
      </c>
      <c r="E243" s="13"/>
      <c r="F243" s="41">
        <v>118</v>
      </c>
      <c r="G243" s="46">
        <v>0</v>
      </c>
      <c r="H243" s="41"/>
      <c r="I243" s="78"/>
    </row>
    <row r="244" spans="2:9">
      <c r="B244" t="s">
        <v>239</v>
      </c>
      <c r="C244" t="s">
        <v>239</v>
      </c>
      <c r="D244" s="41"/>
      <c r="E244" s="13"/>
      <c r="F244" s="41"/>
      <c r="G244" s="41"/>
      <c r="H244" s="41">
        <v>106</v>
      </c>
      <c r="I244" s="78">
        <v>118</v>
      </c>
    </row>
    <row r="245" spans="2:9">
      <c r="B245" t="s">
        <v>240</v>
      </c>
      <c r="C245" t="s">
        <v>239</v>
      </c>
      <c r="D245" s="41">
        <v>107</v>
      </c>
      <c r="E245" s="13"/>
      <c r="F245" s="41">
        <v>119</v>
      </c>
      <c r="G245" s="46">
        <v>0</v>
      </c>
      <c r="H245" s="41"/>
      <c r="I245" s="78"/>
    </row>
    <row r="246" spans="2:9">
      <c r="B246" t="s">
        <v>239</v>
      </c>
      <c r="C246" t="s">
        <v>239</v>
      </c>
      <c r="D246" s="41"/>
      <c r="E246" s="13"/>
      <c r="F246" s="41"/>
      <c r="G246" s="41"/>
      <c r="H246" s="41">
        <v>107</v>
      </c>
      <c r="I246" s="78">
        <v>119</v>
      </c>
    </row>
    <row r="247" spans="2:9">
      <c r="B247" t="s">
        <v>240</v>
      </c>
      <c r="C247" t="s">
        <v>239</v>
      </c>
      <c r="D247" s="41">
        <v>108</v>
      </c>
      <c r="E247" s="13"/>
      <c r="F247" s="41">
        <v>120</v>
      </c>
      <c r="G247" s="46">
        <v>0</v>
      </c>
      <c r="H247" s="41"/>
      <c r="I247" s="78"/>
    </row>
    <row r="248" spans="2:9">
      <c r="B248" t="s">
        <v>239</v>
      </c>
      <c r="C248" t="s">
        <v>239</v>
      </c>
      <c r="D248" s="41"/>
      <c r="E248" s="13"/>
      <c r="F248" s="41"/>
      <c r="G248" s="41"/>
      <c r="H248" s="41">
        <v>108</v>
      </c>
      <c r="I248" s="78">
        <v>120</v>
      </c>
    </row>
    <row r="249" spans="2:9">
      <c r="B249" t="s">
        <v>240</v>
      </c>
      <c r="C249" t="s">
        <v>239</v>
      </c>
      <c r="D249" s="41">
        <v>109</v>
      </c>
      <c r="E249" s="13"/>
      <c r="F249" s="41">
        <v>121</v>
      </c>
      <c r="G249" s="46">
        <v>0</v>
      </c>
      <c r="H249" s="41"/>
      <c r="I249" s="78"/>
    </row>
    <row r="250" spans="2:9">
      <c r="B250" t="s">
        <v>239</v>
      </c>
      <c r="C250" t="s">
        <v>239</v>
      </c>
      <c r="D250" s="41"/>
      <c r="E250" s="13"/>
      <c r="F250" s="41"/>
      <c r="G250" s="41"/>
      <c r="H250" s="41">
        <v>109</v>
      </c>
      <c r="I250" s="78">
        <v>121</v>
      </c>
    </row>
    <row r="251" spans="2:9">
      <c r="B251" t="s">
        <v>240</v>
      </c>
      <c r="C251" t="s">
        <v>239</v>
      </c>
      <c r="D251" s="41">
        <v>110</v>
      </c>
      <c r="E251" s="13"/>
      <c r="F251" s="41">
        <v>122</v>
      </c>
      <c r="G251" s="46">
        <v>0</v>
      </c>
      <c r="H251" s="41"/>
      <c r="I251" s="78"/>
    </row>
    <row r="252" spans="2:9">
      <c r="B252" t="s">
        <v>239</v>
      </c>
      <c r="C252" t="s">
        <v>239</v>
      </c>
      <c r="D252" s="41"/>
      <c r="E252" s="13"/>
      <c r="F252" s="41"/>
      <c r="G252" s="41"/>
      <c r="H252" s="41">
        <v>110</v>
      </c>
      <c r="I252" s="78">
        <v>122</v>
      </c>
    </row>
    <row r="253" spans="2:9">
      <c r="B253" t="s">
        <v>240</v>
      </c>
      <c r="C253" t="s">
        <v>239</v>
      </c>
      <c r="D253" s="41">
        <v>111</v>
      </c>
      <c r="E253" s="13"/>
      <c r="F253" s="41">
        <v>123</v>
      </c>
      <c r="G253" s="46">
        <v>0</v>
      </c>
      <c r="H253" s="41"/>
      <c r="I253" s="78"/>
    </row>
    <row r="254" spans="2:9">
      <c r="B254" t="s">
        <v>239</v>
      </c>
      <c r="C254" t="s">
        <v>239</v>
      </c>
      <c r="D254" s="41"/>
      <c r="E254" s="13"/>
      <c r="F254" s="41"/>
      <c r="G254" s="41"/>
      <c r="H254" s="41">
        <v>111</v>
      </c>
      <c r="I254" s="78">
        <v>123</v>
      </c>
    </row>
    <row r="255" spans="2:9">
      <c r="B255" t="s">
        <v>240</v>
      </c>
      <c r="C255" t="s">
        <v>239</v>
      </c>
      <c r="D255" s="41">
        <v>112</v>
      </c>
      <c r="E255" s="41">
        <v>0</v>
      </c>
      <c r="F255" s="41">
        <v>124</v>
      </c>
      <c r="G255" s="46" t="s">
        <v>254</v>
      </c>
      <c r="H255" s="41"/>
      <c r="I255" s="78"/>
    </row>
    <row r="256" spans="2:9">
      <c r="B256" t="s">
        <v>239</v>
      </c>
      <c r="C256" t="s">
        <v>239</v>
      </c>
      <c r="D256" s="41"/>
      <c r="E256" s="41"/>
      <c r="F256" s="41"/>
      <c r="G256" s="41"/>
      <c r="H256" s="41">
        <v>112</v>
      </c>
      <c r="I256" s="78">
        <v>124</v>
      </c>
    </row>
    <row r="257" spans="2:9">
      <c r="B257" t="s">
        <v>240</v>
      </c>
      <c r="C257" t="s">
        <v>239</v>
      </c>
      <c r="D257" s="41">
        <v>113</v>
      </c>
      <c r="E257" s="41">
        <v>1</v>
      </c>
      <c r="F257" s="41">
        <v>125</v>
      </c>
      <c r="G257" s="46" t="s">
        <v>255</v>
      </c>
      <c r="H257" s="41"/>
      <c r="I257" s="78"/>
    </row>
    <row r="258" spans="2:9">
      <c r="B258" t="s">
        <v>239</v>
      </c>
      <c r="C258" t="s">
        <v>239</v>
      </c>
      <c r="D258" s="41"/>
      <c r="E258" s="41"/>
      <c r="F258" s="41"/>
      <c r="G258" s="41"/>
      <c r="H258" s="41">
        <v>113</v>
      </c>
      <c r="I258" s="78">
        <v>125</v>
      </c>
    </row>
    <row r="259" spans="2:9">
      <c r="B259" t="s">
        <v>240</v>
      </c>
      <c r="C259" t="s">
        <v>239</v>
      </c>
      <c r="D259" s="41">
        <v>114</v>
      </c>
      <c r="E259" s="41">
        <v>2</v>
      </c>
      <c r="F259" s="41">
        <v>126</v>
      </c>
      <c r="G259" s="46" t="s">
        <v>256</v>
      </c>
      <c r="H259" s="41"/>
      <c r="I259" s="78"/>
    </row>
    <row r="260" spans="2:9">
      <c r="B260" t="s">
        <v>239</v>
      </c>
      <c r="C260" t="s">
        <v>239</v>
      </c>
      <c r="D260" s="41"/>
      <c r="E260" s="41"/>
      <c r="F260" s="41"/>
      <c r="G260" s="41"/>
      <c r="H260" s="41">
        <v>114</v>
      </c>
      <c r="I260" s="78">
        <v>126</v>
      </c>
    </row>
    <row r="261" spans="2:9">
      <c r="B261" t="s">
        <v>240</v>
      </c>
      <c r="C261" t="s">
        <v>239</v>
      </c>
      <c r="D261" s="41">
        <v>115</v>
      </c>
      <c r="E261" s="41">
        <v>3</v>
      </c>
      <c r="F261" s="41">
        <v>127</v>
      </c>
      <c r="G261" s="46" t="s">
        <v>257</v>
      </c>
      <c r="H261" s="41"/>
      <c r="I261" s="78"/>
    </row>
    <row r="262" spans="2:9">
      <c r="B262" t="s">
        <v>239</v>
      </c>
      <c r="C262" t="s">
        <v>239</v>
      </c>
      <c r="D262" s="41"/>
      <c r="E262" s="41"/>
      <c r="F262" s="41"/>
      <c r="G262" s="41"/>
      <c r="H262" s="41">
        <v>115</v>
      </c>
      <c r="I262" s="78">
        <v>127</v>
      </c>
    </row>
    <row r="263" spans="2:9">
      <c r="B263" t="s">
        <v>240</v>
      </c>
      <c r="C263" t="s">
        <v>239</v>
      </c>
      <c r="D263" s="41">
        <v>116</v>
      </c>
      <c r="E263" s="41">
        <v>4</v>
      </c>
      <c r="F263" s="41">
        <v>128</v>
      </c>
      <c r="G263" s="46" t="s">
        <v>258</v>
      </c>
      <c r="H263" s="41"/>
      <c r="I263" s="78"/>
    </row>
    <row r="264" spans="2:9">
      <c r="B264" t="s">
        <v>239</v>
      </c>
      <c r="C264" t="s">
        <v>239</v>
      </c>
      <c r="D264" s="41"/>
      <c r="E264" s="41"/>
      <c r="F264" s="41"/>
      <c r="G264" s="41"/>
      <c r="H264" s="41">
        <v>116</v>
      </c>
      <c r="I264" s="78">
        <v>128</v>
      </c>
    </row>
    <row r="265" spans="2:9">
      <c r="B265" t="s">
        <v>240</v>
      </c>
      <c r="C265" t="s">
        <v>239</v>
      </c>
      <c r="D265" s="41">
        <v>117</v>
      </c>
      <c r="E265" s="41">
        <v>5</v>
      </c>
      <c r="F265" s="41">
        <v>129</v>
      </c>
      <c r="G265" s="46" t="s">
        <v>259</v>
      </c>
      <c r="H265" s="41"/>
      <c r="I265" s="78"/>
    </row>
    <row r="266" spans="2:9">
      <c r="B266" t="s">
        <v>239</v>
      </c>
      <c r="C266" t="s">
        <v>239</v>
      </c>
      <c r="D266" s="41"/>
      <c r="E266" s="41"/>
      <c r="F266" s="41"/>
      <c r="G266" s="41"/>
      <c r="H266" s="41">
        <v>117</v>
      </c>
      <c r="I266" s="78">
        <v>129</v>
      </c>
    </row>
    <row r="267" spans="2:9">
      <c r="B267" t="s">
        <v>240</v>
      </c>
      <c r="C267" t="s">
        <v>239</v>
      </c>
      <c r="D267" s="41">
        <v>118</v>
      </c>
      <c r="E267" s="41">
        <v>6</v>
      </c>
      <c r="F267" s="41">
        <v>130</v>
      </c>
      <c r="G267" s="46" t="s">
        <v>260</v>
      </c>
      <c r="H267" s="41"/>
      <c r="I267" s="78"/>
    </row>
    <row r="268" spans="2:9">
      <c r="B268" t="s">
        <v>239</v>
      </c>
      <c r="C268" t="s">
        <v>239</v>
      </c>
      <c r="D268" s="41"/>
      <c r="E268" s="41"/>
      <c r="F268" s="41"/>
      <c r="G268" s="41"/>
      <c r="H268" s="41">
        <v>118</v>
      </c>
      <c r="I268" s="78">
        <v>130</v>
      </c>
    </row>
    <row r="269" spans="2:9">
      <c r="B269" t="s">
        <v>240</v>
      </c>
      <c r="C269" t="s">
        <v>239</v>
      </c>
      <c r="D269" s="41">
        <v>119</v>
      </c>
      <c r="E269" s="41">
        <v>7</v>
      </c>
      <c r="F269" s="41">
        <v>131</v>
      </c>
      <c r="G269" s="46" t="s">
        <v>261</v>
      </c>
      <c r="H269" s="41"/>
      <c r="I269" s="78"/>
    </row>
    <row r="270" spans="2:9">
      <c r="B270" t="s">
        <v>239</v>
      </c>
      <c r="C270" t="s">
        <v>239</v>
      </c>
      <c r="D270" s="41"/>
      <c r="E270" s="41"/>
      <c r="F270" s="41"/>
      <c r="G270" s="41"/>
      <c r="H270" s="41">
        <v>119</v>
      </c>
      <c r="I270" s="78">
        <v>131</v>
      </c>
    </row>
    <row r="271" spans="2:9">
      <c r="B271" t="s">
        <v>240</v>
      </c>
      <c r="C271" t="s">
        <v>239</v>
      </c>
      <c r="D271" s="41">
        <v>120</v>
      </c>
      <c r="E271" s="41">
        <v>8</v>
      </c>
      <c r="F271" s="41">
        <v>132</v>
      </c>
      <c r="G271" s="46" t="s">
        <v>262</v>
      </c>
      <c r="H271" s="41"/>
      <c r="I271" s="78"/>
    </row>
    <row r="272" spans="2:9">
      <c r="B272" t="s">
        <v>239</v>
      </c>
      <c r="C272" t="s">
        <v>239</v>
      </c>
      <c r="D272" s="41"/>
      <c r="E272" s="41"/>
      <c r="F272" s="41"/>
      <c r="G272" s="41"/>
      <c r="H272" s="41">
        <v>120</v>
      </c>
      <c r="I272" s="78">
        <v>132</v>
      </c>
    </row>
    <row r="273" spans="2:9">
      <c r="B273" t="s">
        <v>240</v>
      </c>
      <c r="C273" t="s">
        <v>239</v>
      </c>
      <c r="D273" s="41">
        <v>121</v>
      </c>
      <c r="E273" s="41">
        <v>9</v>
      </c>
      <c r="F273" s="41">
        <v>133</v>
      </c>
      <c r="G273" s="46" t="s">
        <v>263</v>
      </c>
      <c r="H273" s="41"/>
      <c r="I273" s="78"/>
    </row>
    <row r="274" spans="2:9">
      <c r="B274" t="s">
        <v>239</v>
      </c>
      <c r="C274" t="s">
        <v>239</v>
      </c>
      <c r="D274" s="41"/>
      <c r="E274" s="41"/>
      <c r="F274" s="41"/>
      <c r="G274" s="41"/>
      <c r="H274" s="41">
        <v>121</v>
      </c>
      <c r="I274" s="78">
        <v>133</v>
      </c>
    </row>
    <row r="275" spans="2:9">
      <c r="B275" t="s">
        <v>240</v>
      </c>
      <c r="C275" t="s">
        <v>239</v>
      </c>
      <c r="D275" s="41">
        <v>122</v>
      </c>
      <c r="E275" s="41">
        <v>10</v>
      </c>
      <c r="F275" s="41">
        <v>134</v>
      </c>
      <c r="G275" s="46" t="s">
        <v>264</v>
      </c>
      <c r="H275" s="41"/>
      <c r="I275" s="78"/>
    </row>
    <row r="276" spans="2:9">
      <c r="B276" t="s">
        <v>239</v>
      </c>
      <c r="C276" t="s">
        <v>239</v>
      </c>
      <c r="D276" s="41"/>
      <c r="E276" s="41"/>
      <c r="F276" s="41"/>
      <c r="G276" s="41"/>
      <c r="H276" s="41">
        <v>122</v>
      </c>
      <c r="I276" s="78">
        <v>134</v>
      </c>
    </row>
    <row r="277" spans="2:9">
      <c r="B277" t="s">
        <v>240</v>
      </c>
      <c r="C277" t="s">
        <v>239</v>
      </c>
      <c r="D277" s="41">
        <v>123</v>
      </c>
      <c r="E277" s="41">
        <v>11</v>
      </c>
      <c r="F277" s="41">
        <v>135</v>
      </c>
      <c r="G277" s="46" t="s">
        <v>265</v>
      </c>
      <c r="H277" s="41"/>
      <c r="I277" s="78"/>
    </row>
    <row r="278" spans="2:9">
      <c r="B278" t="s">
        <v>239</v>
      </c>
      <c r="C278" t="s">
        <v>239</v>
      </c>
      <c r="D278" s="41"/>
      <c r="E278" s="41"/>
      <c r="F278" s="41"/>
      <c r="G278" s="41"/>
      <c r="H278" s="41">
        <v>123</v>
      </c>
      <c r="I278" s="78">
        <v>135</v>
      </c>
    </row>
    <row r="279" spans="2:9">
      <c r="B279" t="s">
        <v>240</v>
      </c>
      <c r="C279" t="s">
        <v>239</v>
      </c>
      <c r="D279" s="41">
        <v>124</v>
      </c>
      <c r="E279" s="41">
        <v>12</v>
      </c>
      <c r="F279" s="41">
        <v>136</v>
      </c>
      <c r="G279" s="46" t="s">
        <v>266</v>
      </c>
      <c r="H279" s="41"/>
      <c r="I279" s="78"/>
    </row>
    <row r="280" spans="2:9">
      <c r="B280" t="s">
        <v>239</v>
      </c>
      <c r="C280" t="s">
        <v>239</v>
      </c>
      <c r="D280" s="41"/>
      <c r="E280" s="41"/>
      <c r="F280" s="41"/>
      <c r="G280" s="41"/>
      <c r="H280" s="41">
        <v>124</v>
      </c>
      <c r="I280" s="78">
        <v>136</v>
      </c>
    </row>
    <row r="281" spans="2:9">
      <c r="B281" t="s">
        <v>240</v>
      </c>
      <c r="C281" t="s">
        <v>239</v>
      </c>
      <c r="D281" s="41">
        <v>125</v>
      </c>
      <c r="E281" s="13"/>
      <c r="F281" s="41">
        <v>137</v>
      </c>
      <c r="G281" s="41">
        <v>0</v>
      </c>
      <c r="H281" s="41"/>
      <c r="I281" s="78"/>
    </row>
    <row r="282" spans="2:9">
      <c r="B282" t="s">
        <v>239</v>
      </c>
      <c r="C282" t="s">
        <v>239</v>
      </c>
      <c r="D282" s="41"/>
      <c r="E282" s="13"/>
      <c r="F282" s="41"/>
      <c r="G282" s="41"/>
      <c r="H282" s="41">
        <v>125</v>
      </c>
      <c r="I282" s="78">
        <v>137</v>
      </c>
    </row>
    <row r="283" spans="2:9">
      <c r="B283" t="s">
        <v>240</v>
      </c>
      <c r="C283" t="s">
        <v>239</v>
      </c>
      <c r="D283" s="41">
        <v>126</v>
      </c>
      <c r="E283" s="13"/>
      <c r="F283" s="41">
        <v>138</v>
      </c>
      <c r="G283" s="41">
        <v>0</v>
      </c>
      <c r="H283" s="41"/>
      <c r="I283" s="78"/>
    </row>
    <row r="284" spans="2:9">
      <c r="B284" t="s">
        <v>239</v>
      </c>
      <c r="C284" t="s">
        <v>239</v>
      </c>
      <c r="D284" s="41"/>
      <c r="E284" s="13"/>
      <c r="F284" s="41"/>
      <c r="G284" s="41"/>
      <c r="H284" s="41">
        <v>126</v>
      </c>
      <c r="I284" s="78">
        <v>138</v>
      </c>
    </row>
    <row r="285" spans="2:9">
      <c r="B285" t="s">
        <v>240</v>
      </c>
      <c r="C285" t="s">
        <v>239</v>
      </c>
      <c r="D285" s="41">
        <v>127</v>
      </c>
      <c r="E285" s="13"/>
      <c r="F285" s="41">
        <v>139</v>
      </c>
      <c r="G285" s="41">
        <v>0</v>
      </c>
      <c r="H285" s="41"/>
      <c r="I285" s="78"/>
    </row>
    <row r="286" spans="2:9">
      <c r="B286" t="s">
        <v>239</v>
      </c>
      <c r="C286" t="s">
        <v>239</v>
      </c>
      <c r="D286" s="41"/>
      <c r="E286" s="13"/>
      <c r="F286" s="41"/>
      <c r="G286" s="41"/>
      <c r="H286" s="41">
        <v>127</v>
      </c>
      <c r="I286" s="78">
        <v>139</v>
      </c>
    </row>
    <row r="287" spans="2:9">
      <c r="B287" t="s">
        <v>240</v>
      </c>
      <c r="C287" t="s">
        <v>239</v>
      </c>
      <c r="D287" s="41">
        <v>128</v>
      </c>
      <c r="E287" s="13"/>
      <c r="F287" s="41">
        <v>140</v>
      </c>
      <c r="G287" s="46" t="s">
        <v>267</v>
      </c>
      <c r="H287" s="41"/>
      <c r="I287" s="78"/>
    </row>
    <row r="288" spans="2:9">
      <c r="B288" t="s">
        <v>239</v>
      </c>
      <c r="C288" t="s">
        <v>239</v>
      </c>
      <c r="D288" s="41"/>
      <c r="E288" s="13"/>
      <c r="F288" s="41"/>
      <c r="G288" s="41"/>
      <c r="H288" s="41">
        <v>128</v>
      </c>
      <c r="I288" s="78">
        <v>140</v>
      </c>
    </row>
    <row r="289" spans="2:9">
      <c r="B289" t="s">
        <v>240</v>
      </c>
      <c r="C289" t="s">
        <v>239</v>
      </c>
      <c r="D289" s="41">
        <v>129</v>
      </c>
      <c r="E289" s="13"/>
      <c r="F289" s="41">
        <v>141</v>
      </c>
      <c r="G289" s="46" t="s">
        <v>268</v>
      </c>
      <c r="H289" s="41"/>
      <c r="I289" s="78"/>
    </row>
    <row r="290" spans="2:9">
      <c r="B290" t="s">
        <v>239</v>
      </c>
      <c r="C290" t="s">
        <v>239</v>
      </c>
      <c r="D290" s="41"/>
      <c r="E290" s="13"/>
      <c r="F290" s="41"/>
      <c r="G290" s="41"/>
      <c r="H290" s="41">
        <v>129</v>
      </c>
      <c r="I290" s="78">
        <v>141</v>
      </c>
    </row>
    <row r="291" spans="2:9">
      <c r="B291" t="s">
        <v>240</v>
      </c>
      <c r="C291" t="s">
        <v>239</v>
      </c>
      <c r="D291" s="41">
        <v>130</v>
      </c>
      <c r="E291" s="13"/>
      <c r="F291" s="41">
        <v>142</v>
      </c>
      <c r="G291" s="46" t="s">
        <v>269</v>
      </c>
      <c r="H291" s="41"/>
      <c r="I291" s="78"/>
    </row>
    <row r="292" spans="2:9">
      <c r="B292" t="s">
        <v>239</v>
      </c>
      <c r="C292" t="s">
        <v>239</v>
      </c>
      <c r="D292" s="41"/>
      <c r="E292" s="13"/>
      <c r="F292" s="41"/>
      <c r="G292" s="41"/>
      <c r="H292" s="41">
        <v>130</v>
      </c>
      <c r="I292" s="78">
        <v>142</v>
      </c>
    </row>
    <row r="293" spans="2:9">
      <c r="B293" t="s">
        <v>240</v>
      </c>
      <c r="C293" t="s">
        <v>239</v>
      </c>
      <c r="D293" s="41">
        <v>131</v>
      </c>
      <c r="E293" s="13"/>
      <c r="F293" s="41">
        <v>143</v>
      </c>
      <c r="G293" s="46" t="s">
        <v>270</v>
      </c>
      <c r="H293" s="41"/>
      <c r="I293" s="78"/>
    </row>
    <row r="294" spans="2:9">
      <c r="B294" t="s">
        <v>239</v>
      </c>
      <c r="C294" t="s">
        <v>239</v>
      </c>
      <c r="D294" s="41"/>
      <c r="E294" s="13"/>
      <c r="F294" s="41"/>
      <c r="G294" s="41"/>
      <c r="H294" s="41">
        <v>131</v>
      </c>
      <c r="I294" s="78">
        <v>143</v>
      </c>
    </row>
    <row r="295" spans="2:9">
      <c r="B295" t="s">
        <v>240</v>
      </c>
      <c r="C295" t="s">
        <v>239</v>
      </c>
      <c r="D295" s="41">
        <v>132</v>
      </c>
      <c r="E295" s="13"/>
      <c r="F295" s="41">
        <v>144</v>
      </c>
      <c r="G295" s="46" t="s">
        <v>271</v>
      </c>
      <c r="H295" s="41"/>
      <c r="I295" s="78"/>
    </row>
    <row r="296" spans="2:9">
      <c r="B296" t="s">
        <v>239</v>
      </c>
      <c r="C296" t="s">
        <v>239</v>
      </c>
      <c r="D296" s="41"/>
      <c r="E296" s="13"/>
      <c r="F296" s="41"/>
      <c r="G296" s="41"/>
      <c r="H296" s="41">
        <v>132</v>
      </c>
      <c r="I296" s="78">
        <v>144</v>
      </c>
    </row>
    <row r="297" spans="2:9">
      <c r="B297" t="s">
        <v>240</v>
      </c>
      <c r="C297" t="s">
        <v>239</v>
      </c>
      <c r="D297" s="41">
        <v>133</v>
      </c>
      <c r="E297" s="13"/>
      <c r="F297" s="41">
        <v>145</v>
      </c>
      <c r="G297" s="46" t="s">
        <v>272</v>
      </c>
      <c r="H297" s="41"/>
      <c r="I297" s="78"/>
    </row>
    <row r="298" spans="2:9">
      <c r="B298" t="s">
        <v>239</v>
      </c>
      <c r="C298" t="s">
        <v>239</v>
      </c>
      <c r="D298" s="41"/>
      <c r="E298" s="13"/>
      <c r="F298" s="41"/>
      <c r="G298" s="41"/>
      <c r="H298" s="41">
        <v>133</v>
      </c>
      <c r="I298" s="78">
        <v>145</v>
      </c>
    </row>
    <row r="299" spans="2:9">
      <c r="B299" t="s">
        <v>240</v>
      </c>
      <c r="C299" t="s">
        <v>239</v>
      </c>
      <c r="D299" s="41">
        <v>134</v>
      </c>
      <c r="E299" s="13"/>
      <c r="F299" s="41">
        <v>146</v>
      </c>
      <c r="G299" s="46" t="s">
        <v>273</v>
      </c>
      <c r="H299" s="41"/>
      <c r="I299" s="78"/>
    </row>
    <row r="300" spans="2:9">
      <c r="B300" t="s">
        <v>239</v>
      </c>
      <c r="C300" t="s">
        <v>239</v>
      </c>
      <c r="D300" s="41"/>
      <c r="E300" s="13"/>
      <c r="F300" s="41"/>
      <c r="G300" s="41"/>
      <c r="H300" s="41">
        <v>134</v>
      </c>
      <c r="I300" s="78">
        <v>146</v>
      </c>
    </row>
    <row r="301" spans="2:9">
      <c r="B301" t="s">
        <v>240</v>
      </c>
      <c r="C301" t="s">
        <v>239</v>
      </c>
      <c r="D301" s="41">
        <v>135</v>
      </c>
      <c r="E301" s="13"/>
      <c r="F301" s="41">
        <v>147</v>
      </c>
      <c r="G301" s="46" t="s">
        <v>274</v>
      </c>
      <c r="H301" s="41"/>
      <c r="I301" s="78"/>
    </row>
    <row r="302" spans="2:9">
      <c r="B302" t="s">
        <v>239</v>
      </c>
      <c r="C302" t="s">
        <v>239</v>
      </c>
      <c r="D302" s="41"/>
      <c r="E302" s="13"/>
      <c r="F302" s="41"/>
      <c r="G302" s="41"/>
      <c r="H302" s="41">
        <v>135</v>
      </c>
      <c r="I302" s="78">
        <v>147</v>
      </c>
    </row>
    <row r="303" spans="2:9">
      <c r="B303" t="s">
        <v>240</v>
      </c>
      <c r="C303" t="s">
        <v>239</v>
      </c>
      <c r="D303" s="41">
        <v>136</v>
      </c>
      <c r="E303" s="13"/>
      <c r="F303" s="41">
        <v>148</v>
      </c>
      <c r="G303" s="46" t="s">
        <v>275</v>
      </c>
      <c r="H303" s="41"/>
      <c r="I303" s="78"/>
    </row>
    <row r="304" spans="2:9">
      <c r="B304" t="s">
        <v>239</v>
      </c>
      <c r="C304" t="s">
        <v>239</v>
      </c>
      <c r="D304" s="41"/>
      <c r="E304" s="13"/>
      <c r="F304" s="41"/>
      <c r="G304" s="41"/>
      <c r="H304" s="41">
        <v>136</v>
      </c>
      <c r="I304" s="78">
        <v>148</v>
      </c>
    </row>
    <row r="305" spans="2:9">
      <c r="B305" t="s">
        <v>240</v>
      </c>
      <c r="C305" t="s">
        <v>239</v>
      </c>
      <c r="D305" s="41">
        <v>137</v>
      </c>
      <c r="E305" s="13"/>
      <c r="F305" s="41">
        <v>149</v>
      </c>
      <c r="G305" s="46" t="s">
        <v>276</v>
      </c>
      <c r="H305" s="41"/>
      <c r="I305" s="78"/>
    </row>
    <row r="306" spans="2:9">
      <c r="B306" t="s">
        <v>239</v>
      </c>
      <c r="C306" t="s">
        <v>239</v>
      </c>
      <c r="D306" s="41"/>
      <c r="E306" s="13"/>
      <c r="F306" s="41"/>
      <c r="G306" s="41"/>
      <c r="H306" s="41">
        <v>137</v>
      </c>
      <c r="I306" s="78">
        <v>149</v>
      </c>
    </row>
    <row r="307" spans="2:9">
      <c r="B307" t="s">
        <v>240</v>
      </c>
      <c r="C307" t="s">
        <v>239</v>
      </c>
      <c r="D307" s="41">
        <v>138</v>
      </c>
      <c r="E307" s="13"/>
      <c r="F307" s="41">
        <v>150</v>
      </c>
      <c r="G307" s="46" t="s">
        <v>277</v>
      </c>
      <c r="H307" s="41"/>
      <c r="I307" s="78"/>
    </row>
    <row r="308" spans="2:9">
      <c r="B308" t="s">
        <v>239</v>
      </c>
      <c r="C308" t="s">
        <v>239</v>
      </c>
      <c r="D308" s="41"/>
      <c r="E308" s="13"/>
      <c r="F308" s="41"/>
      <c r="G308" s="41"/>
      <c r="H308" s="41">
        <v>138</v>
      </c>
      <c r="I308" s="78">
        <v>150</v>
      </c>
    </row>
    <row r="309" spans="2:9">
      <c r="B309" t="s">
        <v>240</v>
      </c>
      <c r="C309" t="s">
        <v>239</v>
      </c>
      <c r="D309" s="41">
        <v>139</v>
      </c>
      <c r="E309" s="13"/>
      <c r="F309" s="41">
        <v>151</v>
      </c>
      <c r="G309" s="46" t="s">
        <v>278</v>
      </c>
      <c r="H309" s="41"/>
      <c r="I309" s="78"/>
    </row>
    <row r="310" spans="2:9">
      <c r="B310" t="s">
        <v>239</v>
      </c>
      <c r="C310" t="s">
        <v>239</v>
      </c>
      <c r="D310" s="41"/>
      <c r="E310" s="13"/>
      <c r="F310" s="41"/>
      <c r="G310" s="41"/>
      <c r="H310" s="41">
        <v>139</v>
      </c>
      <c r="I310" s="78">
        <v>151</v>
      </c>
    </row>
    <row r="311" spans="2:9">
      <c r="B311" t="s">
        <v>240</v>
      </c>
      <c r="C311" t="s">
        <v>239</v>
      </c>
      <c r="D311" s="41">
        <v>140</v>
      </c>
      <c r="E311" s="13"/>
      <c r="F311" s="41">
        <v>152</v>
      </c>
      <c r="G311" s="46" t="s">
        <v>279</v>
      </c>
      <c r="H311" s="41"/>
      <c r="I311" s="78"/>
    </row>
    <row r="312" spans="2:9">
      <c r="B312" t="s">
        <v>239</v>
      </c>
      <c r="C312" t="s">
        <v>239</v>
      </c>
      <c r="D312" s="41"/>
      <c r="E312" s="13"/>
      <c r="F312" s="41"/>
      <c r="G312" s="41"/>
      <c r="H312" s="41">
        <v>140</v>
      </c>
      <c r="I312" s="78">
        <v>152</v>
      </c>
    </row>
    <row r="313" spans="2:9">
      <c r="B313" t="s">
        <v>240</v>
      </c>
      <c r="C313" t="s">
        <v>239</v>
      </c>
      <c r="D313" s="41">
        <v>141</v>
      </c>
      <c r="E313" s="13"/>
      <c r="F313" s="41">
        <v>153</v>
      </c>
      <c r="G313" s="41">
        <v>0</v>
      </c>
      <c r="H313" s="41"/>
      <c r="I313" s="78"/>
    </row>
    <row r="314" spans="2:9">
      <c r="B314" t="s">
        <v>239</v>
      </c>
      <c r="C314" t="s">
        <v>239</v>
      </c>
      <c r="D314" s="41"/>
      <c r="E314" s="13"/>
      <c r="F314" s="41"/>
      <c r="G314" s="41"/>
      <c r="H314" s="41">
        <v>141</v>
      </c>
      <c r="I314" s="78">
        <v>153</v>
      </c>
    </row>
    <row r="315" spans="2:9">
      <c r="B315" t="s">
        <v>240</v>
      </c>
      <c r="C315" t="s">
        <v>239</v>
      </c>
      <c r="D315" s="41">
        <v>142</v>
      </c>
      <c r="E315" s="13"/>
      <c r="F315" s="41">
        <v>154</v>
      </c>
      <c r="G315" s="41">
        <v>0</v>
      </c>
      <c r="H315" s="41"/>
      <c r="I315" s="78"/>
    </row>
    <row r="316" spans="2:9">
      <c r="B316" t="s">
        <v>239</v>
      </c>
      <c r="C316" t="s">
        <v>239</v>
      </c>
      <c r="D316" s="41"/>
      <c r="E316" s="13"/>
      <c r="F316" s="41"/>
      <c r="G316" s="41"/>
      <c r="H316" s="41">
        <v>142</v>
      </c>
      <c r="I316" s="78">
        <v>154</v>
      </c>
    </row>
    <row r="317" spans="2:9">
      <c r="B317" t="s">
        <v>240</v>
      </c>
      <c r="C317" t="s">
        <v>239</v>
      </c>
      <c r="D317" s="41">
        <v>143</v>
      </c>
      <c r="E317" s="13"/>
      <c r="F317" s="41">
        <v>155</v>
      </c>
      <c r="G317" s="41">
        <v>0</v>
      </c>
      <c r="H317" s="41"/>
      <c r="I317" s="78"/>
    </row>
    <row r="318" spans="2:9">
      <c r="B318" t="s">
        <v>239</v>
      </c>
      <c r="C318" t="s">
        <v>239</v>
      </c>
      <c r="D318" s="41"/>
      <c r="E318" s="13"/>
      <c r="F318" s="41"/>
      <c r="G318" s="41"/>
      <c r="H318" s="41">
        <v>143</v>
      </c>
      <c r="I318" s="78">
        <v>155</v>
      </c>
    </row>
    <row r="319" spans="2:9">
      <c r="B319" t="s">
        <v>240</v>
      </c>
      <c r="C319" t="s">
        <v>239</v>
      </c>
      <c r="D319" s="41">
        <v>144</v>
      </c>
      <c r="E319" s="41">
        <v>0</v>
      </c>
      <c r="F319" s="41">
        <v>156</v>
      </c>
      <c r="G319" s="46" t="s">
        <v>280</v>
      </c>
      <c r="H319" s="41"/>
      <c r="I319" s="78"/>
    </row>
    <row r="320" spans="2:9">
      <c r="B320" t="s">
        <v>239</v>
      </c>
      <c r="C320" t="s">
        <v>239</v>
      </c>
      <c r="D320" s="41"/>
      <c r="E320" s="41"/>
      <c r="F320" s="41"/>
      <c r="G320" s="41"/>
      <c r="H320" s="41">
        <v>144</v>
      </c>
      <c r="I320" s="78">
        <v>156</v>
      </c>
    </row>
    <row r="321" spans="2:9">
      <c r="B321" t="s">
        <v>240</v>
      </c>
      <c r="C321" t="s">
        <v>239</v>
      </c>
      <c r="D321" s="41">
        <v>145</v>
      </c>
      <c r="E321" s="41">
        <v>1</v>
      </c>
      <c r="F321" s="41">
        <v>157</v>
      </c>
      <c r="G321" s="46" t="s">
        <v>281</v>
      </c>
      <c r="H321" s="41"/>
      <c r="I321" s="78"/>
    </row>
    <row r="322" spans="2:9">
      <c r="B322" t="s">
        <v>239</v>
      </c>
      <c r="C322" t="s">
        <v>239</v>
      </c>
      <c r="D322" s="41"/>
      <c r="E322" s="41"/>
      <c r="F322" s="41"/>
      <c r="G322" s="41"/>
      <c r="H322" s="41">
        <v>145</v>
      </c>
      <c r="I322" s="78">
        <v>157</v>
      </c>
    </row>
    <row r="323" spans="2:9">
      <c r="B323" t="s">
        <v>240</v>
      </c>
      <c r="C323" t="s">
        <v>239</v>
      </c>
      <c r="D323" s="41">
        <v>146</v>
      </c>
      <c r="E323" s="41">
        <v>2</v>
      </c>
      <c r="F323" s="41">
        <v>158</v>
      </c>
      <c r="G323" s="46" t="s">
        <v>282</v>
      </c>
      <c r="H323" s="41"/>
      <c r="I323" s="78"/>
    </row>
    <row r="324" spans="2:9">
      <c r="B324" t="s">
        <v>239</v>
      </c>
      <c r="C324" t="s">
        <v>239</v>
      </c>
      <c r="D324" s="41"/>
      <c r="E324" s="41"/>
      <c r="F324" s="41"/>
      <c r="G324" s="41"/>
      <c r="H324" s="41">
        <v>146</v>
      </c>
      <c r="I324" s="78">
        <v>158</v>
      </c>
    </row>
    <row r="325" spans="2:9">
      <c r="B325" t="s">
        <v>240</v>
      </c>
      <c r="C325" t="s">
        <v>239</v>
      </c>
      <c r="D325" s="41">
        <v>147</v>
      </c>
      <c r="E325" s="41">
        <v>3</v>
      </c>
      <c r="F325" s="41">
        <v>159</v>
      </c>
      <c r="G325" s="46" t="s">
        <v>283</v>
      </c>
      <c r="H325" s="41"/>
      <c r="I325" s="78"/>
    </row>
    <row r="326" spans="2:9">
      <c r="B326" t="s">
        <v>239</v>
      </c>
      <c r="C326" t="s">
        <v>239</v>
      </c>
      <c r="D326" s="41"/>
      <c r="E326" s="41"/>
      <c r="F326" s="41"/>
      <c r="G326" s="41"/>
      <c r="H326" s="41">
        <v>147</v>
      </c>
      <c r="I326" s="78">
        <v>159</v>
      </c>
    </row>
    <row r="327" spans="2:9">
      <c r="B327" t="s">
        <v>240</v>
      </c>
      <c r="C327" t="s">
        <v>239</v>
      </c>
      <c r="D327" s="41">
        <v>148</v>
      </c>
      <c r="E327" s="41">
        <v>4</v>
      </c>
      <c r="F327" s="41">
        <v>160</v>
      </c>
      <c r="G327" s="46" t="s">
        <v>284</v>
      </c>
      <c r="H327" s="41"/>
      <c r="I327" s="78"/>
    </row>
    <row r="328" spans="2:9">
      <c r="B328" t="s">
        <v>239</v>
      </c>
      <c r="C328" t="s">
        <v>239</v>
      </c>
      <c r="D328" s="41"/>
      <c r="E328" s="41"/>
      <c r="F328" s="41"/>
      <c r="G328" s="41"/>
      <c r="H328" s="41">
        <v>148</v>
      </c>
      <c r="I328" s="78">
        <v>160</v>
      </c>
    </row>
    <row r="329" spans="2:9">
      <c r="B329" t="s">
        <v>240</v>
      </c>
      <c r="C329" t="s">
        <v>239</v>
      </c>
      <c r="D329" s="41">
        <v>149</v>
      </c>
      <c r="E329" s="41">
        <v>5</v>
      </c>
      <c r="F329" s="41">
        <v>161</v>
      </c>
      <c r="G329" s="46" t="s">
        <v>285</v>
      </c>
      <c r="H329" s="41"/>
      <c r="I329" s="78"/>
    </row>
    <row r="330" spans="2:9">
      <c r="B330" t="s">
        <v>239</v>
      </c>
      <c r="C330" t="s">
        <v>239</v>
      </c>
      <c r="D330" s="41"/>
      <c r="E330" s="41"/>
      <c r="F330" s="41"/>
      <c r="G330" s="41"/>
      <c r="H330" s="41">
        <v>149</v>
      </c>
      <c r="I330" s="78">
        <v>161</v>
      </c>
    </row>
    <row r="331" spans="2:9">
      <c r="B331" t="s">
        <v>240</v>
      </c>
      <c r="C331" t="s">
        <v>239</v>
      </c>
      <c r="D331" s="41">
        <v>150</v>
      </c>
      <c r="E331" s="41">
        <v>6</v>
      </c>
      <c r="F331" s="41">
        <v>162</v>
      </c>
      <c r="G331" s="46" t="s">
        <v>286</v>
      </c>
      <c r="H331" s="41"/>
      <c r="I331" s="78"/>
    </row>
    <row r="332" spans="2:9">
      <c r="B332" t="s">
        <v>239</v>
      </c>
      <c r="C332" t="s">
        <v>239</v>
      </c>
      <c r="D332" s="41"/>
      <c r="E332" s="41"/>
      <c r="F332" s="41"/>
      <c r="G332" s="41"/>
      <c r="H332" s="41">
        <v>150</v>
      </c>
      <c r="I332" s="78">
        <v>162</v>
      </c>
    </row>
    <row r="333" spans="2:9">
      <c r="B333" t="s">
        <v>240</v>
      </c>
      <c r="C333" t="s">
        <v>239</v>
      </c>
      <c r="D333" s="41">
        <v>151</v>
      </c>
      <c r="E333" s="41">
        <v>7</v>
      </c>
      <c r="F333" s="41">
        <v>163</v>
      </c>
      <c r="G333" s="46" t="s">
        <v>287</v>
      </c>
      <c r="H333" s="41"/>
      <c r="I333" s="78"/>
    </row>
    <row r="334" spans="2:9">
      <c r="B334" t="s">
        <v>239</v>
      </c>
      <c r="C334" t="s">
        <v>239</v>
      </c>
      <c r="D334" s="41"/>
      <c r="E334" s="41"/>
      <c r="F334" s="41"/>
      <c r="G334" s="41"/>
      <c r="H334" s="41">
        <v>151</v>
      </c>
      <c r="I334" s="78">
        <v>163</v>
      </c>
    </row>
    <row r="335" spans="2:9">
      <c r="B335" t="s">
        <v>240</v>
      </c>
      <c r="C335" t="s">
        <v>239</v>
      </c>
      <c r="D335" s="41">
        <v>152</v>
      </c>
      <c r="E335" s="41">
        <v>8</v>
      </c>
      <c r="F335" s="41">
        <v>164</v>
      </c>
      <c r="G335" s="46" t="s">
        <v>288</v>
      </c>
      <c r="H335" s="41"/>
      <c r="I335" s="78"/>
    </row>
    <row r="336" spans="2:9">
      <c r="B336" t="s">
        <v>239</v>
      </c>
      <c r="C336" t="s">
        <v>239</v>
      </c>
      <c r="D336" s="41"/>
      <c r="E336" s="41"/>
      <c r="F336" s="41"/>
      <c r="G336" s="41"/>
      <c r="H336" s="41">
        <v>152</v>
      </c>
      <c r="I336" s="78">
        <v>164</v>
      </c>
    </row>
    <row r="337" spans="2:9">
      <c r="B337" t="s">
        <v>240</v>
      </c>
      <c r="C337" t="s">
        <v>239</v>
      </c>
      <c r="D337" s="41">
        <v>153</v>
      </c>
      <c r="E337" s="41">
        <v>9</v>
      </c>
      <c r="F337" s="41">
        <v>165</v>
      </c>
      <c r="G337" s="46" t="s">
        <v>289</v>
      </c>
      <c r="H337" s="41"/>
      <c r="I337" s="78"/>
    </row>
    <row r="338" spans="2:9">
      <c r="B338" t="s">
        <v>239</v>
      </c>
      <c r="C338" t="s">
        <v>239</v>
      </c>
      <c r="D338" s="41"/>
      <c r="E338" s="41"/>
      <c r="F338" s="41"/>
      <c r="G338" s="41"/>
      <c r="H338" s="41">
        <v>153</v>
      </c>
      <c r="I338" s="78">
        <v>165</v>
      </c>
    </row>
    <row r="339" spans="2:9">
      <c r="B339" t="s">
        <v>240</v>
      </c>
      <c r="C339" t="s">
        <v>239</v>
      </c>
      <c r="D339" s="41">
        <v>154</v>
      </c>
      <c r="E339" s="41">
        <v>10</v>
      </c>
      <c r="F339" s="41">
        <v>166</v>
      </c>
      <c r="G339" s="46" t="s">
        <v>290</v>
      </c>
      <c r="H339" s="41"/>
      <c r="I339" s="78"/>
    </row>
    <row r="340" spans="2:9">
      <c r="B340" t="s">
        <v>239</v>
      </c>
      <c r="C340" t="s">
        <v>239</v>
      </c>
      <c r="D340" s="41"/>
      <c r="E340" s="41"/>
      <c r="F340" s="41"/>
      <c r="G340" s="41"/>
      <c r="H340" s="41">
        <v>154</v>
      </c>
      <c r="I340" s="78">
        <v>166</v>
      </c>
    </row>
    <row r="341" spans="2:9">
      <c r="B341" t="s">
        <v>240</v>
      </c>
      <c r="C341" t="s">
        <v>239</v>
      </c>
      <c r="D341" s="41">
        <v>155</v>
      </c>
      <c r="E341" s="41">
        <v>11</v>
      </c>
      <c r="F341" s="41">
        <v>167</v>
      </c>
      <c r="G341" s="46" t="s">
        <v>291</v>
      </c>
      <c r="H341" s="41"/>
      <c r="I341" s="78"/>
    </row>
    <row r="342" spans="2:9">
      <c r="B342" t="s">
        <v>239</v>
      </c>
      <c r="C342" t="s">
        <v>239</v>
      </c>
      <c r="D342" s="41"/>
      <c r="E342" s="41"/>
      <c r="F342" s="41"/>
      <c r="G342" s="41"/>
      <c r="H342" s="41">
        <v>155</v>
      </c>
      <c r="I342" s="78">
        <v>167</v>
      </c>
    </row>
    <row r="343" spans="2:9">
      <c r="B343" t="s">
        <v>240</v>
      </c>
      <c r="C343" t="s">
        <v>239</v>
      </c>
      <c r="D343" s="41">
        <v>156</v>
      </c>
      <c r="E343" s="41">
        <v>12</v>
      </c>
      <c r="F343" s="41">
        <v>168</v>
      </c>
      <c r="G343" s="46" t="s">
        <v>292</v>
      </c>
      <c r="H343" s="41"/>
      <c r="I343" s="78"/>
    </row>
    <row r="344" spans="2:9">
      <c r="B344" t="s">
        <v>239</v>
      </c>
      <c r="C344" t="s">
        <v>239</v>
      </c>
      <c r="D344" s="41"/>
      <c r="E344" s="41"/>
      <c r="F344" s="41"/>
      <c r="G344" s="41"/>
      <c r="H344" s="41">
        <v>156</v>
      </c>
      <c r="I344" s="78">
        <v>168</v>
      </c>
    </row>
    <row r="345" spans="2:9">
      <c r="B345" t="s">
        <v>240</v>
      </c>
      <c r="C345" t="s">
        <v>239</v>
      </c>
      <c r="D345" s="41">
        <v>157</v>
      </c>
      <c r="E345" s="41">
        <v>13</v>
      </c>
      <c r="F345" s="41">
        <v>169</v>
      </c>
      <c r="G345" s="41">
        <v>0</v>
      </c>
      <c r="H345" s="41"/>
      <c r="I345" s="78"/>
    </row>
    <row r="346" spans="2:9">
      <c r="B346" t="s">
        <v>239</v>
      </c>
      <c r="C346" t="s">
        <v>239</v>
      </c>
      <c r="D346" s="41"/>
      <c r="E346" s="41"/>
      <c r="F346" s="41"/>
      <c r="G346" s="41"/>
      <c r="H346" s="41">
        <v>157</v>
      </c>
      <c r="I346" s="78">
        <v>169</v>
      </c>
    </row>
    <row r="347" spans="2:9">
      <c r="B347" t="s">
        <v>240</v>
      </c>
      <c r="C347" t="s">
        <v>239</v>
      </c>
      <c r="D347" s="41">
        <v>158</v>
      </c>
      <c r="E347" s="41">
        <v>14</v>
      </c>
      <c r="F347" s="41">
        <v>170</v>
      </c>
      <c r="G347" s="41">
        <v>0</v>
      </c>
      <c r="H347" s="41"/>
      <c r="I347" s="78"/>
    </row>
    <row r="348" spans="2:9">
      <c r="B348" t="s">
        <v>239</v>
      </c>
      <c r="C348" t="s">
        <v>239</v>
      </c>
      <c r="D348" s="41"/>
      <c r="E348" s="41"/>
      <c r="F348" s="41"/>
      <c r="G348" s="41"/>
      <c r="H348" s="41">
        <v>158</v>
      </c>
      <c r="I348" s="78">
        <v>170</v>
      </c>
    </row>
    <row r="349" spans="2:9">
      <c r="B349" t="s">
        <v>240</v>
      </c>
      <c r="C349" t="s">
        <v>239</v>
      </c>
      <c r="D349" s="41">
        <v>159</v>
      </c>
      <c r="E349" s="41">
        <v>15</v>
      </c>
      <c r="F349" s="41">
        <v>171</v>
      </c>
      <c r="G349" s="41">
        <v>0</v>
      </c>
      <c r="H349" s="41"/>
      <c r="I349" s="78"/>
    </row>
    <row r="350" spans="2:9">
      <c r="B350" t="s">
        <v>239</v>
      </c>
      <c r="C350" t="s">
        <v>239</v>
      </c>
      <c r="D350" s="41"/>
      <c r="E350" s="41"/>
      <c r="F350" s="41"/>
      <c r="G350" s="41"/>
      <c r="H350" s="41">
        <v>159</v>
      </c>
      <c r="I350" s="78">
        <v>171</v>
      </c>
    </row>
    <row r="351" spans="2:9">
      <c r="B351" t="s">
        <v>240</v>
      </c>
      <c r="C351" t="s">
        <v>239</v>
      </c>
      <c r="D351" s="41">
        <v>160</v>
      </c>
      <c r="E351" s="13"/>
      <c r="F351" s="41">
        <v>172</v>
      </c>
      <c r="G351" s="46" t="s">
        <v>293</v>
      </c>
      <c r="H351" s="41"/>
      <c r="I351" s="78"/>
    </row>
    <row r="352" spans="2:9">
      <c r="B352" t="s">
        <v>239</v>
      </c>
      <c r="C352" t="s">
        <v>239</v>
      </c>
      <c r="D352" s="41"/>
      <c r="E352" s="13"/>
      <c r="F352" s="41"/>
      <c r="G352" s="41"/>
      <c r="H352" s="41">
        <v>160</v>
      </c>
      <c r="I352" s="78">
        <v>172</v>
      </c>
    </row>
    <row r="353" spans="2:9">
      <c r="B353" t="s">
        <v>240</v>
      </c>
      <c r="C353" t="s">
        <v>239</v>
      </c>
      <c r="D353" s="41">
        <v>161</v>
      </c>
      <c r="E353" s="13"/>
      <c r="F353" s="41">
        <v>173</v>
      </c>
      <c r="G353" s="46" t="s">
        <v>294</v>
      </c>
      <c r="H353" s="41"/>
      <c r="I353" s="78"/>
    </row>
    <row r="354" spans="2:9">
      <c r="B354" t="s">
        <v>239</v>
      </c>
      <c r="C354" t="s">
        <v>239</v>
      </c>
      <c r="D354" s="41"/>
      <c r="E354" s="13"/>
      <c r="F354" s="41"/>
      <c r="G354" s="41"/>
      <c r="H354" s="41">
        <v>161</v>
      </c>
      <c r="I354" s="78">
        <v>173</v>
      </c>
    </row>
    <row r="355" spans="2:9">
      <c r="B355" t="s">
        <v>240</v>
      </c>
      <c r="C355" t="s">
        <v>239</v>
      </c>
      <c r="D355" s="41">
        <v>162</v>
      </c>
      <c r="E355" s="13"/>
      <c r="F355" s="41">
        <v>174</v>
      </c>
      <c r="G355" s="46" t="s">
        <v>295</v>
      </c>
      <c r="H355" s="41"/>
      <c r="I355" s="78"/>
    </row>
    <row r="356" spans="2:9">
      <c r="B356" t="s">
        <v>239</v>
      </c>
      <c r="C356" t="s">
        <v>239</v>
      </c>
      <c r="D356" s="41"/>
      <c r="E356" s="13"/>
      <c r="F356" s="41"/>
      <c r="G356" s="41"/>
      <c r="H356" s="41">
        <v>162</v>
      </c>
      <c r="I356" s="78">
        <v>174</v>
      </c>
    </row>
    <row r="357" spans="2:9">
      <c r="B357" t="s">
        <v>240</v>
      </c>
      <c r="C357" t="s">
        <v>239</v>
      </c>
      <c r="D357" s="41">
        <v>163</v>
      </c>
      <c r="E357" s="13"/>
      <c r="F357" s="41">
        <v>175</v>
      </c>
      <c r="G357" s="46" t="s">
        <v>296</v>
      </c>
      <c r="H357" s="41"/>
      <c r="I357" s="78"/>
    </row>
    <row r="358" spans="2:9">
      <c r="B358" t="s">
        <v>239</v>
      </c>
      <c r="C358" t="s">
        <v>239</v>
      </c>
      <c r="D358" s="41"/>
      <c r="E358" s="13"/>
      <c r="F358" s="41"/>
      <c r="G358" s="41"/>
      <c r="H358" s="41">
        <v>163</v>
      </c>
      <c r="I358" s="78">
        <v>175</v>
      </c>
    </row>
    <row r="359" spans="2:9">
      <c r="B359" t="s">
        <v>240</v>
      </c>
      <c r="C359" t="s">
        <v>239</v>
      </c>
      <c r="D359" s="41">
        <v>164</v>
      </c>
      <c r="E359" s="13"/>
      <c r="F359" s="41">
        <v>176</v>
      </c>
      <c r="G359" s="46" t="s">
        <v>297</v>
      </c>
      <c r="H359" s="41"/>
      <c r="I359" s="78"/>
    </row>
    <row r="360" spans="2:9">
      <c r="B360" t="s">
        <v>239</v>
      </c>
      <c r="C360" t="s">
        <v>239</v>
      </c>
      <c r="D360" s="41"/>
      <c r="E360" s="13"/>
      <c r="F360" s="41"/>
      <c r="G360" s="41"/>
      <c r="H360" s="41">
        <v>164</v>
      </c>
      <c r="I360" s="78">
        <v>176</v>
      </c>
    </row>
    <row r="361" spans="2:9">
      <c r="B361" t="s">
        <v>240</v>
      </c>
      <c r="C361" t="s">
        <v>239</v>
      </c>
      <c r="D361" s="41">
        <v>165</v>
      </c>
      <c r="E361" s="13"/>
      <c r="F361" s="41">
        <v>177</v>
      </c>
      <c r="G361" s="46" t="s">
        <v>298</v>
      </c>
      <c r="H361" s="41"/>
      <c r="I361" s="78"/>
    </row>
    <row r="362" spans="2:9">
      <c r="B362" t="s">
        <v>239</v>
      </c>
      <c r="C362" t="s">
        <v>239</v>
      </c>
      <c r="D362" s="41"/>
      <c r="E362" s="13"/>
      <c r="F362" s="41"/>
      <c r="G362" s="41"/>
      <c r="H362" s="41">
        <v>165</v>
      </c>
      <c r="I362" s="78">
        <v>177</v>
      </c>
    </row>
    <row r="363" spans="2:9">
      <c r="B363" t="s">
        <v>240</v>
      </c>
      <c r="C363" t="s">
        <v>239</v>
      </c>
      <c r="D363" s="41">
        <v>166</v>
      </c>
      <c r="E363" s="13"/>
      <c r="F363" s="41">
        <v>178</v>
      </c>
      <c r="G363" s="46" t="s">
        <v>299</v>
      </c>
      <c r="H363" s="41"/>
      <c r="I363" s="78"/>
    </row>
    <row r="364" spans="2:9">
      <c r="B364" t="s">
        <v>239</v>
      </c>
      <c r="C364" t="s">
        <v>239</v>
      </c>
      <c r="D364" s="41"/>
      <c r="E364" s="13"/>
      <c r="F364" s="41"/>
      <c r="G364" s="41"/>
      <c r="H364" s="41">
        <v>166</v>
      </c>
      <c r="I364" s="78">
        <v>178</v>
      </c>
    </row>
    <row r="365" spans="2:9">
      <c r="B365" t="s">
        <v>240</v>
      </c>
      <c r="C365" t="s">
        <v>239</v>
      </c>
      <c r="D365" s="41">
        <v>167</v>
      </c>
      <c r="E365" s="13"/>
      <c r="F365" s="41">
        <v>179</v>
      </c>
      <c r="G365" s="46" t="s">
        <v>300</v>
      </c>
      <c r="H365" s="41"/>
      <c r="I365" s="78"/>
    </row>
    <row r="366" spans="2:9">
      <c r="B366" t="s">
        <v>239</v>
      </c>
      <c r="C366" t="s">
        <v>239</v>
      </c>
      <c r="D366" s="41"/>
      <c r="E366" s="13"/>
      <c r="F366" s="41"/>
      <c r="G366" s="41"/>
      <c r="H366" s="41">
        <v>167</v>
      </c>
      <c r="I366" s="78">
        <v>179</v>
      </c>
    </row>
    <row r="367" spans="2:9">
      <c r="B367" t="s">
        <v>240</v>
      </c>
      <c r="C367" t="s">
        <v>239</v>
      </c>
      <c r="D367" s="41">
        <v>168</v>
      </c>
      <c r="E367" s="13"/>
      <c r="F367" s="41">
        <v>180</v>
      </c>
      <c r="G367" s="46" t="s">
        <v>301</v>
      </c>
      <c r="H367" s="41"/>
      <c r="I367" s="78"/>
    </row>
    <row r="368" spans="2:9">
      <c r="B368" t="s">
        <v>239</v>
      </c>
      <c r="C368" t="s">
        <v>239</v>
      </c>
      <c r="D368" s="41"/>
      <c r="E368" s="13"/>
      <c r="F368" s="41"/>
      <c r="G368" s="41"/>
      <c r="H368" s="41">
        <v>168</v>
      </c>
      <c r="I368" s="78">
        <v>180</v>
      </c>
    </row>
    <row r="369" spans="2:9">
      <c r="B369" t="s">
        <v>240</v>
      </c>
      <c r="C369" t="s">
        <v>239</v>
      </c>
      <c r="D369" s="41">
        <v>169</v>
      </c>
      <c r="E369" s="13"/>
      <c r="F369" s="41">
        <v>181</v>
      </c>
      <c r="G369" s="46" t="s">
        <v>302</v>
      </c>
      <c r="H369" s="41"/>
      <c r="I369" s="78"/>
    </row>
    <row r="370" spans="2:9">
      <c r="B370" t="s">
        <v>239</v>
      </c>
      <c r="C370" t="s">
        <v>239</v>
      </c>
      <c r="D370" s="41"/>
      <c r="E370" s="13"/>
      <c r="F370" s="41"/>
      <c r="G370" s="41"/>
      <c r="H370" s="41">
        <v>169</v>
      </c>
      <c r="I370" s="78">
        <v>181</v>
      </c>
    </row>
    <row r="371" spans="2:9">
      <c r="B371" t="s">
        <v>240</v>
      </c>
      <c r="C371" t="s">
        <v>239</v>
      </c>
      <c r="D371" s="41">
        <v>170</v>
      </c>
      <c r="E371" s="13"/>
      <c r="F371" s="41">
        <v>182</v>
      </c>
      <c r="G371" s="46" t="s">
        <v>303</v>
      </c>
      <c r="H371" s="41"/>
      <c r="I371" s="78"/>
    </row>
    <row r="372" spans="2:9">
      <c r="B372" t="s">
        <v>239</v>
      </c>
      <c r="C372" t="s">
        <v>239</v>
      </c>
      <c r="D372" s="41"/>
      <c r="E372" s="13"/>
      <c r="F372" s="41"/>
      <c r="G372" s="41"/>
      <c r="H372" s="41">
        <v>170</v>
      </c>
      <c r="I372" s="78">
        <v>182</v>
      </c>
    </row>
    <row r="373" spans="2:9">
      <c r="B373" t="s">
        <v>240</v>
      </c>
      <c r="C373" t="s">
        <v>239</v>
      </c>
      <c r="D373" s="41">
        <v>171</v>
      </c>
      <c r="E373" s="13"/>
      <c r="F373" s="41">
        <v>183</v>
      </c>
      <c r="G373" s="46" t="s">
        <v>304</v>
      </c>
      <c r="H373" s="41"/>
      <c r="I373" s="78"/>
    </row>
    <row r="374" spans="2:9">
      <c r="B374" t="s">
        <v>239</v>
      </c>
      <c r="C374" t="s">
        <v>239</v>
      </c>
      <c r="D374" s="41"/>
      <c r="E374" s="13"/>
      <c r="F374" s="41"/>
      <c r="G374" s="41"/>
      <c r="H374" s="41">
        <v>171</v>
      </c>
      <c r="I374" s="78">
        <v>183</v>
      </c>
    </row>
    <row r="375" spans="2:9">
      <c r="B375" t="s">
        <v>240</v>
      </c>
      <c r="C375" t="s">
        <v>239</v>
      </c>
      <c r="D375" s="41">
        <v>172</v>
      </c>
      <c r="E375" s="13"/>
      <c r="F375" s="41">
        <v>184</v>
      </c>
      <c r="G375" s="46" t="s">
        <v>305</v>
      </c>
      <c r="H375" s="41"/>
      <c r="I375" s="78"/>
    </row>
    <row r="376" spans="2:9">
      <c r="B376" t="s">
        <v>239</v>
      </c>
      <c r="C376" t="s">
        <v>239</v>
      </c>
      <c r="D376" s="41"/>
      <c r="E376" s="13"/>
      <c r="F376" s="41"/>
      <c r="G376" s="41"/>
      <c r="H376" s="41">
        <v>172</v>
      </c>
      <c r="I376" s="78">
        <v>184</v>
      </c>
    </row>
    <row r="377" spans="2:9">
      <c r="B377" t="s">
        <v>240</v>
      </c>
      <c r="C377" t="s">
        <v>239</v>
      </c>
      <c r="D377" s="41">
        <v>173</v>
      </c>
      <c r="E377" s="13"/>
      <c r="F377" s="41">
        <v>185</v>
      </c>
      <c r="G377" s="41">
        <v>0</v>
      </c>
      <c r="H377" s="41"/>
      <c r="I377" s="78"/>
    </row>
    <row r="378" spans="2:9">
      <c r="B378" t="s">
        <v>239</v>
      </c>
      <c r="C378" t="s">
        <v>239</v>
      </c>
      <c r="D378" s="41"/>
      <c r="E378" s="13"/>
      <c r="F378" s="41"/>
      <c r="G378" s="41"/>
      <c r="H378" s="41">
        <v>173</v>
      </c>
      <c r="I378" s="78">
        <v>185</v>
      </c>
    </row>
    <row r="379" spans="2:9">
      <c r="B379" t="s">
        <v>240</v>
      </c>
      <c r="C379" t="s">
        <v>239</v>
      </c>
      <c r="D379" s="41">
        <v>174</v>
      </c>
      <c r="E379" s="13"/>
      <c r="F379" s="41">
        <v>186</v>
      </c>
      <c r="G379" s="41">
        <v>0</v>
      </c>
      <c r="H379" s="41"/>
      <c r="I379" s="78"/>
    </row>
    <row r="380" spans="2:9">
      <c r="B380" t="s">
        <v>239</v>
      </c>
      <c r="C380" t="s">
        <v>239</v>
      </c>
      <c r="D380" s="41"/>
      <c r="E380" s="13"/>
      <c r="F380" s="41"/>
      <c r="G380" s="41"/>
      <c r="H380" s="41">
        <v>174</v>
      </c>
      <c r="I380" s="78">
        <v>186</v>
      </c>
    </row>
    <row r="381" spans="2:9">
      <c r="B381" t="s">
        <v>240</v>
      </c>
      <c r="C381" t="s">
        <v>239</v>
      </c>
      <c r="D381" s="41">
        <v>175</v>
      </c>
      <c r="E381" s="13"/>
      <c r="F381" s="41">
        <v>187</v>
      </c>
      <c r="G381" s="41">
        <v>0</v>
      </c>
      <c r="H381" s="41"/>
      <c r="I381" s="78"/>
    </row>
    <row r="382" spans="2:9">
      <c r="B382" t="s">
        <v>239</v>
      </c>
      <c r="C382" t="s">
        <v>239</v>
      </c>
      <c r="D382" s="41"/>
      <c r="E382" s="13"/>
      <c r="F382" s="41"/>
      <c r="G382" s="41"/>
      <c r="H382" s="41">
        <v>175</v>
      </c>
      <c r="I382" s="78">
        <v>187</v>
      </c>
    </row>
    <row r="383" spans="2:9">
      <c r="B383" t="s">
        <v>240</v>
      </c>
      <c r="C383" t="s">
        <v>239</v>
      </c>
      <c r="D383" s="41">
        <v>176</v>
      </c>
      <c r="E383" s="13"/>
      <c r="F383" s="41">
        <v>188</v>
      </c>
      <c r="G383" s="41">
        <v>0</v>
      </c>
      <c r="H383" s="41"/>
      <c r="I383" s="78"/>
    </row>
    <row r="384" spans="2:9">
      <c r="B384" t="s">
        <v>239</v>
      </c>
      <c r="C384" t="s">
        <v>239</v>
      </c>
      <c r="D384" s="41"/>
      <c r="E384" s="13"/>
      <c r="F384" s="41"/>
      <c r="G384" s="41"/>
      <c r="H384" s="41">
        <v>176</v>
      </c>
      <c r="I384" s="78">
        <v>188</v>
      </c>
    </row>
    <row r="385" spans="2:9">
      <c r="B385" t="s">
        <v>240</v>
      </c>
      <c r="C385" t="s">
        <v>239</v>
      </c>
      <c r="D385" s="41">
        <v>177</v>
      </c>
      <c r="E385" s="13"/>
      <c r="F385" s="41">
        <v>189</v>
      </c>
      <c r="G385" s="41">
        <v>0</v>
      </c>
      <c r="H385" s="41"/>
      <c r="I385" s="78"/>
    </row>
    <row r="386" spans="2:9">
      <c r="B386" t="s">
        <v>239</v>
      </c>
      <c r="C386" t="s">
        <v>239</v>
      </c>
      <c r="D386" s="41"/>
      <c r="E386" s="13"/>
      <c r="F386" s="41"/>
      <c r="G386" s="41"/>
      <c r="H386" s="41">
        <v>177</v>
      </c>
      <c r="I386" s="78">
        <v>189</v>
      </c>
    </row>
    <row r="387" spans="2:9">
      <c r="B387" t="s">
        <v>240</v>
      </c>
      <c r="C387" t="s">
        <v>239</v>
      </c>
      <c r="D387" s="41">
        <v>178</v>
      </c>
      <c r="E387" s="13"/>
      <c r="F387" s="41">
        <v>190</v>
      </c>
      <c r="G387" s="41">
        <v>0</v>
      </c>
      <c r="H387" s="41"/>
      <c r="I387" s="78"/>
    </row>
    <row r="388" spans="2:9">
      <c r="B388" t="s">
        <v>239</v>
      </c>
      <c r="C388" t="s">
        <v>239</v>
      </c>
      <c r="D388" s="41"/>
      <c r="E388" s="13"/>
      <c r="F388" s="41"/>
      <c r="G388" s="41"/>
      <c r="H388" s="41">
        <v>178</v>
      </c>
      <c r="I388" s="78">
        <v>190</v>
      </c>
    </row>
    <row r="389" spans="2:9">
      <c r="B389" t="s">
        <v>240</v>
      </c>
      <c r="C389" t="s">
        <v>239</v>
      </c>
      <c r="D389" s="41">
        <v>179</v>
      </c>
      <c r="E389" s="13"/>
      <c r="F389" s="41">
        <v>191</v>
      </c>
      <c r="G389" s="41">
        <v>0</v>
      </c>
      <c r="H389" s="41"/>
      <c r="I389" s="78"/>
    </row>
    <row r="390" spans="2:9">
      <c r="B390" t="s">
        <v>239</v>
      </c>
      <c r="C390" t="s">
        <v>239</v>
      </c>
      <c r="D390" s="41"/>
      <c r="E390" s="13"/>
      <c r="F390" s="41"/>
      <c r="G390" s="41"/>
      <c r="H390" s="41">
        <v>179</v>
      </c>
      <c r="I390" s="78">
        <v>191</v>
      </c>
    </row>
    <row r="391" spans="2:9">
      <c r="B391" t="s">
        <v>240</v>
      </c>
      <c r="C391" t="s">
        <v>239</v>
      </c>
      <c r="D391" s="41">
        <v>180</v>
      </c>
      <c r="E391" s="13"/>
      <c r="F391" s="41">
        <v>192</v>
      </c>
      <c r="G391" s="41">
        <v>0</v>
      </c>
      <c r="H391" s="41"/>
      <c r="I391" s="78"/>
    </row>
    <row r="392" spans="2:9">
      <c r="B392" t="s">
        <v>239</v>
      </c>
      <c r="C392" t="s">
        <v>239</v>
      </c>
      <c r="D392" s="41"/>
      <c r="E392" s="13"/>
      <c r="F392" s="41"/>
      <c r="G392" s="41"/>
      <c r="H392" s="41">
        <v>180</v>
      </c>
      <c r="I392" s="78">
        <v>192</v>
      </c>
    </row>
    <row r="393" spans="2:9">
      <c r="B393" t="s">
        <v>240</v>
      </c>
      <c r="C393" t="s">
        <v>239</v>
      </c>
      <c r="D393" s="41">
        <v>181</v>
      </c>
      <c r="E393" s="13"/>
      <c r="F393" s="41">
        <v>193</v>
      </c>
      <c r="G393" s="41">
        <v>0</v>
      </c>
      <c r="H393" s="41"/>
      <c r="I393" s="78"/>
    </row>
    <row r="394" spans="2:9">
      <c r="B394" t="s">
        <v>239</v>
      </c>
      <c r="C394" t="s">
        <v>239</v>
      </c>
      <c r="D394" s="41"/>
      <c r="E394" s="13"/>
      <c r="F394" s="41"/>
      <c r="G394" s="41"/>
      <c r="H394" s="41">
        <v>181</v>
      </c>
      <c r="I394" s="78">
        <v>193</v>
      </c>
    </row>
    <row r="395" spans="2:9">
      <c r="B395" t="s">
        <v>240</v>
      </c>
      <c r="C395" t="s">
        <v>239</v>
      </c>
      <c r="D395" s="41">
        <v>182</v>
      </c>
      <c r="E395" s="13"/>
      <c r="F395" s="41">
        <v>194</v>
      </c>
      <c r="G395" s="41">
        <v>0</v>
      </c>
      <c r="H395" s="41"/>
      <c r="I395" s="78"/>
    </row>
    <row r="396" spans="2:9">
      <c r="B396" t="s">
        <v>239</v>
      </c>
      <c r="C396" t="s">
        <v>239</v>
      </c>
      <c r="D396" s="41"/>
      <c r="E396" s="13"/>
      <c r="F396" s="41"/>
      <c r="G396" s="41"/>
      <c r="H396" s="41">
        <v>182</v>
      </c>
      <c r="I396" s="78">
        <v>194</v>
      </c>
    </row>
    <row r="397" spans="2:9">
      <c r="B397" t="s">
        <v>240</v>
      </c>
      <c r="C397" t="s">
        <v>239</v>
      </c>
      <c r="D397" s="41">
        <v>183</v>
      </c>
      <c r="E397" s="13"/>
      <c r="F397" s="41">
        <v>195</v>
      </c>
      <c r="G397" s="41">
        <v>0</v>
      </c>
      <c r="H397" s="41"/>
      <c r="I397" s="78"/>
    </row>
    <row r="398" spans="2:9">
      <c r="B398" t="s">
        <v>239</v>
      </c>
      <c r="C398" t="s">
        <v>239</v>
      </c>
      <c r="D398" s="41"/>
      <c r="E398" s="13"/>
      <c r="F398" s="41"/>
      <c r="G398" s="41"/>
      <c r="H398" s="41">
        <v>183</v>
      </c>
      <c r="I398" s="78">
        <v>195</v>
      </c>
    </row>
    <row r="399" spans="2:9">
      <c r="B399" t="s">
        <v>240</v>
      </c>
      <c r="C399" t="s">
        <v>239</v>
      </c>
      <c r="D399" s="41">
        <v>184</v>
      </c>
      <c r="E399" s="13"/>
      <c r="F399" s="41">
        <v>196</v>
      </c>
      <c r="G399" s="41">
        <v>0</v>
      </c>
      <c r="H399" s="41"/>
      <c r="I399" s="78"/>
    </row>
    <row r="400" spans="2:9">
      <c r="B400" t="s">
        <v>239</v>
      </c>
      <c r="C400" t="s">
        <v>239</v>
      </c>
      <c r="D400" s="41"/>
      <c r="E400" s="13"/>
      <c r="F400" s="41"/>
      <c r="G400" s="41"/>
      <c r="H400" s="41">
        <v>184</v>
      </c>
      <c r="I400" s="78">
        <v>196</v>
      </c>
    </row>
    <row r="401" spans="2:9">
      <c r="B401" t="s">
        <v>240</v>
      </c>
      <c r="C401" t="s">
        <v>239</v>
      </c>
      <c r="D401" s="41">
        <v>185</v>
      </c>
      <c r="E401" s="13"/>
      <c r="F401" s="41">
        <v>197</v>
      </c>
      <c r="G401" s="41">
        <v>0</v>
      </c>
      <c r="H401" s="41"/>
      <c r="I401" s="78"/>
    </row>
    <row r="402" spans="2:9">
      <c r="B402" t="s">
        <v>239</v>
      </c>
      <c r="C402" t="s">
        <v>239</v>
      </c>
      <c r="D402" s="41"/>
      <c r="E402" s="13"/>
      <c r="F402" s="41"/>
      <c r="G402" s="41"/>
      <c r="H402" s="41">
        <v>185</v>
      </c>
      <c r="I402" s="78">
        <v>197</v>
      </c>
    </row>
    <row r="403" spans="2:9">
      <c r="B403" t="s">
        <v>240</v>
      </c>
      <c r="C403" t="s">
        <v>239</v>
      </c>
      <c r="D403" s="41">
        <v>186</v>
      </c>
      <c r="E403" s="13"/>
      <c r="F403" s="41">
        <v>198</v>
      </c>
      <c r="G403" s="41">
        <v>0</v>
      </c>
      <c r="H403" s="41"/>
      <c r="I403" s="78"/>
    </row>
    <row r="404" spans="2:9">
      <c r="B404" t="s">
        <v>239</v>
      </c>
      <c r="C404" t="s">
        <v>239</v>
      </c>
      <c r="D404" s="41"/>
      <c r="E404" s="13"/>
      <c r="F404" s="41"/>
      <c r="G404" s="41"/>
      <c r="H404" s="41">
        <v>186</v>
      </c>
      <c r="I404" s="78">
        <v>198</v>
      </c>
    </row>
    <row r="405" spans="2:9">
      <c r="B405" t="s">
        <v>240</v>
      </c>
      <c r="C405" t="s">
        <v>239</v>
      </c>
      <c r="D405" s="41">
        <v>187</v>
      </c>
      <c r="E405" s="13"/>
      <c r="F405" s="41">
        <v>199</v>
      </c>
      <c r="G405" s="41">
        <v>0</v>
      </c>
      <c r="H405" s="41"/>
      <c r="I405" s="78"/>
    </row>
    <row r="406" spans="2:9">
      <c r="B406" t="s">
        <v>239</v>
      </c>
      <c r="C406" t="s">
        <v>239</v>
      </c>
      <c r="D406" s="41"/>
      <c r="E406" s="13"/>
      <c r="F406" s="41"/>
      <c r="G406" s="41"/>
      <c r="H406" s="41">
        <v>187</v>
      </c>
      <c r="I406" s="78">
        <v>199</v>
      </c>
    </row>
    <row r="407" spans="2:9">
      <c r="B407" t="s">
        <v>240</v>
      </c>
      <c r="C407" t="s">
        <v>239</v>
      </c>
      <c r="D407" s="41">
        <v>188</v>
      </c>
      <c r="E407" s="13"/>
      <c r="F407" s="41">
        <v>200</v>
      </c>
      <c r="G407" s="41">
        <v>0</v>
      </c>
      <c r="H407" s="41"/>
      <c r="I407" s="78"/>
    </row>
    <row r="408" spans="2:9">
      <c r="B408" t="s">
        <v>239</v>
      </c>
      <c r="C408" t="s">
        <v>239</v>
      </c>
      <c r="D408" s="41"/>
      <c r="E408" s="13"/>
      <c r="F408" s="41"/>
      <c r="G408" s="41"/>
      <c r="H408" s="41">
        <v>188</v>
      </c>
      <c r="I408" s="78">
        <v>200</v>
      </c>
    </row>
    <row r="409" spans="2:9">
      <c r="B409" t="s">
        <v>240</v>
      </c>
      <c r="C409" t="s">
        <v>239</v>
      </c>
      <c r="D409" s="41">
        <v>189</v>
      </c>
      <c r="E409" s="13"/>
      <c r="F409" s="41">
        <v>201</v>
      </c>
      <c r="G409" s="41">
        <v>0</v>
      </c>
      <c r="H409" s="41"/>
      <c r="I409" s="78"/>
    </row>
    <row r="410" spans="2:9">
      <c r="B410" t="s">
        <v>239</v>
      </c>
      <c r="C410" t="s">
        <v>239</v>
      </c>
      <c r="D410" s="41"/>
      <c r="E410" s="13"/>
      <c r="F410" s="41"/>
      <c r="G410" s="41"/>
      <c r="H410" s="41">
        <v>189</v>
      </c>
      <c r="I410" s="78">
        <v>201</v>
      </c>
    </row>
    <row r="411" spans="2:9">
      <c r="B411" t="s">
        <v>240</v>
      </c>
      <c r="C411" t="s">
        <v>239</v>
      </c>
      <c r="D411" s="41">
        <v>190</v>
      </c>
      <c r="E411" s="13"/>
      <c r="F411" s="41">
        <v>202</v>
      </c>
      <c r="G411" s="41">
        <v>0</v>
      </c>
      <c r="H411" s="41"/>
      <c r="I411" s="78"/>
    </row>
    <row r="412" spans="2:9">
      <c r="B412" t="s">
        <v>239</v>
      </c>
      <c r="C412" t="s">
        <v>239</v>
      </c>
      <c r="D412" s="41"/>
      <c r="E412" s="13"/>
      <c r="F412" s="41"/>
      <c r="G412" s="41"/>
      <c r="H412" s="41">
        <v>190</v>
      </c>
      <c r="I412" s="78">
        <v>202</v>
      </c>
    </row>
    <row r="413" spans="2:9">
      <c r="B413" t="s">
        <v>240</v>
      </c>
      <c r="C413" t="s">
        <v>239</v>
      </c>
      <c r="D413" s="41">
        <v>191</v>
      </c>
      <c r="E413" s="13"/>
      <c r="F413" s="41">
        <v>203</v>
      </c>
      <c r="G413" s="41">
        <v>0</v>
      </c>
      <c r="H413" s="41"/>
      <c r="I413" s="78"/>
    </row>
    <row r="414" spans="2:9">
      <c r="B414" t="s">
        <v>239</v>
      </c>
      <c r="C414" t="s">
        <v>239</v>
      </c>
      <c r="D414" s="41"/>
      <c r="E414" s="13"/>
      <c r="F414" s="41"/>
      <c r="G414" s="41"/>
      <c r="H414" s="41">
        <v>191</v>
      </c>
      <c r="I414" s="78">
        <v>203</v>
      </c>
    </row>
    <row r="415" spans="2:9">
      <c r="B415" t="s">
        <v>240</v>
      </c>
      <c r="C415" t="s">
        <v>239</v>
      </c>
      <c r="D415" s="41">
        <v>192</v>
      </c>
      <c r="E415" s="13"/>
      <c r="F415" s="41">
        <v>204</v>
      </c>
      <c r="G415" s="41">
        <v>0</v>
      </c>
      <c r="H415" s="41"/>
      <c r="I415" s="78"/>
    </row>
    <row r="416" spans="2:9">
      <c r="B416" t="s">
        <v>239</v>
      </c>
      <c r="C416" t="s">
        <v>239</v>
      </c>
      <c r="D416" s="41"/>
      <c r="E416" s="13"/>
      <c r="F416" s="41"/>
      <c r="G416" s="41"/>
      <c r="H416" s="41">
        <v>192</v>
      </c>
      <c r="I416" s="78">
        <v>204</v>
      </c>
    </row>
    <row r="417" spans="2:9">
      <c r="B417" t="s">
        <v>240</v>
      </c>
      <c r="C417" t="s">
        <v>239</v>
      </c>
      <c r="D417" s="41">
        <v>193</v>
      </c>
      <c r="E417" s="13"/>
      <c r="F417" s="41">
        <v>205</v>
      </c>
      <c r="G417" s="41">
        <v>0</v>
      </c>
      <c r="H417" s="41"/>
      <c r="I417" s="78"/>
    </row>
    <row r="418" spans="2:9">
      <c r="B418" t="s">
        <v>239</v>
      </c>
      <c r="C418" t="s">
        <v>239</v>
      </c>
      <c r="D418" s="41"/>
      <c r="E418" s="13"/>
      <c r="F418" s="41"/>
      <c r="G418" s="41"/>
      <c r="H418" s="41">
        <v>193</v>
      </c>
      <c r="I418" s="78">
        <v>205</v>
      </c>
    </row>
    <row r="419" spans="2:9">
      <c r="B419" t="s">
        <v>240</v>
      </c>
      <c r="C419" t="s">
        <v>239</v>
      </c>
      <c r="D419" s="41">
        <v>194</v>
      </c>
      <c r="E419" s="13"/>
      <c r="F419" s="41">
        <v>206</v>
      </c>
      <c r="G419" s="41">
        <v>0</v>
      </c>
      <c r="H419" s="41"/>
      <c r="I419" s="78"/>
    </row>
    <row r="420" spans="2:9">
      <c r="B420" t="s">
        <v>239</v>
      </c>
      <c r="C420" t="s">
        <v>239</v>
      </c>
      <c r="D420" s="41"/>
      <c r="E420" s="13"/>
      <c r="F420" s="41"/>
      <c r="G420" s="41"/>
      <c r="H420" s="41">
        <v>194</v>
      </c>
      <c r="I420" s="78">
        <v>206</v>
      </c>
    </row>
    <row r="421" spans="2:9">
      <c r="B421" t="s">
        <v>240</v>
      </c>
      <c r="C421" t="s">
        <v>239</v>
      </c>
      <c r="D421" s="41">
        <v>195</v>
      </c>
      <c r="E421" s="13"/>
      <c r="F421" s="41">
        <v>207</v>
      </c>
      <c r="G421" s="41">
        <v>0</v>
      </c>
      <c r="H421" s="41"/>
      <c r="I421" s="78"/>
    </row>
    <row r="422" spans="2:9">
      <c r="B422" t="s">
        <v>239</v>
      </c>
      <c r="C422" t="s">
        <v>239</v>
      </c>
      <c r="D422" s="41"/>
      <c r="E422" s="13"/>
      <c r="F422" s="41"/>
      <c r="G422" s="41"/>
      <c r="H422" s="41">
        <v>195</v>
      </c>
      <c r="I422" s="78">
        <v>207</v>
      </c>
    </row>
    <row r="423" spans="2:9">
      <c r="B423" t="s">
        <v>240</v>
      </c>
      <c r="C423" t="s">
        <v>239</v>
      </c>
      <c r="D423" s="41">
        <v>196</v>
      </c>
      <c r="E423" s="13"/>
      <c r="F423" s="41">
        <v>208</v>
      </c>
      <c r="G423" s="41">
        <v>0</v>
      </c>
      <c r="H423" s="41"/>
      <c r="I423" s="78"/>
    </row>
    <row r="424" spans="2:9">
      <c r="B424" t="s">
        <v>239</v>
      </c>
      <c r="C424" t="s">
        <v>239</v>
      </c>
      <c r="D424" s="41"/>
      <c r="E424" s="13"/>
      <c r="F424" s="41"/>
      <c r="G424" s="41"/>
      <c r="H424" s="41">
        <v>196</v>
      </c>
      <c r="I424" s="78">
        <v>208</v>
      </c>
    </row>
    <row r="425" spans="2:9">
      <c r="B425" t="s">
        <v>240</v>
      </c>
      <c r="C425" t="s">
        <v>239</v>
      </c>
      <c r="D425" s="41">
        <v>197</v>
      </c>
      <c r="E425" s="13"/>
      <c r="F425" s="41">
        <v>209</v>
      </c>
      <c r="G425" s="41">
        <v>0</v>
      </c>
      <c r="H425" s="41"/>
      <c r="I425" s="78"/>
    </row>
    <row r="426" spans="2:9">
      <c r="B426" t="s">
        <v>239</v>
      </c>
      <c r="C426" t="s">
        <v>239</v>
      </c>
      <c r="D426" s="41"/>
      <c r="E426" s="13"/>
      <c r="F426" s="41"/>
      <c r="G426" s="41"/>
      <c r="H426" s="41">
        <v>197</v>
      </c>
      <c r="I426" s="78">
        <v>209</v>
      </c>
    </row>
    <row r="427" spans="2:9">
      <c r="B427" t="s">
        <v>240</v>
      </c>
      <c r="C427" t="s">
        <v>239</v>
      </c>
      <c r="D427" s="41">
        <v>198</v>
      </c>
      <c r="E427" s="13"/>
      <c r="F427" s="41">
        <v>210</v>
      </c>
      <c r="G427" s="41">
        <v>0</v>
      </c>
      <c r="H427" s="41"/>
      <c r="I427" s="78"/>
    </row>
    <row r="428" spans="2:9">
      <c r="B428" t="s">
        <v>239</v>
      </c>
      <c r="C428" t="s">
        <v>239</v>
      </c>
      <c r="D428" s="41"/>
      <c r="E428" s="13"/>
      <c r="F428" s="41"/>
      <c r="G428" s="41"/>
      <c r="H428" s="41">
        <v>198</v>
      </c>
      <c r="I428" s="78">
        <v>210</v>
      </c>
    </row>
    <row r="429" spans="2:9">
      <c r="B429" t="s">
        <v>240</v>
      </c>
      <c r="C429" t="s">
        <v>239</v>
      </c>
      <c r="D429" s="41">
        <v>199</v>
      </c>
      <c r="E429" s="13"/>
      <c r="F429" s="41">
        <v>211</v>
      </c>
      <c r="G429" s="41">
        <v>0</v>
      </c>
      <c r="H429" s="41"/>
      <c r="I429" s="78"/>
    </row>
    <row r="430" spans="2:9">
      <c r="B430" t="s">
        <v>239</v>
      </c>
      <c r="C430" t="s">
        <v>239</v>
      </c>
      <c r="D430" s="41"/>
      <c r="E430" s="13"/>
      <c r="F430" s="41"/>
      <c r="G430" s="41"/>
      <c r="H430" s="41">
        <v>199</v>
      </c>
      <c r="I430" s="78">
        <v>211</v>
      </c>
    </row>
    <row r="431" spans="2:9">
      <c r="B431" t="s">
        <v>240</v>
      </c>
      <c r="C431" t="s">
        <v>239</v>
      </c>
      <c r="D431" s="41">
        <v>200</v>
      </c>
      <c r="E431" s="13"/>
      <c r="F431" s="41">
        <v>212</v>
      </c>
      <c r="G431" s="41">
        <v>0</v>
      </c>
      <c r="H431" s="41"/>
      <c r="I431" s="78"/>
    </row>
    <row r="432" spans="2:9">
      <c r="B432" t="s">
        <v>239</v>
      </c>
      <c r="C432" t="s">
        <v>239</v>
      </c>
      <c r="D432" s="41"/>
      <c r="E432" s="13"/>
      <c r="F432" s="41"/>
      <c r="G432" s="41"/>
      <c r="H432" s="41">
        <v>200</v>
      </c>
      <c r="I432" s="78">
        <v>212</v>
      </c>
    </row>
    <row r="433" spans="2:9">
      <c r="B433" t="s">
        <v>240</v>
      </c>
      <c r="C433" t="s">
        <v>239</v>
      </c>
      <c r="D433" s="41">
        <v>201</v>
      </c>
      <c r="E433" s="13"/>
      <c r="F433" s="41">
        <v>213</v>
      </c>
      <c r="G433" s="41">
        <v>0</v>
      </c>
      <c r="H433" s="41"/>
      <c r="I433" s="78"/>
    </row>
    <row r="434" spans="2:9">
      <c r="B434" t="s">
        <v>239</v>
      </c>
      <c r="C434" t="s">
        <v>239</v>
      </c>
      <c r="D434" s="41"/>
      <c r="E434" s="13"/>
      <c r="F434" s="41"/>
      <c r="G434" s="41"/>
      <c r="H434" s="41">
        <v>201</v>
      </c>
      <c r="I434" s="78">
        <v>213</v>
      </c>
    </row>
    <row r="435" spans="2:9">
      <c r="B435" t="s">
        <v>240</v>
      </c>
      <c r="C435" t="s">
        <v>239</v>
      </c>
      <c r="D435" s="41">
        <v>202</v>
      </c>
      <c r="E435" s="13"/>
      <c r="F435" s="41">
        <v>214</v>
      </c>
      <c r="G435" s="41">
        <v>0</v>
      </c>
      <c r="H435" s="41"/>
      <c r="I435" s="78"/>
    </row>
    <row r="436" spans="2:9">
      <c r="B436" t="s">
        <v>239</v>
      </c>
      <c r="C436" t="s">
        <v>239</v>
      </c>
      <c r="D436" s="41"/>
      <c r="E436" s="13"/>
      <c r="F436" s="41"/>
      <c r="G436" s="41"/>
      <c r="H436" s="41">
        <v>202</v>
      </c>
      <c r="I436" s="78">
        <v>214</v>
      </c>
    </row>
    <row r="437" spans="2:9">
      <c r="B437" t="s">
        <v>240</v>
      </c>
      <c r="C437" t="s">
        <v>239</v>
      </c>
      <c r="D437" s="41">
        <v>203</v>
      </c>
      <c r="E437" s="13"/>
      <c r="F437" s="41">
        <v>215</v>
      </c>
      <c r="G437" s="41">
        <v>0</v>
      </c>
      <c r="H437" s="41"/>
      <c r="I437" s="78"/>
    </row>
    <row r="438" spans="2:9">
      <c r="B438" t="s">
        <v>239</v>
      </c>
      <c r="C438" t="s">
        <v>239</v>
      </c>
      <c r="D438" s="41"/>
      <c r="E438" s="13"/>
      <c r="F438" s="41"/>
      <c r="G438" s="41"/>
      <c r="H438" s="41">
        <v>203</v>
      </c>
      <c r="I438" s="78">
        <v>215</v>
      </c>
    </row>
    <row r="439" spans="2:9">
      <c r="B439" t="s">
        <v>240</v>
      </c>
      <c r="C439" t="s">
        <v>239</v>
      </c>
      <c r="D439" s="41">
        <v>204</v>
      </c>
      <c r="E439" s="13"/>
      <c r="F439" s="41">
        <v>216</v>
      </c>
      <c r="G439" s="41">
        <v>0</v>
      </c>
      <c r="H439" s="41"/>
      <c r="I439" s="78"/>
    </row>
    <row r="440" spans="2:9">
      <c r="B440" t="s">
        <v>239</v>
      </c>
      <c r="C440" t="s">
        <v>239</v>
      </c>
      <c r="D440" s="41"/>
      <c r="E440" s="13"/>
      <c r="F440" s="41"/>
      <c r="G440" s="41"/>
      <c r="H440" s="41">
        <v>204</v>
      </c>
      <c r="I440" s="78">
        <v>216</v>
      </c>
    </row>
    <row r="441" spans="2:9">
      <c r="B441" t="s">
        <v>240</v>
      </c>
      <c r="C441" t="s">
        <v>239</v>
      </c>
      <c r="D441" s="41">
        <v>205</v>
      </c>
      <c r="E441" s="13"/>
      <c r="F441" s="41">
        <v>217</v>
      </c>
      <c r="G441" s="41">
        <v>0</v>
      </c>
      <c r="H441" s="41"/>
      <c r="I441" s="78"/>
    </row>
    <row r="442" spans="2:9">
      <c r="B442" t="s">
        <v>239</v>
      </c>
      <c r="C442" t="s">
        <v>239</v>
      </c>
      <c r="D442" s="41"/>
      <c r="E442" s="13"/>
      <c r="F442" s="41"/>
      <c r="G442" s="41"/>
      <c r="H442" s="41">
        <v>205</v>
      </c>
      <c r="I442" s="78">
        <v>217</v>
      </c>
    </row>
    <row r="443" spans="2:9">
      <c r="B443" t="s">
        <v>240</v>
      </c>
      <c r="C443" t="s">
        <v>239</v>
      </c>
      <c r="D443" s="41">
        <v>206</v>
      </c>
      <c r="E443" s="13"/>
      <c r="F443" s="41">
        <v>218</v>
      </c>
      <c r="G443" s="41">
        <v>0</v>
      </c>
      <c r="H443" s="41"/>
      <c r="I443" s="78"/>
    </row>
    <row r="444" spans="2:9">
      <c r="B444" t="s">
        <v>239</v>
      </c>
      <c r="C444" t="s">
        <v>239</v>
      </c>
      <c r="D444" s="41"/>
      <c r="E444" s="13"/>
      <c r="F444" s="41"/>
      <c r="G444" s="41"/>
      <c r="H444" s="41">
        <v>206</v>
      </c>
      <c r="I444" s="78">
        <v>218</v>
      </c>
    </row>
    <row r="445" spans="2:9">
      <c r="B445" t="s">
        <v>240</v>
      </c>
      <c r="C445" t="s">
        <v>239</v>
      </c>
      <c r="D445" s="41">
        <v>207</v>
      </c>
      <c r="E445" s="13"/>
      <c r="F445" s="41">
        <v>219</v>
      </c>
      <c r="G445" s="41">
        <v>0</v>
      </c>
      <c r="H445" s="41"/>
      <c r="I445" s="78"/>
    </row>
    <row r="446" spans="2:9">
      <c r="B446" t="s">
        <v>239</v>
      </c>
      <c r="C446" t="s">
        <v>239</v>
      </c>
      <c r="D446" s="41"/>
      <c r="E446" s="13"/>
      <c r="F446" s="41"/>
      <c r="G446" s="41"/>
      <c r="H446" s="41">
        <v>207</v>
      </c>
      <c r="I446" s="78">
        <v>219</v>
      </c>
    </row>
    <row r="447" spans="2:9">
      <c r="B447" t="s">
        <v>240</v>
      </c>
      <c r="C447" t="s">
        <v>239</v>
      </c>
      <c r="D447" s="41">
        <v>208</v>
      </c>
      <c r="E447" s="13"/>
      <c r="F447" s="41">
        <v>220</v>
      </c>
      <c r="G447" s="41">
        <v>0</v>
      </c>
      <c r="H447" s="41"/>
      <c r="I447" s="78"/>
    </row>
    <row r="448" spans="2:9">
      <c r="B448" t="s">
        <v>239</v>
      </c>
      <c r="C448" t="s">
        <v>239</v>
      </c>
      <c r="D448" s="41"/>
      <c r="E448" s="13"/>
      <c r="F448" s="41"/>
      <c r="G448" s="41"/>
      <c r="H448" s="41">
        <v>208</v>
      </c>
      <c r="I448" s="78">
        <v>220</v>
      </c>
    </row>
    <row r="449" spans="2:9">
      <c r="B449" t="s">
        <v>240</v>
      </c>
      <c r="C449" t="s">
        <v>239</v>
      </c>
      <c r="D449" s="41">
        <v>209</v>
      </c>
      <c r="E449" s="13"/>
      <c r="F449" s="41">
        <v>221</v>
      </c>
      <c r="G449" s="41">
        <v>0</v>
      </c>
      <c r="H449" s="41"/>
      <c r="I449" s="78"/>
    </row>
    <row r="450" spans="2:9">
      <c r="B450" t="s">
        <v>239</v>
      </c>
      <c r="C450" t="s">
        <v>239</v>
      </c>
      <c r="D450" s="41"/>
      <c r="E450" s="13"/>
      <c r="F450" s="41"/>
      <c r="G450" s="41"/>
      <c r="H450" s="41">
        <v>209</v>
      </c>
      <c r="I450" s="78">
        <v>221</v>
      </c>
    </row>
    <row r="451" spans="2:9">
      <c r="B451" t="s">
        <v>240</v>
      </c>
      <c r="C451" t="s">
        <v>239</v>
      </c>
      <c r="D451" s="41">
        <v>210</v>
      </c>
      <c r="E451" s="13"/>
      <c r="F451" s="41">
        <v>222</v>
      </c>
      <c r="G451" s="41">
        <v>0</v>
      </c>
      <c r="H451" s="41"/>
      <c r="I451" s="78"/>
    </row>
    <row r="452" spans="2:9">
      <c r="B452" t="s">
        <v>239</v>
      </c>
      <c r="C452" t="s">
        <v>239</v>
      </c>
      <c r="D452" s="41"/>
      <c r="E452" s="13"/>
      <c r="F452" s="41"/>
      <c r="G452" s="41"/>
      <c r="H452" s="41">
        <v>210</v>
      </c>
      <c r="I452" s="78">
        <v>222</v>
      </c>
    </row>
    <row r="453" spans="2:9">
      <c r="B453" t="s">
        <v>240</v>
      </c>
      <c r="C453" t="s">
        <v>239</v>
      </c>
      <c r="D453" s="41">
        <v>211</v>
      </c>
      <c r="E453" s="13"/>
      <c r="F453" s="41">
        <v>223</v>
      </c>
      <c r="G453" s="41">
        <v>0</v>
      </c>
      <c r="H453" s="41"/>
      <c r="I453" s="78"/>
    </row>
    <row r="454" spans="2:9">
      <c r="B454" t="s">
        <v>239</v>
      </c>
      <c r="C454" t="s">
        <v>239</v>
      </c>
      <c r="D454" s="41"/>
      <c r="E454" s="13"/>
      <c r="F454" s="41"/>
      <c r="G454" s="41"/>
      <c r="H454" s="41">
        <v>211</v>
      </c>
      <c r="I454" s="78">
        <v>223</v>
      </c>
    </row>
    <row r="455" spans="2:9">
      <c r="B455" t="s">
        <v>240</v>
      </c>
      <c r="C455" t="s">
        <v>239</v>
      </c>
      <c r="D455" s="41">
        <v>212</v>
      </c>
      <c r="E455" s="13"/>
      <c r="F455" s="41">
        <v>224</v>
      </c>
      <c r="G455" s="41">
        <v>0</v>
      </c>
      <c r="H455" s="41"/>
      <c r="I455" s="78"/>
    </row>
    <row r="456" spans="2:9">
      <c r="B456" t="s">
        <v>239</v>
      </c>
      <c r="C456" t="s">
        <v>239</v>
      </c>
      <c r="D456" s="41"/>
      <c r="E456" s="13"/>
      <c r="F456" s="41"/>
      <c r="G456" s="41"/>
      <c r="H456" s="41">
        <v>212</v>
      </c>
      <c r="I456" s="78">
        <v>224</v>
      </c>
    </row>
    <row r="457" spans="2:9">
      <c r="B457" t="s">
        <v>240</v>
      </c>
      <c r="C457" t="s">
        <v>239</v>
      </c>
      <c r="D457" s="41">
        <v>213</v>
      </c>
      <c r="E457" s="13"/>
      <c r="F457" s="41">
        <v>225</v>
      </c>
      <c r="G457" s="41">
        <v>0</v>
      </c>
      <c r="H457" s="41"/>
      <c r="I457" s="78"/>
    </row>
    <row r="458" spans="2:9">
      <c r="B458" t="s">
        <v>239</v>
      </c>
      <c r="C458" t="s">
        <v>239</v>
      </c>
      <c r="D458" s="41"/>
      <c r="E458" s="13"/>
      <c r="F458" s="41"/>
      <c r="G458" s="41"/>
      <c r="H458" s="41">
        <v>213</v>
      </c>
      <c r="I458" s="78">
        <v>225</v>
      </c>
    </row>
    <row r="459" spans="2:9">
      <c r="B459" t="s">
        <v>240</v>
      </c>
      <c r="C459" t="s">
        <v>239</v>
      </c>
      <c r="D459" s="41">
        <v>214</v>
      </c>
      <c r="E459" s="13"/>
      <c r="F459" s="41">
        <v>226</v>
      </c>
      <c r="G459" s="41">
        <v>0</v>
      </c>
      <c r="H459" s="41"/>
      <c r="I459" s="78"/>
    </row>
    <row r="460" spans="2:9">
      <c r="B460" t="s">
        <v>239</v>
      </c>
      <c r="C460" t="s">
        <v>239</v>
      </c>
      <c r="D460" s="41"/>
      <c r="E460" s="13"/>
      <c r="F460" s="41"/>
      <c r="G460" s="41"/>
      <c r="H460" s="41">
        <v>214</v>
      </c>
      <c r="I460" s="78">
        <v>226</v>
      </c>
    </row>
    <row r="461" spans="2:9">
      <c r="B461" t="s">
        <v>240</v>
      </c>
      <c r="C461" t="s">
        <v>239</v>
      </c>
      <c r="D461" s="41">
        <v>215</v>
      </c>
      <c r="E461" s="13"/>
      <c r="F461" s="41">
        <v>227</v>
      </c>
      <c r="G461" s="41">
        <v>0</v>
      </c>
      <c r="H461" s="41"/>
      <c r="I461" s="78"/>
    </row>
    <row r="462" spans="2:9">
      <c r="B462" t="s">
        <v>239</v>
      </c>
      <c r="C462" t="s">
        <v>239</v>
      </c>
      <c r="D462" s="41"/>
      <c r="E462" s="13"/>
      <c r="F462" s="41"/>
      <c r="G462" s="41"/>
      <c r="H462" s="41">
        <v>215</v>
      </c>
      <c r="I462" s="78">
        <v>227</v>
      </c>
    </row>
    <row r="463" spans="2:9">
      <c r="B463" t="s">
        <v>240</v>
      </c>
      <c r="C463" t="s">
        <v>239</v>
      </c>
      <c r="D463" s="41">
        <v>216</v>
      </c>
      <c r="E463" s="13"/>
      <c r="F463" s="41">
        <v>228</v>
      </c>
      <c r="G463" s="41">
        <v>0</v>
      </c>
      <c r="H463" s="41"/>
      <c r="I463" s="78"/>
    </row>
    <row r="464" spans="2:9">
      <c r="B464" t="s">
        <v>239</v>
      </c>
      <c r="C464" t="s">
        <v>239</v>
      </c>
      <c r="D464" s="41"/>
      <c r="E464" s="13"/>
      <c r="F464" s="41"/>
      <c r="G464" s="41"/>
      <c r="H464" s="41">
        <v>216</v>
      </c>
      <c r="I464" s="78">
        <v>228</v>
      </c>
    </row>
    <row r="465" spans="2:9">
      <c r="B465" t="s">
        <v>240</v>
      </c>
      <c r="C465" t="s">
        <v>239</v>
      </c>
      <c r="D465" s="41">
        <v>217</v>
      </c>
      <c r="E465" s="13"/>
      <c r="F465" s="41">
        <v>229</v>
      </c>
      <c r="G465" s="41">
        <v>0</v>
      </c>
      <c r="H465" s="41"/>
      <c r="I465" s="78"/>
    </row>
    <row r="466" spans="2:9">
      <c r="B466" t="s">
        <v>239</v>
      </c>
      <c r="C466" t="s">
        <v>239</v>
      </c>
      <c r="D466" s="41"/>
      <c r="E466" s="13"/>
      <c r="F466" s="41"/>
      <c r="G466" s="41"/>
      <c r="H466" s="41">
        <v>217</v>
      </c>
      <c r="I466" s="78">
        <v>229</v>
      </c>
    </row>
    <row r="467" spans="2:9">
      <c r="B467" t="s">
        <v>240</v>
      </c>
      <c r="C467" t="s">
        <v>239</v>
      </c>
      <c r="D467" s="41">
        <v>218</v>
      </c>
      <c r="E467" s="13"/>
      <c r="F467" s="41">
        <v>230</v>
      </c>
      <c r="G467" s="41">
        <v>0</v>
      </c>
      <c r="H467" s="41"/>
      <c r="I467" s="78"/>
    </row>
    <row r="468" spans="2:9">
      <c r="B468" t="s">
        <v>239</v>
      </c>
      <c r="C468" t="s">
        <v>239</v>
      </c>
      <c r="D468" s="41"/>
      <c r="E468" s="13"/>
      <c r="F468" s="41"/>
      <c r="G468" s="41"/>
      <c r="H468" s="41">
        <v>218</v>
      </c>
      <c r="I468" s="78">
        <v>230</v>
      </c>
    </row>
    <row r="469" spans="2:9">
      <c r="B469" t="s">
        <v>240</v>
      </c>
      <c r="C469" t="s">
        <v>239</v>
      </c>
      <c r="D469" s="41">
        <v>219</v>
      </c>
      <c r="E469" s="13"/>
      <c r="F469" s="41">
        <v>231</v>
      </c>
      <c r="G469" s="41">
        <v>0</v>
      </c>
      <c r="H469" s="41"/>
      <c r="I469" s="78"/>
    </row>
    <row r="470" spans="2:9">
      <c r="B470" t="s">
        <v>239</v>
      </c>
      <c r="C470" t="s">
        <v>239</v>
      </c>
      <c r="D470" s="41"/>
      <c r="E470" s="13"/>
      <c r="F470" s="41"/>
      <c r="G470" s="41"/>
      <c r="H470" s="41">
        <v>219</v>
      </c>
      <c r="I470" s="78">
        <v>231</v>
      </c>
    </row>
    <row r="471" spans="2:9">
      <c r="B471" t="s">
        <v>240</v>
      </c>
      <c r="C471" t="s">
        <v>239</v>
      </c>
      <c r="D471" s="41">
        <v>220</v>
      </c>
      <c r="E471" s="13"/>
      <c r="F471" s="41">
        <v>232</v>
      </c>
      <c r="G471" s="41">
        <v>0</v>
      </c>
      <c r="H471" s="41"/>
      <c r="I471" s="78"/>
    </row>
    <row r="472" spans="2:9">
      <c r="B472" t="s">
        <v>239</v>
      </c>
      <c r="C472" t="s">
        <v>239</v>
      </c>
      <c r="D472" s="41"/>
      <c r="E472" s="13"/>
      <c r="F472" s="41"/>
      <c r="G472" s="41"/>
      <c r="H472" s="41">
        <v>220</v>
      </c>
      <c r="I472" s="78">
        <v>232</v>
      </c>
    </row>
    <row r="473" spans="2:9">
      <c r="B473" t="s">
        <v>240</v>
      </c>
      <c r="C473" t="s">
        <v>239</v>
      </c>
      <c r="D473" s="41">
        <v>221</v>
      </c>
      <c r="E473" s="13"/>
      <c r="F473" s="41">
        <v>233</v>
      </c>
      <c r="G473" s="41">
        <v>0</v>
      </c>
      <c r="H473" s="41"/>
      <c r="I473" s="78"/>
    </row>
    <row r="474" spans="2:9">
      <c r="B474" t="s">
        <v>239</v>
      </c>
      <c r="C474" t="s">
        <v>239</v>
      </c>
      <c r="D474" s="41"/>
      <c r="E474" s="13"/>
      <c r="F474" s="41"/>
      <c r="G474" s="41"/>
      <c r="H474" s="41">
        <v>221</v>
      </c>
      <c r="I474" s="78">
        <v>233</v>
      </c>
    </row>
    <row r="475" spans="2:9">
      <c r="B475" t="s">
        <v>240</v>
      </c>
      <c r="C475" t="s">
        <v>239</v>
      </c>
      <c r="D475" s="41">
        <v>222</v>
      </c>
      <c r="E475" s="13"/>
      <c r="F475" s="41">
        <v>234</v>
      </c>
      <c r="G475" s="41">
        <v>0</v>
      </c>
      <c r="H475" s="41"/>
      <c r="I475" s="78"/>
    </row>
    <row r="476" spans="2:9">
      <c r="B476" t="s">
        <v>239</v>
      </c>
      <c r="C476" t="s">
        <v>239</v>
      </c>
      <c r="D476" s="41"/>
      <c r="E476" s="13"/>
      <c r="F476" s="41"/>
      <c r="G476" s="41"/>
      <c r="H476" s="41">
        <v>222</v>
      </c>
      <c r="I476" s="78">
        <v>234</v>
      </c>
    </row>
    <row r="477" spans="2:9">
      <c r="B477" t="s">
        <v>240</v>
      </c>
      <c r="C477" t="s">
        <v>239</v>
      </c>
      <c r="D477" s="41">
        <v>223</v>
      </c>
      <c r="E477" s="13"/>
      <c r="F477" s="41">
        <v>235</v>
      </c>
      <c r="G477" s="41">
        <v>0</v>
      </c>
      <c r="H477" s="41"/>
      <c r="I477" s="78"/>
    </row>
    <row r="478" spans="2:9">
      <c r="B478" t="s">
        <v>239</v>
      </c>
      <c r="C478" t="s">
        <v>239</v>
      </c>
      <c r="D478" s="41"/>
      <c r="E478" s="13"/>
      <c r="F478" s="41"/>
      <c r="G478" s="41"/>
      <c r="H478" s="41">
        <v>223</v>
      </c>
      <c r="I478" s="78">
        <v>235</v>
      </c>
    </row>
    <row r="479" spans="2:9">
      <c r="B479" t="s">
        <v>240</v>
      </c>
      <c r="C479" t="s">
        <v>239</v>
      </c>
      <c r="D479" s="41">
        <v>224</v>
      </c>
      <c r="E479" s="13"/>
      <c r="F479" s="41">
        <v>236</v>
      </c>
      <c r="G479" s="41">
        <v>0</v>
      </c>
      <c r="H479" s="41"/>
      <c r="I479" s="78"/>
    </row>
    <row r="480" spans="2:9">
      <c r="B480" t="s">
        <v>239</v>
      </c>
      <c r="C480" t="s">
        <v>239</v>
      </c>
      <c r="D480" s="41"/>
      <c r="E480" s="13"/>
      <c r="F480" s="41"/>
      <c r="G480" s="41"/>
      <c r="H480" s="41">
        <v>224</v>
      </c>
      <c r="I480" s="78">
        <v>236</v>
      </c>
    </row>
    <row r="481" spans="2:9">
      <c r="B481" t="s">
        <v>240</v>
      </c>
      <c r="C481" t="s">
        <v>239</v>
      </c>
      <c r="D481" s="41">
        <v>225</v>
      </c>
      <c r="E481" s="13"/>
      <c r="F481" s="41">
        <v>237</v>
      </c>
      <c r="G481" s="41">
        <v>0</v>
      </c>
      <c r="H481" s="41"/>
      <c r="I481" s="78"/>
    </row>
    <row r="482" spans="2:9">
      <c r="B482" t="s">
        <v>239</v>
      </c>
      <c r="C482" t="s">
        <v>239</v>
      </c>
      <c r="D482" s="41"/>
      <c r="E482" s="13"/>
      <c r="F482" s="41"/>
      <c r="G482" s="41"/>
      <c r="H482" s="41">
        <v>225</v>
      </c>
      <c r="I482" s="78">
        <v>237</v>
      </c>
    </row>
    <row r="483" spans="2:9">
      <c r="B483" t="s">
        <v>240</v>
      </c>
      <c r="C483" t="s">
        <v>239</v>
      </c>
      <c r="D483" s="41">
        <v>226</v>
      </c>
      <c r="E483" s="13"/>
      <c r="F483" s="41">
        <v>238</v>
      </c>
      <c r="G483" s="41">
        <v>0</v>
      </c>
      <c r="H483" s="41"/>
      <c r="I483" s="78"/>
    </row>
    <row r="484" spans="2:9">
      <c r="B484" t="s">
        <v>239</v>
      </c>
      <c r="C484" t="s">
        <v>239</v>
      </c>
      <c r="D484" s="41"/>
      <c r="E484" s="13"/>
      <c r="F484" s="41"/>
      <c r="G484" s="41"/>
      <c r="H484" s="41">
        <v>226</v>
      </c>
      <c r="I484" s="78">
        <v>238</v>
      </c>
    </row>
    <row r="485" spans="2:9">
      <c r="B485" t="s">
        <v>240</v>
      </c>
      <c r="C485" t="s">
        <v>239</v>
      </c>
      <c r="D485" s="41">
        <v>227</v>
      </c>
      <c r="E485" s="13"/>
      <c r="F485" s="41">
        <v>239</v>
      </c>
      <c r="G485" s="41">
        <v>0</v>
      </c>
      <c r="H485" s="41"/>
      <c r="I485" s="78"/>
    </row>
    <row r="486" spans="2:9">
      <c r="B486" t="s">
        <v>239</v>
      </c>
      <c r="C486" t="s">
        <v>239</v>
      </c>
      <c r="D486" s="41"/>
      <c r="E486" s="13"/>
      <c r="F486" s="41"/>
      <c r="G486" s="41"/>
      <c r="H486" s="41">
        <v>227</v>
      </c>
      <c r="I486" s="78">
        <v>239</v>
      </c>
    </row>
    <row r="487" spans="2:9">
      <c r="B487" t="s">
        <v>240</v>
      </c>
      <c r="C487" t="s">
        <v>239</v>
      </c>
      <c r="D487" s="41">
        <v>228</v>
      </c>
      <c r="E487" s="13"/>
      <c r="F487" s="41">
        <v>240</v>
      </c>
      <c r="G487" s="41">
        <v>0</v>
      </c>
      <c r="H487" s="41"/>
      <c r="I487" s="78"/>
    </row>
    <row r="488" spans="2:9">
      <c r="B488" t="s">
        <v>239</v>
      </c>
      <c r="C488" t="s">
        <v>239</v>
      </c>
      <c r="D488" s="41"/>
      <c r="E488" s="13"/>
      <c r="F488" s="41"/>
      <c r="G488" s="41"/>
      <c r="H488" s="41">
        <v>228</v>
      </c>
      <c r="I488" s="78">
        <v>240</v>
      </c>
    </row>
    <row r="489" spans="2:9">
      <c r="B489" t="s">
        <v>240</v>
      </c>
      <c r="C489" t="s">
        <v>239</v>
      </c>
      <c r="D489" s="41">
        <v>229</v>
      </c>
      <c r="E489" s="13"/>
      <c r="F489" s="41">
        <v>241</v>
      </c>
      <c r="G489" s="41">
        <v>0</v>
      </c>
      <c r="H489" s="41"/>
      <c r="I489" s="78"/>
    </row>
    <row r="490" spans="2:9">
      <c r="B490" t="s">
        <v>239</v>
      </c>
      <c r="C490" t="s">
        <v>239</v>
      </c>
      <c r="D490" s="41"/>
      <c r="E490" s="13"/>
      <c r="F490" s="41"/>
      <c r="G490" s="41"/>
      <c r="H490" s="41">
        <v>229</v>
      </c>
      <c r="I490" s="78">
        <v>241</v>
      </c>
    </row>
    <row r="491" spans="2:9">
      <c r="B491" t="s">
        <v>240</v>
      </c>
      <c r="C491" t="s">
        <v>239</v>
      </c>
      <c r="D491" s="41">
        <v>230</v>
      </c>
      <c r="E491" s="13"/>
      <c r="F491" s="41">
        <v>242</v>
      </c>
      <c r="G491" s="41">
        <v>0</v>
      </c>
      <c r="H491" s="41"/>
      <c r="I491" s="78"/>
    </row>
    <row r="492" spans="2:9">
      <c r="B492" t="s">
        <v>239</v>
      </c>
      <c r="C492" t="s">
        <v>239</v>
      </c>
      <c r="D492" s="41"/>
      <c r="E492" s="13"/>
      <c r="F492" s="41"/>
      <c r="G492" s="41"/>
      <c r="H492" s="41">
        <v>230</v>
      </c>
      <c r="I492" s="78">
        <v>242</v>
      </c>
    </row>
    <row r="493" spans="2:9">
      <c r="B493" t="s">
        <v>240</v>
      </c>
      <c r="C493" t="s">
        <v>239</v>
      </c>
      <c r="D493" s="41">
        <v>231</v>
      </c>
      <c r="E493" s="13"/>
      <c r="F493" s="41">
        <v>243</v>
      </c>
      <c r="G493" s="41">
        <v>0</v>
      </c>
      <c r="H493" s="41"/>
      <c r="I493" s="78"/>
    </row>
    <row r="494" spans="2:9">
      <c r="B494" t="s">
        <v>239</v>
      </c>
      <c r="C494" t="s">
        <v>239</v>
      </c>
      <c r="D494" s="41"/>
      <c r="E494" s="13"/>
      <c r="F494" s="41"/>
      <c r="G494" s="41"/>
      <c r="H494" s="41">
        <v>231</v>
      </c>
      <c r="I494" s="78">
        <v>243</v>
      </c>
    </row>
    <row r="495" spans="2:9">
      <c r="B495" t="s">
        <v>240</v>
      </c>
      <c r="C495" t="s">
        <v>239</v>
      </c>
      <c r="D495" s="41">
        <v>232</v>
      </c>
      <c r="E495" s="13"/>
      <c r="F495" s="41">
        <v>244</v>
      </c>
      <c r="G495" s="41">
        <v>0</v>
      </c>
      <c r="H495" s="41"/>
      <c r="I495" s="78"/>
    </row>
    <row r="496" spans="2:9">
      <c r="B496" t="s">
        <v>239</v>
      </c>
      <c r="C496" t="s">
        <v>239</v>
      </c>
      <c r="D496" s="41"/>
      <c r="E496" s="13"/>
      <c r="F496" s="41"/>
      <c r="G496" s="41"/>
      <c r="H496" s="41">
        <v>232</v>
      </c>
      <c r="I496" s="78">
        <v>244</v>
      </c>
    </row>
    <row r="497" spans="2:9">
      <c r="B497" t="s">
        <v>240</v>
      </c>
      <c r="C497" t="s">
        <v>239</v>
      </c>
      <c r="D497" s="41">
        <v>233</v>
      </c>
      <c r="E497" s="13"/>
      <c r="F497" s="41">
        <v>245</v>
      </c>
      <c r="G497" s="41">
        <v>0</v>
      </c>
      <c r="H497" s="41"/>
      <c r="I497" s="78"/>
    </row>
    <row r="498" spans="2:9">
      <c r="B498" t="s">
        <v>239</v>
      </c>
      <c r="C498" t="s">
        <v>239</v>
      </c>
      <c r="D498" s="41"/>
      <c r="E498" s="13"/>
      <c r="F498" s="41"/>
      <c r="G498" s="41"/>
      <c r="H498" s="41">
        <v>233</v>
      </c>
      <c r="I498" s="78">
        <v>245</v>
      </c>
    </row>
    <row r="499" spans="2:9">
      <c r="B499" t="s">
        <v>240</v>
      </c>
      <c r="C499" t="s">
        <v>239</v>
      </c>
      <c r="D499" s="41">
        <v>234</v>
      </c>
      <c r="E499" s="13"/>
      <c r="F499" s="41">
        <v>246</v>
      </c>
      <c r="G499" s="41">
        <v>0</v>
      </c>
      <c r="H499" s="41"/>
      <c r="I499" s="78"/>
    </row>
    <row r="500" spans="2:9">
      <c r="B500" t="s">
        <v>239</v>
      </c>
      <c r="C500" t="s">
        <v>239</v>
      </c>
      <c r="D500" s="41"/>
      <c r="E500" s="13"/>
      <c r="F500" s="41"/>
      <c r="G500" s="41"/>
      <c r="H500" s="41">
        <v>234</v>
      </c>
      <c r="I500" s="78">
        <v>246</v>
      </c>
    </row>
    <row r="501" spans="2:9">
      <c r="B501" t="s">
        <v>240</v>
      </c>
      <c r="C501" t="s">
        <v>239</v>
      </c>
      <c r="D501" s="41">
        <v>235</v>
      </c>
      <c r="E501" s="13"/>
      <c r="F501" s="41">
        <v>247</v>
      </c>
      <c r="G501" s="41">
        <v>0</v>
      </c>
      <c r="H501" s="41"/>
      <c r="I501" s="78"/>
    </row>
    <row r="502" spans="2:9">
      <c r="B502" t="s">
        <v>239</v>
      </c>
      <c r="C502" t="s">
        <v>239</v>
      </c>
      <c r="D502" s="41"/>
      <c r="E502" s="13"/>
      <c r="F502" s="41"/>
      <c r="G502" s="41"/>
      <c r="H502" s="41">
        <v>235</v>
      </c>
      <c r="I502" s="78">
        <v>247</v>
      </c>
    </row>
    <row r="503" spans="2:9">
      <c r="B503" t="s">
        <v>240</v>
      </c>
      <c r="C503" t="s">
        <v>239</v>
      </c>
      <c r="D503" s="41">
        <v>236</v>
      </c>
      <c r="E503" s="13"/>
      <c r="F503" s="41">
        <v>248</v>
      </c>
      <c r="G503" s="41">
        <v>0</v>
      </c>
      <c r="H503" s="41"/>
      <c r="I503" s="78"/>
    </row>
    <row r="504" spans="2:9">
      <c r="B504" t="s">
        <v>239</v>
      </c>
      <c r="C504" t="s">
        <v>239</v>
      </c>
      <c r="D504" s="41"/>
      <c r="E504" s="13"/>
      <c r="F504" s="41"/>
      <c r="G504" s="41"/>
      <c r="H504" s="41">
        <v>236</v>
      </c>
      <c r="I504" s="78">
        <v>248</v>
      </c>
    </row>
    <row r="505" spans="2:9">
      <c r="B505" t="s">
        <v>240</v>
      </c>
      <c r="C505" t="s">
        <v>239</v>
      </c>
      <c r="D505" s="41">
        <v>237</v>
      </c>
      <c r="E505" s="13"/>
      <c r="F505" s="41">
        <v>249</v>
      </c>
      <c r="G505" s="41">
        <v>0</v>
      </c>
      <c r="H505" s="41"/>
      <c r="I505" s="78"/>
    </row>
    <row r="506" spans="2:9">
      <c r="B506" t="s">
        <v>239</v>
      </c>
      <c r="C506" t="s">
        <v>239</v>
      </c>
      <c r="D506" s="41"/>
      <c r="E506" s="13"/>
      <c r="F506" s="41"/>
      <c r="G506" s="41"/>
      <c r="H506" s="41">
        <v>237</v>
      </c>
      <c r="I506" s="78">
        <v>249</v>
      </c>
    </row>
    <row r="507" spans="2:9">
      <c r="B507" t="s">
        <v>240</v>
      </c>
      <c r="C507" t="s">
        <v>239</v>
      </c>
      <c r="D507" s="41">
        <v>238</v>
      </c>
      <c r="E507" s="13"/>
      <c r="F507" s="41">
        <v>250</v>
      </c>
      <c r="G507" s="41">
        <v>0</v>
      </c>
      <c r="H507" s="41"/>
      <c r="I507" s="78"/>
    </row>
    <row r="508" spans="2:9">
      <c r="B508" t="s">
        <v>239</v>
      </c>
      <c r="C508" t="s">
        <v>239</v>
      </c>
      <c r="D508" s="41"/>
      <c r="E508" s="13"/>
      <c r="F508" s="41"/>
      <c r="G508" s="41"/>
      <c r="H508" s="41">
        <v>238</v>
      </c>
      <c r="I508" s="78">
        <v>250</v>
      </c>
    </row>
    <row r="509" spans="2:9">
      <c r="B509" t="s">
        <v>240</v>
      </c>
      <c r="C509" t="s">
        <v>239</v>
      </c>
      <c r="D509" s="41">
        <v>239</v>
      </c>
      <c r="E509" s="13"/>
      <c r="F509" s="41">
        <v>251</v>
      </c>
      <c r="G509" s="41">
        <v>0</v>
      </c>
      <c r="H509" s="41"/>
      <c r="I509" s="78"/>
    </row>
    <row r="510" spans="2:9">
      <c r="B510" t="s">
        <v>239</v>
      </c>
      <c r="C510" t="s">
        <v>239</v>
      </c>
      <c r="D510" s="41"/>
      <c r="E510" s="13"/>
      <c r="F510" s="41"/>
      <c r="G510" s="41"/>
      <c r="H510" s="41">
        <v>239</v>
      </c>
      <c r="I510" s="78">
        <v>251</v>
      </c>
    </row>
    <row r="511" spans="2:9">
      <c r="B511" t="s">
        <v>240</v>
      </c>
      <c r="C511" t="s">
        <v>239</v>
      </c>
      <c r="D511" s="41">
        <v>240</v>
      </c>
      <c r="E511" s="13"/>
      <c r="F511" s="41">
        <v>252</v>
      </c>
      <c r="G511" s="41">
        <v>0</v>
      </c>
      <c r="H511" s="41"/>
      <c r="I511" s="78"/>
    </row>
    <row r="512" spans="2:9">
      <c r="B512" t="s">
        <v>239</v>
      </c>
      <c r="C512" t="s">
        <v>239</v>
      </c>
      <c r="D512" s="41"/>
      <c r="E512" s="13"/>
      <c r="F512" s="41"/>
      <c r="G512" s="41"/>
      <c r="H512" s="41">
        <v>240</v>
      </c>
      <c r="I512" s="78">
        <v>252</v>
      </c>
    </row>
    <row r="513" spans="2:9">
      <c r="B513" t="s">
        <v>240</v>
      </c>
      <c r="C513" t="s">
        <v>239</v>
      </c>
      <c r="D513" s="41">
        <v>241</v>
      </c>
      <c r="E513" s="13"/>
      <c r="F513" s="41">
        <v>253</v>
      </c>
      <c r="G513" s="41">
        <v>0</v>
      </c>
      <c r="H513" s="41"/>
      <c r="I513" s="78"/>
    </row>
    <row r="514" spans="2:9">
      <c r="B514" t="s">
        <v>239</v>
      </c>
      <c r="C514" t="s">
        <v>239</v>
      </c>
      <c r="D514" s="41"/>
      <c r="E514" s="13"/>
      <c r="F514" s="41"/>
      <c r="G514" s="41"/>
      <c r="H514" s="41">
        <v>241</v>
      </c>
      <c r="I514" s="78">
        <v>253</v>
      </c>
    </row>
    <row r="515" spans="2:9">
      <c r="B515" t="s">
        <v>240</v>
      </c>
      <c r="C515" t="s">
        <v>239</v>
      </c>
      <c r="D515" s="41">
        <v>242</v>
      </c>
      <c r="E515" s="13"/>
      <c r="F515" s="41">
        <v>254</v>
      </c>
      <c r="G515" s="41">
        <v>0</v>
      </c>
      <c r="H515" s="41"/>
      <c r="I515" s="78"/>
    </row>
    <row r="516" spans="2:9">
      <c r="B516" t="s">
        <v>239</v>
      </c>
      <c r="C516" t="s">
        <v>239</v>
      </c>
      <c r="D516" s="41"/>
      <c r="E516" s="13"/>
      <c r="F516" s="41"/>
      <c r="G516" s="41"/>
      <c r="H516" s="41">
        <v>242</v>
      </c>
      <c r="I516" s="78">
        <v>254</v>
      </c>
    </row>
    <row r="517" spans="2:9">
      <c r="B517" t="s">
        <v>240</v>
      </c>
      <c r="C517" t="s">
        <v>239</v>
      </c>
      <c r="D517" s="41">
        <v>243</v>
      </c>
      <c r="E517" s="13"/>
      <c r="F517" s="41">
        <v>255</v>
      </c>
      <c r="G517" s="41">
        <v>0</v>
      </c>
      <c r="H517" s="41"/>
      <c r="I517" s="78"/>
    </row>
    <row r="518" spans="2:9">
      <c r="B518" t="s">
        <v>239</v>
      </c>
      <c r="C518" t="s">
        <v>239</v>
      </c>
      <c r="D518" s="41"/>
      <c r="E518" s="13"/>
      <c r="F518" s="41"/>
      <c r="G518" s="41"/>
      <c r="H518" s="41">
        <v>243</v>
      </c>
      <c r="I518" s="78">
        <v>255</v>
      </c>
    </row>
    <row r="519" spans="2:9">
      <c r="B519" t="s">
        <v>240</v>
      </c>
      <c r="C519" t="s">
        <v>239</v>
      </c>
      <c r="D519" s="41">
        <v>244</v>
      </c>
      <c r="E519" s="13"/>
      <c r="F519" s="41">
        <v>256</v>
      </c>
      <c r="G519" s="41">
        <v>0</v>
      </c>
      <c r="H519" s="41"/>
      <c r="I519" s="78"/>
    </row>
    <row r="520" spans="2:9">
      <c r="B520" t="s">
        <v>239</v>
      </c>
      <c r="C520" t="s">
        <v>239</v>
      </c>
      <c r="D520" s="41"/>
      <c r="E520" s="13"/>
      <c r="F520" s="41"/>
      <c r="G520" s="41"/>
      <c r="H520" s="41">
        <v>244</v>
      </c>
      <c r="I520" s="78">
        <v>256</v>
      </c>
    </row>
    <row r="521" spans="2:9">
      <c r="B521" t="s">
        <v>240</v>
      </c>
      <c r="C521" t="s">
        <v>239</v>
      </c>
      <c r="D521" s="41">
        <v>245</v>
      </c>
      <c r="E521" s="13"/>
      <c r="F521" s="41">
        <v>257</v>
      </c>
      <c r="G521" s="41">
        <v>0</v>
      </c>
      <c r="H521" s="41"/>
      <c r="I521" s="78"/>
    </row>
    <row r="522" spans="2:9">
      <c r="B522" t="s">
        <v>239</v>
      </c>
      <c r="C522" t="s">
        <v>239</v>
      </c>
      <c r="D522" s="41"/>
      <c r="E522" s="13"/>
      <c r="F522" s="41"/>
      <c r="G522" s="41"/>
      <c r="H522" s="41">
        <v>245</v>
      </c>
      <c r="I522" s="78">
        <v>257</v>
      </c>
    </row>
    <row r="523" spans="2:9">
      <c r="B523" t="s">
        <v>240</v>
      </c>
      <c r="C523" t="s">
        <v>239</v>
      </c>
      <c r="D523" s="41">
        <v>246</v>
      </c>
      <c r="E523" s="13"/>
      <c r="F523" s="41">
        <v>258</v>
      </c>
      <c r="G523" s="41">
        <v>0</v>
      </c>
      <c r="H523" s="41"/>
      <c r="I523" s="78"/>
    </row>
    <row r="524" spans="2:9">
      <c r="B524" t="s">
        <v>239</v>
      </c>
      <c r="C524" t="s">
        <v>239</v>
      </c>
      <c r="D524" s="41"/>
      <c r="E524" s="13"/>
      <c r="F524" s="41"/>
      <c r="G524" s="41"/>
      <c r="H524" s="41">
        <v>246</v>
      </c>
      <c r="I524" s="78">
        <v>258</v>
      </c>
    </row>
    <row r="525" spans="2:9">
      <c r="B525" t="s">
        <v>240</v>
      </c>
      <c r="C525" t="s">
        <v>239</v>
      </c>
      <c r="D525" s="41">
        <v>247</v>
      </c>
      <c r="E525" s="13"/>
      <c r="F525" s="41">
        <v>259</v>
      </c>
      <c r="G525" s="41">
        <v>0</v>
      </c>
      <c r="H525" s="41"/>
      <c r="I525" s="78"/>
    </row>
    <row r="526" spans="2:9">
      <c r="B526" t="s">
        <v>239</v>
      </c>
      <c r="C526" t="s">
        <v>239</v>
      </c>
      <c r="D526" s="41"/>
      <c r="E526" s="13"/>
      <c r="F526" s="41"/>
      <c r="G526" s="41"/>
      <c r="H526" s="41">
        <v>247</v>
      </c>
      <c r="I526" s="78">
        <v>259</v>
      </c>
    </row>
    <row r="527" spans="2:9">
      <c r="B527" t="s">
        <v>240</v>
      </c>
      <c r="C527" t="s">
        <v>239</v>
      </c>
      <c r="D527" s="41">
        <v>248</v>
      </c>
      <c r="E527" s="13"/>
      <c r="F527" s="41">
        <v>260</v>
      </c>
      <c r="G527" s="41">
        <v>0</v>
      </c>
      <c r="H527" s="41"/>
      <c r="I527" s="78"/>
    </row>
    <row r="528" spans="2:9">
      <c r="B528" t="s">
        <v>239</v>
      </c>
      <c r="C528" t="s">
        <v>239</v>
      </c>
      <c r="D528" s="41"/>
      <c r="E528" s="13"/>
      <c r="F528" s="41"/>
      <c r="G528" s="41"/>
      <c r="H528" s="41">
        <v>248</v>
      </c>
      <c r="I528" s="78">
        <v>260</v>
      </c>
    </row>
    <row r="529" spans="2:10">
      <c r="B529" t="s">
        <v>240</v>
      </c>
      <c r="C529" t="s">
        <v>239</v>
      </c>
      <c r="D529" s="41">
        <v>249</v>
      </c>
      <c r="E529" s="13"/>
      <c r="F529" s="41">
        <v>261</v>
      </c>
      <c r="G529" s="41">
        <v>0</v>
      </c>
      <c r="H529" s="41"/>
      <c r="I529" s="78"/>
    </row>
    <row r="530" spans="2:10">
      <c r="B530" t="s">
        <v>239</v>
      </c>
      <c r="C530" t="s">
        <v>239</v>
      </c>
      <c r="D530" s="41"/>
      <c r="E530" s="13"/>
      <c r="F530" s="41"/>
      <c r="G530" s="41"/>
      <c r="H530" s="41">
        <v>249</v>
      </c>
      <c r="I530" s="78">
        <v>261</v>
      </c>
    </row>
    <row r="531" spans="2:10">
      <c r="B531" t="s">
        <v>240</v>
      </c>
      <c r="C531" t="s">
        <v>239</v>
      </c>
      <c r="D531" s="41">
        <v>250</v>
      </c>
      <c r="E531" s="13"/>
      <c r="F531" s="41">
        <v>262</v>
      </c>
      <c r="G531" s="41">
        <v>0</v>
      </c>
      <c r="H531" s="41"/>
      <c r="I531" s="78"/>
    </row>
    <row r="532" spans="2:10">
      <c r="B532" t="s">
        <v>239</v>
      </c>
      <c r="C532" t="s">
        <v>239</v>
      </c>
      <c r="D532" s="41"/>
      <c r="E532" s="13"/>
      <c r="F532" s="41"/>
      <c r="G532" s="41"/>
      <c r="H532" s="41">
        <v>250</v>
      </c>
      <c r="I532" s="78">
        <v>262</v>
      </c>
    </row>
    <row r="533" spans="2:10">
      <c r="B533" t="s">
        <v>240</v>
      </c>
      <c r="C533" t="s">
        <v>239</v>
      </c>
      <c r="D533" s="41">
        <v>251</v>
      </c>
      <c r="E533" s="13"/>
      <c r="F533" s="41">
        <v>263</v>
      </c>
      <c r="G533" s="41">
        <v>0</v>
      </c>
      <c r="H533" s="41"/>
      <c r="I533" s="78"/>
    </row>
    <row r="534" spans="2:10">
      <c r="B534" t="s">
        <v>239</v>
      </c>
      <c r="C534" t="s">
        <v>239</v>
      </c>
      <c r="D534" s="41"/>
      <c r="E534" s="13"/>
      <c r="F534" s="41"/>
      <c r="G534" s="41"/>
      <c r="H534" s="41">
        <v>251</v>
      </c>
      <c r="I534" s="78">
        <v>263</v>
      </c>
    </row>
    <row r="535" spans="2:10">
      <c r="B535" t="s">
        <v>240</v>
      </c>
      <c r="C535" t="s">
        <v>239</v>
      </c>
      <c r="D535" s="41">
        <v>252</v>
      </c>
      <c r="E535" s="13"/>
      <c r="F535" s="41">
        <v>264</v>
      </c>
      <c r="G535" s="41">
        <v>0</v>
      </c>
      <c r="H535" s="41"/>
      <c r="I535" s="78"/>
    </row>
    <row r="536" spans="2:10">
      <c r="B536" t="s">
        <v>239</v>
      </c>
      <c r="C536" t="s">
        <v>239</v>
      </c>
      <c r="D536" s="41"/>
      <c r="E536" s="13"/>
      <c r="F536" s="41"/>
      <c r="G536" s="41"/>
      <c r="H536" s="41">
        <v>252</v>
      </c>
      <c r="I536" s="78">
        <v>264</v>
      </c>
    </row>
    <row r="537" spans="2:10">
      <c r="B537" t="s">
        <v>240</v>
      </c>
      <c r="C537" t="s">
        <v>239</v>
      </c>
      <c r="D537" s="41">
        <v>253</v>
      </c>
      <c r="E537" s="13"/>
      <c r="F537" s="41">
        <v>265</v>
      </c>
      <c r="G537" s="41">
        <v>0</v>
      </c>
      <c r="H537" s="41"/>
      <c r="I537" s="78"/>
    </row>
    <row r="538" spans="2:10">
      <c r="B538" t="s">
        <v>239</v>
      </c>
      <c r="C538" t="s">
        <v>239</v>
      </c>
      <c r="D538" s="41"/>
      <c r="E538" s="13"/>
      <c r="F538" s="41"/>
      <c r="G538" s="41"/>
      <c r="H538" s="41">
        <v>253</v>
      </c>
      <c r="I538" s="78">
        <v>265</v>
      </c>
    </row>
    <row r="539" spans="2:10">
      <c r="B539" t="s">
        <v>240</v>
      </c>
      <c r="C539" t="s">
        <v>239</v>
      </c>
      <c r="D539" s="41">
        <v>254</v>
      </c>
      <c r="E539" s="13"/>
      <c r="F539" s="41">
        <v>266</v>
      </c>
      <c r="G539" s="41">
        <v>0</v>
      </c>
      <c r="H539" s="41"/>
      <c r="I539" s="78"/>
    </row>
    <row r="540" spans="2:10">
      <c r="B540" t="s">
        <v>239</v>
      </c>
      <c r="C540" t="s">
        <v>239</v>
      </c>
      <c r="D540" s="41"/>
      <c r="E540" s="13"/>
      <c r="F540" s="41"/>
      <c r="G540" s="41"/>
      <c r="H540" s="41">
        <v>254</v>
      </c>
      <c r="I540" s="78">
        <v>266</v>
      </c>
    </row>
    <row r="541" spans="2:10">
      <c r="B541" t="s">
        <v>240</v>
      </c>
      <c r="C541" t="s">
        <v>239</v>
      </c>
      <c r="D541" s="41">
        <v>255</v>
      </c>
      <c r="E541" s="13"/>
      <c r="F541" s="41">
        <v>267</v>
      </c>
      <c r="G541" s="41">
        <v>0</v>
      </c>
      <c r="H541" s="41"/>
      <c r="I541" s="78"/>
    </row>
    <row r="542" spans="2:10">
      <c r="B542" t="s">
        <v>239</v>
      </c>
      <c r="C542" t="s">
        <v>239</v>
      </c>
      <c r="D542" s="41"/>
      <c r="E542" s="13"/>
      <c r="F542" s="41"/>
      <c r="G542" s="41"/>
      <c r="H542" s="41">
        <v>255</v>
      </c>
      <c r="I542" s="78">
        <v>267</v>
      </c>
    </row>
    <row r="543" spans="2:10">
      <c r="B543" t="s">
        <v>240</v>
      </c>
      <c r="C543" t="s">
        <v>239</v>
      </c>
      <c r="D543" s="41">
        <v>256</v>
      </c>
      <c r="E543" s="13"/>
      <c r="F543" s="41">
        <v>268</v>
      </c>
      <c r="G543" s="41" t="s">
        <v>306</v>
      </c>
      <c r="H543" s="41"/>
      <c r="I543" s="78"/>
    </row>
    <row r="544" spans="2:10">
      <c r="B544" t="s">
        <v>239</v>
      </c>
      <c r="C544" t="s">
        <v>239</v>
      </c>
      <c r="D544" s="41"/>
      <c r="E544" s="13"/>
      <c r="F544" s="41"/>
      <c r="G544" s="41"/>
      <c r="H544" s="41">
        <v>256</v>
      </c>
      <c r="I544" s="78">
        <v>268</v>
      </c>
      <c r="J544" s="41" t="s">
        <v>307</v>
      </c>
    </row>
    <row r="545" spans="2:10">
      <c r="B545" t="s">
        <v>240</v>
      </c>
      <c r="C545" t="s">
        <v>239</v>
      </c>
      <c r="D545" s="41">
        <v>257</v>
      </c>
      <c r="E545" s="13"/>
      <c r="F545" s="41">
        <v>269</v>
      </c>
      <c r="G545" s="41" t="s">
        <v>308</v>
      </c>
      <c r="H545" s="41"/>
      <c r="I545" s="78"/>
      <c r="J545" s="41"/>
    </row>
    <row r="546" spans="2:10">
      <c r="B546" t="s">
        <v>239</v>
      </c>
      <c r="C546" t="s">
        <v>239</v>
      </c>
      <c r="D546" s="41"/>
      <c r="E546" s="13"/>
      <c r="F546" s="41"/>
      <c r="G546" s="41"/>
      <c r="H546" s="41">
        <v>257</v>
      </c>
      <c r="I546" s="78">
        <v>269</v>
      </c>
      <c r="J546" s="41" t="s">
        <v>309</v>
      </c>
    </row>
    <row r="547" spans="2:10">
      <c r="B547" t="s">
        <v>240</v>
      </c>
      <c r="C547" t="s">
        <v>239</v>
      </c>
      <c r="D547" s="41">
        <v>258</v>
      </c>
      <c r="E547" s="13"/>
      <c r="F547" s="41">
        <v>270</v>
      </c>
      <c r="G547" s="41" t="s">
        <v>310</v>
      </c>
      <c r="H547" s="41"/>
      <c r="I547" s="78"/>
      <c r="J547" s="41"/>
    </row>
    <row r="548" spans="2:10">
      <c r="B548" t="s">
        <v>239</v>
      </c>
      <c r="C548" t="s">
        <v>239</v>
      </c>
      <c r="D548" s="41"/>
      <c r="E548" s="13"/>
      <c r="F548" s="41"/>
      <c r="G548" s="41"/>
      <c r="H548" s="41">
        <v>258</v>
      </c>
      <c r="I548" s="78">
        <v>270</v>
      </c>
      <c r="J548" s="41" t="s">
        <v>311</v>
      </c>
    </row>
    <row r="549" spans="2:10">
      <c r="B549" t="s">
        <v>240</v>
      </c>
      <c r="C549" t="s">
        <v>239</v>
      </c>
      <c r="D549" s="41">
        <v>259</v>
      </c>
      <c r="E549" s="13"/>
      <c r="F549" s="41">
        <v>271</v>
      </c>
      <c r="G549" s="41" t="s">
        <v>312</v>
      </c>
      <c r="H549" s="41"/>
      <c r="I549" s="78"/>
      <c r="J549" s="41"/>
    </row>
    <row r="550" spans="2:10">
      <c r="B550" t="s">
        <v>239</v>
      </c>
      <c r="C550" t="s">
        <v>239</v>
      </c>
      <c r="D550" s="41"/>
      <c r="E550" s="13"/>
      <c r="F550" s="41"/>
      <c r="G550" s="41"/>
      <c r="H550" s="41">
        <v>259</v>
      </c>
      <c r="I550" s="78">
        <v>271</v>
      </c>
      <c r="J550" s="41" t="s">
        <v>313</v>
      </c>
    </row>
    <row r="551" spans="2:10">
      <c r="B551" t="s">
        <v>240</v>
      </c>
      <c r="C551" t="s">
        <v>239</v>
      </c>
      <c r="D551" s="41">
        <v>260</v>
      </c>
      <c r="E551" s="13"/>
      <c r="F551" s="41">
        <v>272</v>
      </c>
      <c r="G551" s="41" t="s">
        <v>314</v>
      </c>
      <c r="H551" s="41"/>
      <c r="I551" s="78"/>
      <c r="J551" s="41"/>
    </row>
    <row r="552" spans="2:10">
      <c r="B552" t="s">
        <v>239</v>
      </c>
      <c r="C552" t="s">
        <v>239</v>
      </c>
      <c r="D552" s="41"/>
      <c r="E552" s="13"/>
      <c r="F552" s="41"/>
      <c r="G552" s="41"/>
      <c r="H552" s="41">
        <v>260</v>
      </c>
      <c r="I552" s="78">
        <v>272</v>
      </c>
      <c r="J552" s="41" t="s">
        <v>315</v>
      </c>
    </row>
    <row r="553" spans="2:10">
      <c r="B553" t="s">
        <v>240</v>
      </c>
      <c r="C553" t="s">
        <v>239</v>
      </c>
      <c r="D553" s="41">
        <v>261</v>
      </c>
      <c r="E553" s="13"/>
      <c r="F553" s="41">
        <v>273</v>
      </c>
      <c r="G553" s="41" t="s">
        <v>316</v>
      </c>
      <c r="H553" s="41"/>
      <c r="I553" s="78"/>
      <c r="J553" s="41"/>
    </row>
    <row r="554" spans="2:10">
      <c r="B554" t="s">
        <v>239</v>
      </c>
      <c r="C554" t="s">
        <v>239</v>
      </c>
      <c r="D554" s="41"/>
      <c r="E554" s="13"/>
      <c r="F554" s="41"/>
      <c r="G554" s="41"/>
      <c r="H554" s="41">
        <v>261</v>
      </c>
      <c r="I554" s="78">
        <v>273</v>
      </c>
      <c r="J554" s="41" t="s">
        <v>317</v>
      </c>
    </row>
    <row r="555" spans="2:10">
      <c r="B555" t="s">
        <v>240</v>
      </c>
      <c r="C555" t="s">
        <v>239</v>
      </c>
      <c r="D555" s="41">
        <v>262</v>
      </c>
      <c r="E555" s="13"/>
      <c r="F555" s="41">
        <v>274</v>
      </c>
      <c r="G555" s="41" t="s">
        <v>318</v>
      </c>
      <c r="H555" s="41"/>
      <c r="I555" s="78"/>
      <c r="J555" s="41"/>
    </row>
    <row r="556" spans="2:10">
      <c r="B556" t="s">
        <v>239</v>
      </c>
      <c r="C556" t="s">
        <v>239</v>
      </c>
      <c r="D556" s="41"/>
      <c r="E556" s="13"/>
      <c r="F556" s="41"/>
      <c r="G556" s="41"/>
      <c r="H556" s="41">
        <v>262</v>
      </c>
      <c r="I556" s="78">
        <v>274</v>
      </c>
      <c r="J556" s="41" t="s">
        <v>319</v>
      </c>
    </row>
    <row r="557" spans="2:10">
      <c r="B557" t="s">
        <v>240</v>
      </c>
      <c r="C557" t="s">
        <v>239</v>
      </c>
      <c r="D557" s="41">
        <v>263</v>
      </c>
      <c r="E557" s="13"/>
      <c r="F557" s="41">
        <v>275</v>
      </c>
      <c r="G557" s="41" t="s">
        <v>320</v>
      </c>
      <c r="H557" s="41"/>
      <c r="I557" s="78"/>
      <c r="J557" s="41"/>
    </row>
    <row r="558" spans="2:10">
      <c r="B558" t="s">
        <v>239</v>
      </c>
      <c r="C558" t="s">
        <v>239</v>
      </c>
      <c r="D558" s="41"/>
      <c r="E558" s="13"/>
      <c r="F558" s="41"/>
      <c r="G558" s="41"/>
      <c r="H558" s="41">
        <v>263</v>
      </c>
      <c r="I558" s="78">
        <v>275</v>
      </c>
      <c r="J558" s="41" t="s">
        <v>321</v>
      </c>
    </row>
    <row r="559" spans="2:10">
      <c r="D559" s="41"/>
      <c r="E559" s="13"/>
      <c r="H559" s="41"/>
      <c r="I559" s="78"/>
      <c r="J559" s="41"/>
    </row>
    <row r="560" spans="2:10">
      <c r="D560" s="41"/>
      <c r="E560" s="13"/>
    </row>
  </sheetData>
  <mergeCells count="1399">
    <mergeCell ref="H558:H559"/>
    <mergeCell ref="I558:I559"/>
    <mergeCell ref="J558:J559"/>
    <mergeCell ref="D559:D560"/>
    <mergeCell ref="J554:J555"/>
    <mergeCell ref="D555:D556"/>
    <mergeCell ref="F555:F556"/>
    <mergeCell ref="G555:G556"/>
    <mergeCell ref="H556:H557"/>
    <mergeCell ref="I556:I557"/>
    <mergeCell ref="J556:J557"/>
    <mergeCell ref="D557:D558"/>
    <mergeCell ref="F557:F558"/>
    <mergeCell ref="G557:G558"/>
    <mergeCell ref="F551:F552"/>
    <mergeCell ref="G551:G552"/>
    <mergeCell ref="H552:H553"/>
    <mergeCell ref="I552:I553"/>
    <mergeCell ref="J552:J553"/>
    <mergeCell ref="D553:D554"/>
    <mergeCell ref="F553:F554"/>
    <mergeCell ref="G553:G554"/>
    <mergeCell ref="H554:H555"/>
    <mergeCell ref="I554:I555"/>
    <mergeCell ref="H548:H549"/>
    <mergeCell ref="I548:I549"/>
    <mergeCell ref="J548:J549"/>
    <mergeCell ref="D549:D550"/>
    <mergeCell ref="F549:F550"/>
    <mergeCell ref="G549:G550"/>
    <mergeCell ref="H550:H551"/>
    <mergeCell ref="I550:I551"/>
    <mergeCell ref="J550:J551"/>
    <mergeCell ref="D551:D552"/>
    <mergeCell ref="J544:J545"/>
    <mergeCell ref="D545:D546"/>
    <mergeCell ref="F545:F546"/>
    <mergeCell ref="G545:G546"/>
    <mergeCell ref="H546:H547"/>
    <mergeCell ref="I546:I547"/>
    <mergeCell ref="J546:J547"/>
    <mergeCell ref="D547:D548"/>
    <mergeCell ref="F547:F548"/>
    <mergeCell ref="G547:G548"/>
    <mergeCell ref="I542:I543"/>
    <mergeCell ref="D543:D544"/>
    <mergeCell ref="F543:F544"/>
    <mergeCell ref="G543:G544"/>
    <mergeCell ref="H544:H545"/>
    <mergeCell ref="I544:I545"/>
    <mergeCell ref="I538:I539"/>
    <mergeCell ref="D539:D540"/>
    <mergeCell ref="F539:F540"/>
    <mergeCell ref="G539:G540"/>
    <mergeCell ref="H540:H541"/>
    <mergeCell ref="I540:I541"/>
    <mergeCell ref="D541:D542"/>
    <mergeCell ref="F541:F542"/>
    <mergeCell ref="G541:G542"/>
    <mergeCell ref="H542:H543"/>
    <mergeCell ref="I534:I535"/>
    <mergeCell ref="D535:D536"/>
    <mergeCell ref="F535:F536"/>
    <mergeCell ref="G535:G536"/>
    <mergeCell ref="H536:H537"/>
    <mergeCell ref="I536:I537"/>
    <mergeCell ref="D537:D538"/>
    <mergeCell ref="F537:F538"/>
    <mergeCell ref="G537:G538"/>
    <mergeCell ref="H538:H539"/>
    <mergeCell ref="I530:I531"/>
    <mergeCell ref="D531:D532"/>
    <mergeCell ref="F531:F532"/>
    <mergeCell ref="G531:G532"/>
    <mergeCell ref="H532:H533"/>
    <mergeCell ref="I532:I533"/>
    <mergeCell ref="D533:D534"/>
    <mergeCell ref="F533:F534"/>
    <mergeCell ref="G533:G534"/>
    <mergeCell ref="H534:H535"/>
    <mergeCell ref="I526:I527"/>
    <mergeCell ref="D527:D528"/>
    <mergeCell ref="F527:F528"/>
    <mergeCell ref="G527:G528"/>
    <mergeCell ref="H528:H529"/>
    <mergeCell ref="I528:I529"/>
    <mergeCell ref="D529:D530"/>
    <mergeCell ref="F529:F530"/>
    <mergeCell ref="G529:G530"/>
    <mergeCell ref="H530:H531"/>
    <mergeCell ref="I522:I523"/>
    <mergeCell ref="D523:D524"/>
    <mergeCell ref="F523:F524"/>
    <mergeCell ref="G523:G524"/>
    <mergeCell ref="H524:H525"/>
    <mergeCell ref="I524:I525"/>
    <mergeCell ref="D525:D526"/>
    <mergeCell ref="F525:F526"/>
    <mergeCell ref="G525:G526"/>
    <mergeCell ref="H526:H527"/>
    <mergeCell ref="I518:I519"/>
    <mergeCell ref="D519:D520"/>
    <mergeCell ref="F519:F520"/>
    <mergeCell ref="G519:G520"/>
    <mergeCell ref="H520:H521"/>
    <mergeCell ref="I520:I521"/>
    <mergeCell ref="D521:D522"/>
    <mergeCell ref="F521:F522"/>
    <mergeCell ref="G521:G522"/>
    <mergeCell ref="H522:H523"/>
    <mergeCell ref="I514:I515"/>
    <mergeCell ref="D515:D516"/>
    <mergeCell ref="F515:F516"/>
    <mergeCell ref="G515:G516"/>
    <mergeCell ref="H516:H517"/>
    <mergeCell ref="I516:I517"/>
    <mergeCell ref="D517:D518"/>
    <mergeCell ref="F517:F518"/>
    <mergeCell ref="G517:G518"/>
    <mergeCell ref="H518:H519"/>
    <mergeCell ref="I510:I511"/>
    <mergeCell ref="D511:D512"/>
    <mergeCell ref="F511:F512"/>
    <mergeCell ref="G511:G512"/>
    <mergeCell ref="H512:H513"/>
    <mergeCell ref="I512:I513"/>
    <mergeCell ref="D513:D514"/>
    <mergeCell ref="F513:F514"/>
    <mergeCell ref="G513:G514"/>
    <mergeCell ref="H514:H515"/>
    <mergeCell ref="I506:I507"/>
    <mergeCell ref="D507:D508"/>
    <mergeCell ref="F507:F508"/>
    <mergeCell ref="G507:G508"/>
    <mergeCell ref="H508:H509"/>
    <mergeCell ref="I508:I509"/>
    <mergeCell ref="D509:D510"/>
    <mergeCell ref="F509:F510"/>
    <mergeCell ref="G509:G510"/>
    <mergeCell ref="H510:H511"/>
    <mergeCell ref="I502:I503"/>
    <mergeCell ref="D503:D504"/>
    <mergeCell ref="F503:F504"/>
    <mergeCell ref="G503:G504"/>
    <mergeCell ref="H504:H505"/>
    <mergeCell ref="I504:I505"/>
    <mergeCell ref="D505:D506"/>
    <mergeCell ref="F505:F506"/>
    <mergeCell ref="G505:G506"/>
    <mergeCell ref="H506:H507"/>
    <mergeCell ref="I498:I499"/>
    <mergeCell ref="D499:D500"/>
    <mergeCell ref="F499:F500"/>
    <mergeCell ref="G499:G500"/>
    <mergeCell ref="H500:H501"/>
    <mergeCell ref="I500:I501"/>
    <mergeCell ref="D501:D502"/>
    <mergeCell ref="F501:F502"/>
    <mergeCell ref="G501:G502"/>
    <mergeCell ref="H502:H503"/>
    <mergeCell ref="I494:I495"/>
    <mergeCell ref="D495:D496"/>
    <mergeCell ref="F495:F496"/>
    <mergeCell ref="G495:G496"/>
    <mergeCell ref="H496:H497"/>
    <mergeCell ref="I496:I497"/>
    <mergeCell ref="D497:D498"/>
    <mergeCell ref="F497:F498"/>
    <mergeCell ref="G497:G498"/>
    <mergeCell ref="H498:H499"/>
    <mergeCell ref="I490:I491"/>
    <mergeCell ref="D491:D492"/>
    <mergeCell ref="F491:F492"/>
    <mergeCell ref="G491:G492"/>
    <mergeCell ref="H492:H493"/>
    <mergeCell ref="I492:I493"/>
    <mergeCell ref="D493:D494"/>
    <mergeCell ref="F493:F494"/>
    <mergeCell ref="G493:G494"/>
    <mergeCell ref="H494:H495"/>
    <mergeCell ref="I486:I487"/>
    <mergeCell ref="D487:D488"/>
    <mergeCell ref="F487:F488"/>
    <mergeCell ref="G487:G488"/>
    <mergeCell ref="H488:H489"/>
    <mergeCell ref="I488:I489"/>
    <mergeCell ref="D489:D490"/>
    <mergeCell ref="F489:F490"/>
    <mergeCell ref="G489:G490"/>
    <mergeCell ref="H490:H491"/>
    <mergeCell ref="I482:I483"/>
    <mergeCell ref="D483:D484"/>
    <mergeCell ref="F483:F484"/>
    <mergeCell ref="G483:G484"/>
    <mergeCell ref="H484:H485"/>
    <mergeCell ref="I484:I485"/>
    <mergeCell ref="D485:D486"/>
    <mergeCell ref="F485:F486"/>
    <mergeCell ref="G485:G486"/>
    <mergeCell ref="H486:H487"/>
    <mergeCell ref="I478:I479"/>
    <mergeCell ref="D479:D480"/>
    <mergeCell ref="F479:F480"/>
    <mergeCell ref="G479:G480"/>
    <mergeCell ref="H480:H481"/>
    <mergeCell ref="I480:I481"/>
    <mergeCell ref="D481:D482"/>
    <mergeCell ref="F481:F482"/>
    <mergeCell ref="G481:G482"/>
    <mergeCell ref="H482:H483"/>
    <mergeCell ref="I474:I475"/>
    <mergeCell ref="D475:D476"/>
    <mergeCell ref="F475:F476"/>
    <mergeCell ref="G475:G476"/>
    <mergeCell ref="H476:H477"/>
    <mergeCell ref="I476:I477"/>
    <mergeCell ref="D477:D478"/>
    <mergeCell ref="F477:F478"/>
    <mergeCell ref="G477:G478"/>
    <mergeCell ref="H478:H479"/>
    <mergeCell ref="I470:I471"/>
    <mergeCell ref="D471:D472"/>
    <mergeCell ref="F471:F472"/>
    <mergeCell ref="G471:G472"/>
    <mergeCell ref="H472:H473"/>
    <mergeCell ref="I472:I473"/>
    <mergeCell ref="D473:D474"/>
    <mergeCell ref="F473:F474"/>
    <mergeCell ref="G473:G474"/>
    <mergeCell ref="H474:H475"/>
    <mergeCell ref="I466:I467"/>
    <mergeCell ref="D467:D468"/>
    <mergeCell ref="F467:F468"/>
    <mergeCell ref="G467:G468"/>
    <mergeCell ref="H468:H469"/>
    <mergeCell ref="I468:I469"/>
    <mergeCell ref="D469:D470"/>
    <mergeCell ref="F469:F470"/>
    <mergeCell ref="G469:G470"/>
    <mergeCell ref="H470:H471"/>
    <mergeCell ref="I462:I463"/>
    <mergeCell ref="D463:D464"/>
    <mergeCell ref="F463:F464"/>
    <mergeCell ref="G463:G464"/>
    <mergeCell ref="H464:H465"/>
    <mergeCell ref="I464:I465"/>
    <mergeCell ref="D465:D466"/>
    <mergeCell ref="F465:F466"/>
    <mergeCell ref="G465:G466"/>
    <mergeCell ref="H466:H467"/>
    <mergeCell ref="I458:I459"/>
    <mergeCell ref="D459:D460"/>
    <mergeCell ref="F459:F460"/>
    <mergeCell ref="G459:G460"/>
    <mergeCell ref="H460:H461"/>
    <mergeCell ref="I460:I461"/>
    <mergeCell ref="D461:D462"/>
    <mergeCell ref="F461:F462"/>
    <mergeCell ref="G461:G462"/>
    <mergeCell ref="H462:H463"/>
    <mergeCell ref="I454:I455"/>
    <mergeCell ref="D455:D456"/>
    <mergeCell ref="F455:F456"/>
    <mergeCell ref="G455:G456"/>
    <mergeCell ref="H456:H457"/>
    <mergeCell ref="I456:I457"/>
    <mergeCell ref="D457:D458"/>
    <mergeCell ref="F457:F458"/>
    <mergeCell ref="G457:G458"/>
    <mergeCell ref="H458:H459"/>
    <mergeCell ref="I450:I451"/>
    <mergeCell ref="D451:D452"/>
    <mergeCell ref="F451:F452"/>
    <mergeCell ref="G451:G452"/>
    <mergeCell ref="H452:H453"/>
    <mergeCell ref="I452:I453"/>
    <mergeCell ref="D453:D454"/>
    <mergeCell ref="F453:F454"/>
    <mergeCell ref="G453:G454"/>
    <mergeCell ref="H454:H455"/>
    <mergeCell ref="I446:I447"/>
    <mergeCell ref="D447:D448"/>
    <mergeCell ref="F447:F448"/>
    <mergeCell ref="G447:G448"/>
    <mergeCell ref="H448:H449"/>
    <mergeCell ref="I448:I449"/>
    <mergeCell ref="D449:D450"/>
    <mergeCell ref="F449:F450"/>
    <mergeCell ref="G449:G450"/>
    <mergeCell ref="H450:H451"/>
    <mergeCell ref="I442:I443"/>
    <mergeCell ref="D443:D444"/>
    <mergeCell ref="F443:F444"/>
    <mergeCell ref="G443:G444"/>
    <mergeCell ref="H444:H445"/>
    <mergeCell ref="I444:I445"/>
    <mergeCell ref="D445:D446"/>
    <mergeCell ref="F445:F446"/>
    <mergeCell ref="G445:G446"/>
    <mergeCell ref="H446:H447"/>
    <mergeCell ref="I438:I439"/>
    <mergeCell ref="D439:D440"/>
    <mergeCell ref="F439:F440"/>
    <mergeCell ref="G439:G440"/>
    <mergeCell ref="H440:H441"/>
    <mergeCell ref="I440:I441"/>
    <mergeCell ref="D441:D442"/>
    <mergeCell ref="F441:F442"/>
    <mergeCell ref="G441:G442"/>
    <mergeCell ref="H442:H443"/>
    <mergeCell ref="I434:I435"/>
    <mergeCell ref="D435:D436"/>
    <mergeCell ref="F435:F436"/>
    <mergeCell ref="G435:G436"/>
    <mergeCell ref="H436:H437"/>
    <mergeCell ref="I436:I437"/>
    <mergeCell ref="D437:D438"/>
    <mergeCell ref="F437:F438"/>
    <mergeCell ref="G437:G438"/>
    <mergeCell ref="H438:H439"/>
    <mergeCell ref="I430:I431"/>
    <mergeCell ref="D431:D432"/>
    <mergeCell ref="F431:F432"/>
    <mergeCell ref="G431:G432"/>
    <mergeCell ref="H432:H433"/>
    <mergeCell ref="I432:I433"/>
    <mergeCell ref="D433:D434"/>
    <mergeCell ref="F433:F434"/>
    <mergeCell ref="G433:G434"/>
    <mergeCell ref="H434:H435"/>
    <mergeCell ref="I426:I427"/>
    <mergeCell ref="D427:D428"/>
    <mergeCell ref="F427:F428"/>
    <mergeCell ref="G427:G428"/>
    <mergeCell ref="H428:H429"/>
    <mergeCell ref="I428:I429"/>
    <mergeCell ref="D429:D430"/>
    <mergeCell ref="F429:F430"/>
    <mergeCell ref="G429:G430"/>
    <mergeCell ref="H430:H431"/>
    <mergeCell ref="I422:I423"/>
    <mergeCell ref="D423:D424"/>
    <mergeCell ref="F423:F424"/>
    <mergeCell ref="G423:G424"/>
    <mergeCell ref="H424:H425"/>
    <mergeCell ref="I424:I425"/>
    <mergeCell ref="D425:D426"/>
    <mergeCell ref="F425:F426"/>
    <mergeCell ref="G425:G426"/>
    <mergeCell ref="H426:H427"/>
    <mergeCell ref="I418:I419"/>
    <mergeCell ref="D419:D420"/>
    <mergeCell ref="F419:F420"/>
    <mergeCell ref="G419:G420"/>
    <mergeCell ref="H420:H421"/>
    <mergeCell ref="I420:I421"/>
    <mergeCell ref="D421:D422"/>
    <mergeCell ref="F421:F422"/>
    <mergeCell ref="G421:G422"/>
    <mergeCell ref="H422:H423"/>
    <mergeCell ref="I414:I415"/>
    <mergeCell ref="D415:D416"/>
    <mergeCell ref="F415:F416"/>
    <mergeCell ref="G415:G416"/>
    <mergeCell ref="H416:H417"/>
    <mergeCell ref="I416:I417"/>
    <mergeCell ref="D417:D418"/>
    <mergeCell ref="F417:F418"/>
    <mergeCell ref="G417:G418"/>
    <mergeCell ref="H418:H419"/>
    <mergeCell ref="I410:I411"/>
    <mergeCell ref="D411:D412"/>
    <mergeCell ref="F411:F412"/>
    <mergeCell ref="G411:G412"/>
    <mergeCell ref="H412:H413"/>
    <mergeCell ref="I412:I413"/>
    <mergeCell ref="D413:D414"/>
    <mergeCell ref="F413:F414"/>
    <mergeCell ref="G413:G414"/>
    <mergeCell ref="H414:H415"/>
    <mergeCell ref="I406:I407"/>
    <mergeCell ref="D407:D408"/>
    <mergeCell ref="F407:F408"/>
    <mergeCell ref="G407:G408"/>
    <mergeCell ref="H408:H409"/>
    <mergeCell ref="I408:I409"/>
    <mergeCell ref="D409:D410"/>
    <mergeCell ref="F409:F410"/>
    <mergeCell ref="G409:G410"/>
    <mergeCell ref="H410:H411"/>
    <mergeCell ref="I402:I403"/>
    <mergeCell ref="D403:D404"/>
    <mergeCell ref="F403:F404"/>
    <mergeCell ref="G403:G404"/>
    <mergeCell ref="H404:H405"/>
    <mergeCell ref="I404:I405"/>
    <mergeCell ref="D405:D406"/>
    <mergeCell ref="F405:F406"/>
    <mergeCell ref="G405:G406"/>
    <mergeCell ref="H406:H407"/>
    <mergeCell ref="I398:I399"/>
    <mergeCell ref="D399:D400"/>
    <mergeCell ref="F399:F400"/>
    <mergeCell ref="G399:G400"/>
    <mergeCell ref="H400:H401"/>
    <mergeCell ref="I400:I401"/>
    <mergeCell ref="D401:D402"/>
    <mergeCell ref="F401:F402"/>
    <mergeCell ref="G401:G402"/>
    <mergeCell ref="H402:H403"/>
    <mergeCell ref="I394:I395"/>
    <mergeCell ref="D395:D396"/>
    <mergeCell ref="F395:F396"/>
    <mergeCell ref="G395:G396"/>
    <mergeCell ref="H396:H397"/>
    <mergeCell ref="I396:I397"/>
    <mergeCell ref="D397:D398"/>
    <mergeCell ref="F397:F398"/>
    <mergeCell ref="G397:G398"/>
    <mergeCell ref="H398:H399"/>
    <mergeCell ref="I390:I391"/>
    <mergeCell ref="D391:D392"/>
    <mergeCell ref="F391:F392"/>
    <mergeCell ref="G391:G392"/>
    <mergeCell ref="H392:H393"/>
    <mergeCell ref="I392:I393"/>
    <mergeCell ref="D393:D394"/>
    <mergeCell ref="F393:F394"/>
    <mergeCell ref="G393:G394"/>
    <mergeCell ref="H394:H395"/>
    <mergeCell ref="I386:I387"/>
    <mergeCell ref="D387:D388"/>
    <mergeCell ref="F387:F388"/>
    <mergeCell ref="G387:G388"/>
    <mergeCell ref="H388:H389"/>
    <mergeCell ref="I388:I389"/>
    <mergeCell ref="D389:D390"/>
    <mergeCell ref="F389:F390"/>
    <mergeCell ref="G389:G390"/>
    <mergeCell ref="H390:H391"/>
    <mergeCell ref="I382:I383"/>
    <mergeCell ref="D383:D384"/>
    <mergeCell ref="F383:F384"/>
    <mergeCell ref="G383:G384"/>
    <mergeCell ref="H384:H385"/>
    <mergeCell ref="I384:I385"/>
    <mergeCell ref="D385:D386"/>
    <mergeCell ref="F385:F386"/>
    <mergeCell ref="G385:G386"/>
    <mergeCell ref="H386:H387"/>
    <mergeCell ref="I378:I379"/>
    <mergeCell ref="D379:D380"/>
    <mergeCell ref="F379:F380"/>
    <mergeCell ref="G379:G380"/>
    <mergeCell ref="H380:H381"/>
    <mergeCell ref="I380:I381"/>
    <mergeCell ref="D381:D382"/>
    <mergeCell ref="F381:F382"/>
    <mergeCell ref="G381:G382"/>
    <mergeCell ref="H382:H383"/>
    <mergeCell ref="I374:I375"/>
    <mergeCell ref="D375:D376"/>
    <mergeCell ref="F375:F376"/>
    <mergeCell ref="G375:G376"/>
    <mergeCell ref="H376:H377"/>
    <mergeCell ref="I376:I377"/>
    <mergeCell ref="D377:D378"/>
    <mergeCell ref="F377:F378"/>
    <mergeCell ref="G377:G378"/>
    <mergeCell ref="H378:H379"/>
    <mergeCell ref="I370:I371"/>
    <mergeCell ref="D371:D372"/>
    <mergeCell ref="F371:F372"/>
    <mergeCell ref="G371:G372"/>
    <mergeCell ref="H372:H373"/>
    <mergeCell ref="I372:I373"/>
    <mergeCell ref="D373:D374"/>
    <mergeCell ref="F373:F374"/>
    <mergeCell ref="G373:G374"/>
    <mergeCell ref="H374:H375"/>
    <mergeCell ref="I366:I367"/>
    <mergeCell ref="D367:D368"/>
    <mergeCell ref="F367:F368"/>
    <mergeCell ref="G367:G368"/>
    <mergeCell ref="H368:H369"/>
    <mergeCell ref="I368:I369"/>
    <mergeCell ref="D369:D370"/>
    <mergeCell ref="F369:F370"/>
    <mergeCell ref="G369:G370"/>
    <mergeCell ref="H370:H371"/>
    <mergeCell ref="I362:I363"/>
    <mergeCell ref="D363:D364"/>
    <mergeCell ref="F363:F364"/>
    <mergeCell ref="G363:G364"/>
    <mergeCell ref="H364:H365"/>
    <mergeCell ref="I364:I365"/>
    <mergeCell ref="D365:D366"/>
    <mergeCell ref="F365:F366"/>
    <mergeCell ref="G365:G366"/>
    <mergeCell ref="H366:H367"/>
    <mergeCell ref="I358:I359"/>
    <mergeCell ref="D359:D360"/>
    <mergeCell ref="F359:F360"/>
    <mergeCell ref="G359:G360"/>
    <mergeCell ref="H360:H361"/>
    <mergeCell ref="I360:I361"/>
    <mergeCell ref="D361:D362"/>
    <mergeCell ref="F361:F362"/>
    <mergeCell ref="G361:G362"/>
    <mergeCell ref="H362:H363"/>
    <mergeCell ref="I354:I355"/>
    <mergeCell ref="D355:D356"/>
    <mergeCell ref="F355:F356"/>
    <mergeCell ref="G355:G356"/>
    <mergeCell ref="H356:H357"/>
    <mergeCell ref="I356:I357"/>
    <mergeCell ref="D357:D358"/>
    <mergeCell ref="F357:F358"/>
    <mergeCell ref="G357:G358"/>
    <mergeCell ref="H358:H359"/>
    <mergeCell ref="I350:I351"/>
    <mergeCell ref="D351:D352"/>
    <mergeCell ref="F351:F352"/>
    <mergeCell ref="G351:G352"/>
    <mergeCell ref="H352:H353"/>
    <mergeCell ref="I352:I353"/>
    <mergeCell ref="D353:D354"/>
    <mergeCell ref="F353:F354"/>
    <mergeCell ref="G353:G354"/>
    <mergeCell ref="H354:H355"/>
    <mergeCell ref="I346:I347"/>
    <mergeCell ref="D347:D348"/>
    <mergeCell ref="F347:F348"/>
    <mergeCell ref="G347:G348"/>
    <mergeCell ref="H348:H349"/>
    <mergeCell ref="I348:I349"/>
    <mergeCell ref="D349:D350"/>
    <mergeCell ref="F349:F350"/>
    <mergeCell ref="G349:G350"/>
    <mergeCell ref="H350:H351"/>
    <mergeCell ref="I342:I343"/>
    <mergeCell ref="D343:D344"/>
    <mergeCell ref="F343:F344"/>
    <mergeCell ref="G343:G344"/>
    <mergeCell ref="H344:H345"/>
    <mergeCell ref="I344:I345"/>
    <mergeCell ref="D345:D346"/>
    <mergeCell ref="F345:F346"/>
    <mergeCell ref="G345:G346"/>
    <mergeCell ref="H346:H347"/>
    <mergeCell ref="E345:E346"/>
    <mergeCell ref="E347:E348"/>
    <mergeCell ref="E349:E350"/>
    <mergeCell ref="I338:I339"/>
    <mergeCell ref="D339:D340"/>
    <mergeCell ref="F339:F340"/>
    <mergeCell ref="G339:G340"/>
    <mergeCell ref="H340:H341"/>
    <mergeCell ref="I340:I341"/>
    <mergeCell ref="D341:D342"/>
    <mergeCell ref="F341:F342"/>
    <mergeCell ref="G341:G342"/>
    <mergeCell ref="H342:H343"/>
    <mergeCell ref="I334:I335"/>
    <mergeCell ref="D335:D336"/>
    <mergeCell ref="F335:F336"/>
    <mergeCell ref="G335:G336"/>
    <mergeCell ref="H336:H337"/>
    <mergeCell ref="I336:I337"/>
    <mergeCell ref="D337:D338"/>
    <mergeCell ref="F337:F338"/>
    <mergeCell ref="G337:G338"/>
    <mergeCell ref="H338:H339"/>
    <mergeCell ref="E337:E338"/>
    <mergeCell ref="E339:E340"/>
    <mergeCell ref="E341:E342"/>
    <mergeCell ref="E343:E344"/>
    <mergeCell ref="I330:I331"/>
    <mergeCell ref="D331:D332"/>
    <mergeCell ref="F331:F332"/>
    <mergeCell ref="G331:G332"/>
    <mergeCell ref="H332:H333"/>
    <mergeCell ref="I332:I333"/>
    <mergeCell ref="D333:D334"/>
    <mergeCell ref="F333:F334"/>
    <mergeCell ref="G333:G334"/>
    <mergeCell ref="H334:H335"/>
    <mergeCell ref="I326:I327"/>
    <mergeCell ref="D327:D328"/>
    <mergeCell ref="F327:F328"/>
    <mergeCell ref="G327:G328"/>
    <mergeCell ref="H328:H329"/>
    <mergeCell ref="I328:I329"/>
    <mergeCell ref="D329:D330"/>
    <mergeCell ref="F329:F330"/>
    <mergeCell ref="G329:G330"/>
    <mergeCell ref="H330:H331"/>
    <mergeCell ref="E329:E330"/>
    <mergeCell ref="E331:E332"/>
    <mergeCell ref="E333:E334"/>
    <mergeCell ref="E335:E336"/>
    <mergeCell ref="I322:I323"/>
    <mergeCell ref="D323:D324"/>
    <mergeCell ref="F323:F324"/>
    <mergeCell ref="G323:G324"/>
    <mergeCell ref="H324:H325"/>
    <mergeCell ref="I324:I325"/>
    <mergeCell ref="D325:D326"/>
    <mergeCell ref="F325:F326"/>
    <mergeCell ref="G325:G326"/>
    <mergeCell ref="H326:H327"/>
    <mergeCell ref="I318:I319"/>
    <mergeCell ref="D319:D320"/>
    <mergeCell ref="F319:F320"/>
    <mergeCell ref="G319:G320"/>
    <mergeCell ref="H320:H321"/>
    <mergeCell ref="I320:I321"/>
    <mergeCell ref="D321:D322"/>
    <mergeCell ref="F321:F322"/>
    <mergeCell ref="G321:G322"/>
    <mergeCell ref="H322:H323"/>
    <mergeCell ref="E321:E322"/>
    <mergeCell ref="E323:E324"/>
    <mergeCell ref="E325:E326"/>
    <mergeCell ref="E327:E328"/>
    <mergeCell ref="I314:I315"/>
    <mergeCell ref="D315:D316"/>
    <mergeCell ref="F315:F316"/>
    <mergeCell ref="G315:G316"/>
    <mergeCell ref="H316:H317"/>
    <mergeCell ref="I316:I317"/>
    <mergeCell ref="D317:D318"/>
    <mergeCell ref="F317:F318"/>
    <mergeCell ref="G317:G318"/>
    <mergeCell ref="H318:H319"/>
    <mergeCell ref="I310:I311"/>
    <mergeCell ref="D311:D312"/>
    <mergeCell ref="F311:F312"/>
    <mergeCell ref="G311:G312"/>
    <mergeCell ref="H312:H313"/>
    <mergeCell ref="I312:I313"/>
    <mergeCell ref="D313:D314"/>
    <mergeCell ref="F313:F314"/>
    <mergeCell ref="G313:G314"/>
    <mergeCell ref="H314:H315"/>
    <mergeCell ref="E319:E320"/>
    <mergeCell ref="I306:I307"/>
    <mergeCell ref="D307:D308"/>
    <mergeCell ref="F307:F308"/>
    <mergeCell ref="G307:G308"/>
    <mergeCell ref="H308:H309"/>
    <mergeCell ref="I308:I309"/>
    <mergeCell ref="D309:D310"/>
    <mergeCell ref="F309:F310"/>
    <mergeCell ref="G309:G310"/>
    <mergeCell ref="H310:H311"/>
    <mergeCell ref="I302:I303"/>
    <mergeCell ref="D303:D304"/>
    <mergeCell ref="F303:F304"/>
    <mergeCell ref="G303:G304"/>
    <mergeCell ref="H304:H305"/>
    <mergeCell ref="I304:I305"/>
    <mergeCell ref="D305:D306"/>
    <mergeCell ref="F305:F306"/>
    <mergeCell ref="G305:G306"/>
    <mergeCell ref="H306:H307"/>
    <mergeCell ref="I298:I299"/>
    <mergeCell ref="D299:D300"/>
    <mergeCell ref="F299:F300"/>
    <mergeCell ref="G299:G300"/>
    <mergeCell ref="H300:H301"/>
    <mergeCell ref="I300:I301"/>
    <mergeCell ref="D301:D302"/>
    <mergeCell ref="F301:F302"/>
    <mergeCell ref="G301:G302"/>
    <mergeCell ref="H302:H303"/>
    <mergeCell ref="I294:I295"/>
    <mergeCell ref="D295:D296"/>
    <mergeCell ref="F295:F296"/>
    <mergeCell ref="G295:G296"/>
    <mergeCell ref="H296:H297"/>
    <mergeCell ref="I296:I297"/>
    <mergeCell ref="D297:D298"/>
    <mergeCell ref="F297:F298"/>
    <mergeCell ref="G297:G298"/>
    <mergeCell ref="H298:H299"/>
    <mergeCell ref="I290:I291"/>
    <mergeCell ref="D291:D292"/>
    <mergeCell ref="F291:F292"/>
    <mergeCell ref="G291:G292"/>
    <mergeCell ref="H292:H293"/>
    <mergeCell ref="I292:I293"/>
    <mergeCell ref="D293:D294"/>
    <mergeCell ref="F293:F294"/>
    <mergeCell ref="G293:G294"/>
    <mergeCell ref="H294:H295"/>
    <mergeCell ref="I286:I287"/>
    <mergeCell ref="D287:D288"/>
    <mergeCell ref="F287:F288"/>
    <mergeCell ref="G287:G288"/>
    <mergeCell ref="H288:H289"/>
    <mergeCell ref="I288:I289"/>
    <mergeCell ref="D289:D290"/>
    <mergeCell ref="F289:F290"/>
    <mergeCell ref="G289:G290"/>
    <mergeCell ref="H290:H291"/>
    <mergeCell ref="I282:I283"/>
    <mergeCell ref="D283:D284"/>
    <mergeCell ref="F283:F284"/>
    <mergeCell ref="G283:G284"/>
    <mergeCell ref="H284:H285"/>
    <mergeCell ref="I284:I285"/>
    <mergeCell ref="D285:D286"/>
    <mergeCell ref="F285:F286"/>
    <mergeCell ref="G285:G286"/>
    <mergeCell ref="H286:H287"/>
    <mergeCell ref="I278:I279"/>
    <mergeCell ref="D279:D280"/>
    <mergeCell ref="F279:F280"/>
    <mergeCell ref="G279:G280"/>
    <mergeCell ref="H280:H281"/>
    <mergeCell ref="I280:I281"/>
    <mergeCell ref="D281:D282"/>
    <mergeCell ref="F281:F282"/>
    <mergeCell ref="G281:G282"/>
    <mergeCell ref="H282:H283"/>
    <mergeCell ref="E277:E278"/>
    <mergeCell ref="E279:E280"/>
    <mergeCell ref="I274:I275"/>
    <mergeCell ref="D275:D276"/>
    <mergeCell ref="F275:F276"/>
    <mergeCell ref="G275:G276"/>
    <mergeCell ref="H276:H277"/>
    <mergeCell ref="I276:I277"/>
    <mergeCell ref="D277:D278"/>
    <mergeCell ref="F277:F278"/>
    <mergeCell ref="G277:G278"/>
    <mergeCell ref="H278:H279"/>
    <mergeCell ref="I270:I271"/>
    <mergeCell ref="D271:D272"/>
    <mergeCell ref="F271:F272"/>
    <mergeCell ref="G271:G272"/>
    <mergeCell ref="H272:H273"/>
    <mergeCell ref="I272:I273"/>
    <mergeCell ref="D273:D274"/>
    <mergeCell ref="F273:F274"/>
    <mergeCell ref="G273:G274"/>
    <mergeCell ref="H274:H275"/>
    <mergeCell ref="E269:E270"/>
    <mergeCell ref="E271:E272"/>
    <mergeCell ref="E273:E274"/>
    <mergeCell ref="E275:E276"/>
    <mergeCell ref="I266:I267"/>
    <mergeCell ref="D267:D268"/>
    <mergeCell ref="F267:F268"/>
    <mergeCell ref="G267:G268"/>
    <mergeCell ref="H268:H269"/>
    <mergeCell ref="I268:I269"/>
    <mergeCell ref="D269:D270"/>
    <mergeCell ref="F269:F270"/>
    <mergeCell ref="G269:G270"/>
    <mergeCell ref="H270:H271"/>
    <mergeCell ref="I262:I263"/>
    <mergeCell ref="D263:D264"/>
    <mergeCell ref="F263:F264"/>
    <mergeCell ref="G263:G264"/>
    <mergeCell ref="H264:H265"/>
    <mergeCell ref="I264:I265"/>
    <mergeCell ref="D265:D266"/>
    <mergeCell ref="F265:F266"/>
    <mergeCell ref="G265:G266"/>
    <mergeCell ref="H266:H267"/>
    <mergeCell ref="E261:E262"/>
    <mergeCell ref="E263:E264"/>
    <mergeCell ref="E265:E266"/>
    <mergeCell ref="E267:E268"/>
    <mergeCell ref="I258:I259"/>
    <mergeCell ref="D259:D260"/>
    <mergeCell ref="F259:F260"/>
    <mergeCell ref="G259:G260"/>
    <mergeCell ref="H260:H261"/>
    <mergeCell ref="I260:I261"/>
    <mergeCell ref="D261:D262"/>
    <mergeCell ref="F261:F262"/>
    <mergeCell ref="G261:G262"/>
    <mergeCell ref="H262:H263"/>
    <mergeCell ref="I254:I255"/>
    <mergeCell ref="D255:D256"/>
    <mergeCell ref="F255:F256"/>
    <mergeCell ref="G255:G256"/>
    <mergeCell ref="H256:H257"/>
    <mergeCell ref="I256:I257"/>
    <mergeCell ref="D257:D258"/>
    <mergeCell ref="F257:F258"/>
    <mergeCell ref="G257:G258"/>
    <mergeCell ref="H258:H259"/>
    <mergeCell ref="E255:E256"/>
    <mergeCell ref="E257:E258"/>
    <mergeCell ref="E259:E260"/>
    <mergeCell ref="I250:I251"/>
    <mergeCell ref="D251:D252"/>
    <mergeCell ref="F251:F252"/>
    <mergeCell ref="G251:G252"/>
    <mergeCell ref="H252:H253"/>
    <mergeCell ref="I252:I253"/>
    <mergeCell ref="D253:D254"/>
    <mergeCell ref="F253:F254"/>
    <mergeCell ref="G253:G254"/>
    <mergeCell ref="H254:H255"/>
    <mergeCell ref="I246:I247"/>
    <mergeCell ref="D247:D248"/>
    <mergeCell ref="F247:F248"/>
    <mergeCell ref="G247:G248"/>
    <mergeCell ref="H248:H249"/>
    <mergeCell ref="I248:I249"/>
    <mergeCell ref="D249:D250"/>
    <mergeCell ref="F249:F250"/>
    <mergeCell ref="G249:G250"/>
    <mergeCell ref="H250:H251"/>
    <mergeCell ref="I242:I243"/>
    <mergeCell ref="D243:D244"/>
    <mergeCell ref="F243:F244"/>
    <mergeCell ref="G243:G244"/>
    <mergeCell ref="H244:H245"/>
    <mergeCell ref="I244:I245"/>
    <mergeCell ref="D245:D246"/>
    <mergeCell ref="F245:F246"/>
    <mergeCell ref="G245:G246"/>
    <mergeCell ref="H246:H247"/>
    <mergeCell ref="I238:I239"/>
    <mergeCell ref="D239:D240"/>
    <mergeCell ref="F239:F240"/>
    <mergeCell ref="G239:G240"/>
    <mergeCell ref="H240:H241"/>
    <mergeCell ref="I240:I241"/>
    <mergeCell ref="D241:D242"/>
    <mergeCell ref="F241:F242"/>
    <mergeCell ref="G241:G242"/>
    <mergeCell ref="H242:H243"/>
    <mergeCell ref="I234:I235"/>
    <mergeCell ref="D235:D236"/>
    <mergeCell ref="F235:F236"/>
    <mergeCell ref="G235:G236"/>
    <mergeCell ref="H236:H237"/>
    <mergeCell ref="I236:I237"/>
    <mergeCell ref="D237:D238"/>
    <mergeCell ref="F237:F238"/>
    <mergeCell ref="G237:G238"/>
    <mergeCell ref="H238:H239"/>
    <mergeCell ref="I230:I231"/>
    <mergeCell ref="D231:D232"/>
    <mergeCell ref="F231:F232"/>
    <mergeCell ref="G231:G232"/>
    <mergeCell ref="H232:H233"/>
    <mergeCell ref="I232:I233"/>
    <mergeCell ref="D233:D234"/>
    <mergeCell ref="F233:F234"/>
    <mergeCell ref="G233:G234"/>
    <mergeCell ref="H234:H235"/>
    <mergeCell ref="I226:I227"/>
    <mergeCell ref="D227:D228"/>
    <mergeCell ref="F227:F228"/>
    <mergeCell ref="G227:G228"/>
    <mergeCell ref="H228:H229"/>
    <mergeCell ref="I228:I229"/>
    <mergeCell ref="D229:D230"/>
    <mergeCell ref="F229:F230"/>
    <mergeCell ref="G229:G230"/>
    <mergeCell ref="H230:H231"/>
    <mergeCell ref="I222:I223"/>
    <mergeCell ref="D223:D224"/>
    <mergeCell ref="F223:F224"/>
    <mergeCell ref="G223:G224"/>
    <mergeCell ref="H224:H225"/>
    <mergeCell ref="I224:I225"/>
    <mergeCell ref="D225:D226"/>
    <mergeCell ref="F225:F226"/>
    <mergeCell ref="G225:G226"/>
    <mergeCell ref="H226:H227"/>
    <mergeCell ref="I218:I219"/>
    <mergeCell ref="D219:D220"/>
    <mergeCell ref="F219:F220"/>
    <mergeCell ref="G219:G220"/>
    <mergeCell ref="H220:H221"/>
    <mergeCell ref="I220:I221"/>
    <mergeCell ref="D221:D222"/>
    <mergeCell ref="F221:F222"/>
    <mergeCell ref="G221:G222"/>
    <mergeCell ref="H222:H223"/>
    <mergeCell ref="I214:I215"/>
    <mergeCell ref="D215:D216"/>
    <mergeCell ref="F215:F216"/>
    <mergeCell ref="G215:G216"/>
    <mergeCell ref="H216:H217"/>
    <mergeCell ref="I216:I217"/>
    <mergeCell ref="D217:D218"/>
    <mergeCell ref="F217:F218"/>
    <mergeCell ref="G217:G218"/>
    <mergeCell ref="H218:H219"/>
    <mergeCell ref="I210:I211"/>
    <mergeCell ref="D211:D212"/>
    <mergeCell ref="F211:F212"/>
    <mergeCell ref="G211:G212"/>
    <mergeCell ref="H212:H213"/>
    <mergeCell ref="I212:I213"/>
    <mergeCell ref="D213:D214"/>
    <mergeCell ref="F213:F214"/>
    <mergeCell ref="G213:G214"/>
    <mergeCell ref="H214:H215"/>
    <mergeCell ref="I206:I207"/>
    <mergeCell ref="D207:D208"/>
    <mergeCell ref="F207:F208"/>
    <mergeCell ref="G207:G208"/>
    <mergeCell ref="H208:H209"/>
    <mergeCell ref="I208:I209"/>
    <mergeCell ref="D209:D210"/>
    <mergeCell ref="F209:F210"/>
    <mergeCell ref="G209:G210"/>
    <mergeCell ref="H210:H211"/>
    <mergeCell ref="I202:I203"/>
    <mergeCell ref="D203:D204"/>
    <mergeCell ref="F203:F204"/>
    <mergeCell ref="G203:G204"/>
    <mergeCell ref="H204:H205"/>
    <mergeCell ref="I204:I205"/>
    <mergeCell ref="D205:D206"/>
    <mergeCell ref="F205:F206"/>
    <mergeCell ref="G205:G206"/>
    <mergeCell ref="H206:H207"/>
    <mergeCell ref="I198:I199"/>
    <mergeCell ref="D199:D200"/>
    <mergeCell ref="F199:F200"/>
    <mergeCell ref="G199:G200"/>
    <mergeCell ref="H200:H201"/>
    <mergeCell ref="I200:I201"/>
    <mergeCell ref="D201:D202"/>
    <mergeCell ref="F201:F202"/>
    <mergeCell ref="G201:G202"/>
    <mergeCell ref="H202:H203"/>
    <mergeCell ref="I194:I195"/>
    <mergeCell ref="D195:D196"/>
    <mergeCell ref="F195:F196"/>
    <mergeCell ref="G195:G196"/>
    <mergeCell ref="H196:H197"/>
    <mergeCell ref="I196:I197"/>
    <mergeCell ref="D197:D198"/>
    <mergeCell ref="F197:F198"/>
    <mergeCell ref="G197:G198"/>
    <mergeCell ref="H198:H199"/>
    <mergeCell ref="I190:I191"/>
    <mergeCell ref="D191:D192"/>
    <mergeCell ref="F191:F192"/>
    <mergeCell ref="G191:G192"/>
    <mergeCell ref="H192:H193"/>
    <mergeCell ref="I192:I193"/>
    <mergeCell ref="D193:D194"/>
    <mergeCell ref="F193:F194"/>
    <mergeCell ref="G193:G194"/>
    <mergeCell ref="H194:H195"/>
    <mergeCell ref="I186:I187"/>
    <mergeCell ref="D187:D188"/>
    <mergeCell ref="F187:F188"/>
    <mergeCell ref="G187:G188"/>
    <mergeCell ref="H188:H189"/>
    <mergeCell ref="I188:I189"/>
    <mergeCell ref="D189:D190"/>
    <mergeCell ref="F189:F190"/>
    <mergeCell ref="G189:G190"/>
    <mergeCell ref="H190:H191"/>
    <mergeCell ref="I182:I183"/>
    <mergeCell ref="D183:D184"/>
    <mergeCell ref="F183:F184"/>
    <mergeCell ref="G183:G184"/>
    <mergeCell ref="H184:H185"/>
    <mergeCell ref="I184:I185"/>
    <mergeCell ref="D185:D186"/>
    <mergeCell ref="F185:F186"/>
    <mergeCell ref="G185:G186"/>
    <mergeCell ref="H186:H187"/>
    <mergeCell ref="I178:I179"/>
    <mergeCell ref="D179:D180"/>
    <mergeCell ref="F179:F180"/>
    <mergeCell ref="G179:G180"/>
    <mergeCell ref="H180:H181"/>
    <mergeCell ref="I180:I181"/>
    <mergeCell ref="D181:D182"/>
    <mergeCell ref="F181:F182"/>
    <mergeCell ref="G181:G182"/>
    <mergeCell ref="H182:H183"/>
    <mergeCell ref="I174:I175"/>
    <mergeCell ref="D175:D176"/>
    <mergeCell ref="F175:F176"/>
    <mergeCell ref="G175:G176"/>
    <mergeCell ref="H176:H177"/>
    <mergeCell ref="I176:I177"/>
    <mergeCell ref="D177:D178"/>
    <mergeCell ref="F177:F178"/>
    <mergeCell ref="G177:G178"/>
    <mergeCell ref="H178:H179"/>
    <mergeCell ref="I170:I171"/>
    <mergeCell ref="D171:D172"/>
    <mergeCell ref="F171:F172"/>
    <mergeCell ref="G171:G172"/>
    <mergeCell ref="H172:H173"/>
    <mergeCell ref="I172:I173"/>
    <mergeCell ref="D173:D174"/>
    <mergeCell ref="F173:F174"/>
    <mergeCell ref="G173:G174"/>
    <mergeCell ref="H174:H175"/>
    <mergeCell ref="I166:I167"/>
    <mergeCell ref="D167:D168"/>
    <mergeCell ref="F167:F168"/>
    <mergeCell ref="G167:G168"/>
    <mergeCell ref="H168:H169"/>
    <mergeCell ref="I168:I169"/>
    <mergeCell ref="D169:D170"/>
    <mergeCell ref="F169:F170"/>
    <mergeCell ref="G169:G170"/>
    <mergeCell ref="H170:H171"/>
    <mergeCell ref="I162:I163"/>
    <mergeCell ref="D163:D164"/>
    <mergeCell ref="F163:F164"/>
    <mergeCell ref="G163:G164"/>
    <mergeCell ref="H164:H165"/>
    <mergeCell ref="I164:I165"/>
    <mergeCell ref="D165:D166"/>
    <mergeCell ref="F165:F166"/>
    <mergeCell ref="G165:G166"/>
    <mergeCell ref="H166:H167"/>
    <mergeCell ref="I158:I159"/>
    <mergeCell ref="D159:D160"/>
    <mergeCell ref="F159:F160"/>
    <mergeCell ref="G159:G160"/>
    <mergeCell ref="H160:H161"/>
    <mergeCell ref="I160:I161"/>
    <mergeCell ref="D161:D162"/>
    <mergeCell ref="F161:F162"/>
    <mergeCell ref="G161:G162"/>
    <mergeCell ref="H162:H163"/>
    <mergeCell ref="I154:I155"/>
    <mergeCell ref="D155:D156"/>
    <mergeCell ref="F155:F156"/>
    <mergeCell ref="G155:G156"/>
    <mergeCell ref="H156:H157"/>
    <mergeCell ref="I156:I157"/>
    <mergeCell ref="D157:D158"/>
    <mergeCell ref="F157:F158"/>
    <mergeCell ref="G157:G158"/>
    <mergeCell ref="H158:H159"/>
    <mergeCell ref="I150:I151"/>
    <mergeCell ref="D151:D152"/>
    <mergeCell ref="F151:F152"/>
    <mergeCell ref="G151:G152"/>
    <mergeCell ref="H152:H153"/>
    <mergeCell ref="I152:I153"/>
    <mergeCell ref="D153:D154"/>
    <mergeCell ref="F153:F154"/>
    <mergeCell ref="G153:G154"/>
    <mergeCell ref="H154:H155"/>
    <mergeCell ref="I146:I147"/>
    <mergeCell ref="D147:D148"/>
    <mergeCell ref="F147:F148"/>
    <mergeCell ref="G147:G148"/>
    <mergeCell ref="H148:H149"/>
    <mergeCell ref="I148:I149"/>
    <mergeCell ref="D149:D150"/>
    <mergeCell ref="F149:F150"/>
    <mergeCell ref="G149:G150"/>
    <mergeCell ref="H150:H151"/>
    <mergeCell ref="I142:I143"/>
    <mergeCell ref="D143:D144"/>
    <mergeCell ref="F143:F144"/>
    <mergeCell ref="G143:G144"/>
    <mergeCell ref="H144:H145"/>
    <mergeCell ref="I144:I145"/>
    <mergeCell ref="D145:D146"/>
    <mergeCell ref="F145:F146"/>
    <mergeCell ref="G145:G146"/>
    <mergeCell ref="H146:H147"/>
    <mergeCell ref="I138:I139"/>
    <mergeCell ref="D139:D140"/>
    <mergeCell ref="F139:F140"/>
    <mergeCell ref="G139:G140"/>
    <mergeCell ref="H140:H141"/>
    <mergeCell ref="I140:I141"/>
    <mergeCell ref="D141:D142"/>
    <mergeCell ref="F141:F142"/>
    <mergeCell ref="G141:G142"/>
    <mergeCell ref="H142:H143"/>
    <mergeCell ref="I134:I135"/>
    <mergeCell ref="D135:D136"/>
    <mergeCell ref="F135:F136"/>
    <mergeCell ref="G135:G136"/>
    <mergeCell ref="H136:H137"/>
    <mergeCell ref="I136:I137"/>
    <mergeCell ref="D137:D138"/>
    <mergeCell ref="F137:F138"/>
    <mergeCell ref="G137:G138"/>
    <mergeCell ref="H138:H139"/>
    <mergeCell ref="I130:I131"/>
    <mergeCell ref="D131:D132"/>
    <mergeCell ref="F131:F132"/>
    <mergeCell ref="G131:G132"/>
    <mergeCell ref="H132:H133"/>
    <mergeCell ref="I132:I133"/>
    <mergeCell ref="D133:D134"/>
    <mergeCell ref="F133:F134"/>
    <mergeCell ref="G133:G134"/>
    <mergeCell ref="H134:H135"/>
    <mergeCell ref="I126:I127"/>
    <mergeCell ref="D127:D128"/>
    <mergeCell ref="F127:F128"/>
    <mergeCell ref="G127:G128"/>
    <mergeCell ref="H128:H129"/>
    <mergeCell ref="I128:I129"/>
    <mergeCell ref="D129:D130"/>
    <mergeCell ref="F129:F130"/>
    <mergeCell ref="G129:G130"/>
    <mergeCell ref="H130:H131"/>
    <mergeCell ref="I122:I123"/>
    <mergeCell ref="D123:D124"/>
    <mergeCell ref="F123:F124"/>
    <mergeCell ref="G123:G124"/>
    <mergeCell ref="H124:H125"/>
    <mergeCell ref="I124:I125"/>
    <mergeCell ref="D125:D126"/>
    <mergeCell ref="F125:F126"/>
    <mergeCell ref="G125:G126"/>
    <mergeCell ref="H126:H127"/>
    <mergeCell ref="I118:I119"/>
    <mergeCell ref="D119:D120"/>
    <mergeCell ref="F119:F120"/>
    <mergeCell ref="G119:G120"/>
    <mergeCell ref="H120:H121"/>
    <mergeCell ref="I120:I121"/>
    <mergeCell ref="D121:D122"/>
    <mergeCell ref="F121:F122"/>
    <mergeCell ref="G121:G122"/>
    <mergeCell ref="H122:H123"/>
    <mergeCell ref="I114:I115"/>
    <mergeCell ref="D115:D116"/>
    <mergeCell ref="F115:F116"/>
    <mergeCell ref="G115:G116"/>
    <mergeCell ref="H116:H117"/>
    <mergeCell ref="I116:I117"/>
    <mergeCell ref="D117:D118"/>
    <mergeCell ref="F117:F118"/>
    <mergeCell ref="G117:G118"/>
    <mergeCell ref="H118:H119"/>
    <mergeCell ref="I110:I111"/>
    <mergeCell ref="D111:D112"/>
    <mergeCell ref="F111:F112"/>
    <mergeCell ref="G111:G112"/>
    <mergeCell ref="H112:H113"/>
    <mergeCell ref="I112:I113"/>
    <mergeCell ref="D113:D114"/>
    <mergeCell ref="F113:F114"/>
    <mergeCell ref="G113:G114"/>
    <mergeCell ref="H114:H115"/>
    <mergeCell ref="I106:I107"/>
    <mergeCell ref="D107:D108"/>
    <mergeCell ref="F107:F108"/>
    <mergeCell ref="G107:G108"/>
    <mergeCell ref="H108:H109"/>
    <mergeCell ref="I108:I109"/>
    <mergeCell ref="D109:D110"/>
    <mergeCell ref="F109:F110"/>
    <mergeCell ref="G109:G110"/>
    <mergeCell ref="H110:H111"/>
    <mergeCell ref="I102:I103"/>
    <mergeCell ref="D103:D104"/>
    <mergeCell ref="F103:F104"/>
    <mergeCell ref="G103:G104"/>
    <mergeCell ref="H104:H105"/>
    <mergeCell ref="I104:I105"/>
    <mergeCell ref="D105:D106"/>
    <mergeCell ref="F105:F106"/>
    <mergeCell ref="G105:G106"/>
    <mergeCell ref="H106:H107"/>
    <mergeCell ref="I98:I99"/>
    <mergeCell ref="D99:D100"/>
    <mergeCell ref="F99:F100"/>
    <mergeCell ref="G99:G100"/>
    <mergeCell ref="H100:H101"/>
    <mergeCell ref="I100:I101"/>
    <mergeCell ref="D101:D102"/>
    <mergeCell ref="F101:F102"/>
    <mergeCell ref="G101:G102"/>
    <mergeCell ref="H102:H103"/>
    <mergeCell ref="I94:I95"/>
    <mergeCell ref="D95:D96"/>
    <mergeCell ref="F95:F96"/>
    <mergeCell ref="G95:G96"/>
    <mergeCell ref="H96:H97"/>
    <mergeCell ref="I96:I97"/>
    <mergeCell ref="D97:D98"/>
    <mergeCell ref="F97:F98"/>
    <mergeCell ref="G97:G98"/>
    <mergeCell ref="H98:H99"/>
    <mergeCell ref="I90:I91"/>
    <mergeCell ref="D91:D92"/>
    <mergeCell ref="F91:F92"/>
    <mergeCell ref="G91:G92"/>
    <mergeCell ref="H92:H93"/>
    <mergeCell ref="I92:I93"/>
    <mergeCell ref="D93:D94"/>
    <mergeCell ref="F93:F94"/>
    <mergeCell ref="G93:G94"/>
    <mergeCell ref="H94:H95"/>
    <mergeCell ref="I86:I87"/>
    <mergeCell ref="D87:D88"/>
    <mergeCell ref="F87:F88"/>
    <mergeCell ref="G87:G88"/>
    <mergeCell ref="H88:H89"/>
    <mergeCell ref="I88:I89"/>
    <mergeCell ref="D89:D90"/>
    <mergeCell ref="F89:F90"/>
    <mergeCell ref="G89:G90"/>
    <mergeCell ref="H90:H91"/>
    <mergeCell ref="I82:I83"/>
    <mergeCell ref="D83:D84"/>
    <mergeCell ref="F83:F84"/>
    <mergeCell ref="G83:G84"/>
    <mergeCell ref="H84:H85"/>
    <mergeCell ref="I84:I85"/>
    <mergeCell ref="D85:D86"/>
    <mergeCell ref="F85:F86"/>
    <mergeCell ref="G85:G86"/>
    <mergeCell ref="H86:H87"/>
    <mergeCell ref="I78:I79"/>
    <mergeCell ref="D79:D80"/>
    <mergeCell ref="F79:F80"/>
    <mergeCell ref="G79:G80"/>
    <mergeCell ref="H80:H81"/>
    <mergeCell ref="I80:I81"/>
    <mergeCell ref="D81:D82"/>
    <mergeCell ref="F81:F82"/>
    <mergeCell ref="G81:G82"/>
    <mergeCell ref="H82:H83"/>
    <mergeCell ref="I74:I75"/>
    <mergeCell ref="D75:D76"/>
    <mergeCell ref="F75:F76"/>
    <mergeCell ref="G75:G76"/>
    <mergeCell ref="H76:H77"/>
    <mergeCell ref="I76:I77"/>
    <mergeCell ref="D77:D78"/>
    <mergeCell ref="F77:F78"/>
    <mergeCell ref="G77:G78"/>
    <mergeCell ref="H78:H79"/>
    <mergeCell ref="I70:I71"/>
    <mergeCell ref="D71:D72"/>
    <mergeCell ref="F71:F72"/>
    <mergeCell ref="G71:G72"/>
    <mergeCell ref="H72:H73"/>
    <mergeCell ref="I72:I73"/>
    <mergeCell ref="D73:D74"/>
    <mergeCell ref="F73:F74"/>
    <mergeCell ref="G73:G74"/>
    <mergeCell ref="H74:H75"/>
    <mergeCell ref="I66:I67"/>
    <mergeCell ref="D67:D68"/>
    <mergeCell ref="F67:F68"/>
    <mergeCell ref="G67:G68"/>
    <mergeCell ref="H68:H69"/>
    <mergeCell ref="I68:I69"/>
    <mergeCell ref="D69:D70"/>
    <mergeCell ref="F69:F70"/>
    <mergeCell ref="G69:G70"/>
    <mergeCell ref="H70:H71"/>
    <mergeCell ref="I62:I63"/>
    <mergeCell ref="D63:D64"/>
    <mergeCell ref="F63:F64"/>
    <mergeCell ref="G63:G64"/>
    <mergeCell ref="H64:H65"/>
    <mergeCell ref="I64:I65"/>
    <mergeCell ref="D65:D66"/>
    <mergeCell ref="F65:F66"/>
    <mergeCell ref="G65:G66"/>
    <mergeCell ref="H66:H67"/>
    <mergeCell ref="I58:I59"/>
    <mergeCell ref="D59:D60"/>
    <mergeCell ref="F59:F60"/>
    <mergeCell ref="G59:G60"/>
    <mergeCell ref="H60:H61"/>
    <mergeCell ref="I60:I61"/>
    <mergeCell ref="D61:D62"/>
    <mergeCell ref="F61:F62"/>
    <mergeCell ref="G61:G62"/>
    <mergeCell ref="H62:H63"/>
    <mergeCell ref="I54:I55"/>
    <mergeCell ref="D55:D56"/>
    <mergeCell ref="F55:F56"/>
    <mergeCell ref="G55:G56"/>
    <mergeCell ref="H56:H57"/>
    <mergeCell ref="I56:I57"/>
    <mergeCell ref="D57:D58"/>
    <mergeCell ref="F57:F58"/>
    <mergeCell ref="G57:G58"/>
    <mergeCell ref="H58:H59"/>
    <mergeCell ref="I50:I51"/>
    <mergeCell ref="D51:D52"/>
    <mergeCell ref="F51:F52"/>
    <mergeCell ref="G51:G52"/>
    <mergeCell ref="H52:H53"/>
    <mergeCell ref="I52:I53"/>
    <mergeCell ref="D53:D54"/>
    <mergeCell ref="F53:F54"/>
    <mergeCell ref="G53:G54"/>
    <mergeCell ref="H54:H55"/>
    <mergeCell ref="I46:I47"/>
    <mergeCell ref="D47:D48"/>
    <mergeCell ref="F47:F48"/>
    <mergeCell ref="G47:G48"/>
    <mergeCell ref="H48:H49"/>
    <mergeCell ref="I48:I49"/>
    <mergeCell ref="D49:D50"/>
    <mergeCell ref="F49:F50"/>
    <mergeCell ref="G49:G50"/>
    <mergeCell ref="H50:H51"/>
    <mergeCell ref="I42:I43"/>
    <mergeCell ref="D43:D44"/>
    <mergeCell ref="F43:F44"/>
    <mergeCell ref="G43:G44"/>
    <mergeCell ref="H44:H45"/>
    <mergeCell ref="I44:I45"/>
    <mergeCell ref="D45:D46"/>
    <mergeCell ref="F45:F46"/>
    <mergeCell ref="G45:G46"/>
    <mergeCell ref="H46:H47"/>
    <mergeCell ref="I38:I39"/>
    <mergeCell ref="D39:D40"/>
    <mergeCell ref="F39:F40"/>
    <mergeCell ref="G39:G40"/>
    <mergeCell ref="H40:H41"/>
    <mergeCell ref="I40:I41"/>
    <mergeCell ref="D41:D42"/>
    <mergeCell ref="F41:F42"/>
    <mergeCell ref="G41:G42"/>
    <mergeCell ref="H42:H43"/>
    <mergeCell ref="F19:F20"/>
    <mergeCell ref="G19:G20"/>
    <mergeCell ref="I20:I21"/>
    <mergeCell ref="F21:F22"/>
    <mergeCell ref="G21:G22"/>
    <mergeCell ref="I22:I23"/>
    <mergeCell ref="F23:F24"/>
    <mergeCell ref="G23:G24"/>
    <mergeCell ref="I34:I35"/>
    <mergeCell ref="D35:D36"/>
    <mergeCell ref="F35:F36"/>
    <mergeCell ref="G35:G36"/>
    <mergeCell ref="H36:H37"/>
    <mergeCell ref="I36:I37"/>
    <mergeCell ref="D37:D38"/>
    <mergeCell ref="F37:F38"/>
    <mergeCell ref="G37:G38"/>
    <mergeCell ref="H38:H39"/>
    <mergeCell ref="I30:I31"/>
    <mergeCell ref="D31:D32"/>
    <mergeCell ref="F31:F32"/>
    <mergeCell ref="G31:G32"/>
    <mergeCell ref="H32:H33"/>
    <mergeCell ref="I32:I33"/>
    <mergeCell ref="D33:D34"/>
    <mergeCell ref="F33:F34"/>
    <mergeCell ref="G33:G34"/>
    <mergeCell ref="H34:H35"/>
    <mergeCell ref="F11:F12"/>
    <mergeCell ref="G11:G12"/>
    <mergeCell ref="I12:I13"/>
    <mergeCell ref="F13:F14"/>
    <mergeCell ref="G13:G14"/>
    <mergeCell ref="I14:I15"/>
    <mergeCell ref="F15:F16"/>
    <mergeCell ref="G15:G16"/>
    <mergeCell ref="I16:I17"/>
    <mergeCell ref="F17:F18"/>
    <mergeCell ref="D3:G3"/>
    <mergeCell ref="H3:J3"/>
    <mergeCell ref="D6:D30"/>
    <mergeCell ref="F6:F8"/>
    <mergeCell ref="G6:G8"/>
    <mergeCell ref="I8:I9"/>
    <mergeCell ref="J8:J23"/>
    <mergeCell ref="F9:F10"/>
    <mergeCell ref="G9:G10"/>
    <mergeCell ref="I10:I11"/>
    <mergeCell ref="I24:I25"/>
    <mergeCell ref="J24:J31"/>
    <mergeCell ref="F25:F26"/>
    <mergeCell ref="G25:G26"/>
    <mergeCell ref="I26:I27"/>
    <mergeCell ref="F27:F28"/>
    <mergeCell ref="G27:G28"/>
    <mergeCell ref="I28:I29"/>
    <mergeCell ref="F29:F30"/>
    <mergeCell ref="G29:G30"/>
    <mergeCell ref="G17:G18"/>
    <mergeCell ref="I18:I1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EA40-A12D-4FDE-9DA2-B7084E190EF0}">
  <dimension ref="B5:O25"/>
  <sheetViews>
    <sheetView workbookViewId="0">
      <selection activeCell="N40" sqref="N40"/>
    </sheetView>
  </sheetViews>
  <sheetFormatPr defaultRowHeight="15"/>
  <cols>
    <col min="2" max="2" width="4.7109375" customWidth="1"/>
    <col min="3" max="3" width="13.5703125" customWidth="1"/>
    <col min="4" max="4" width="11.85546875" customWidth="1"/>
    <col min="5" max="5" width="22.28515625" customWidth="1"/>
    <col min="6" max="6" width="19.140625" customWidth="1"/>
    <col min="13" max="13" width="29.85546875" customWidth="1"/>
  </cols>
  <sheetData>
    <row r="5" spans="3:15">
      <c r="C5" t="s">
        <v>322</v>
      </c>
      <c r="D5" t="s">
        <v>323</v>
      </c>
    </row>
    <row r="6" spans="3:15">
      <c r="C6" t="s">
        <v>324</v>
      </c>
      <c r="D6" t="s">
        <v>325</v>
      </c>
    </row>
    <row r="12" spans="3:15" ht="15.75" thickBot="1"/>
    <row r="13" spans="3:15">
      <c r="L13" s="14"/>
      <c r="M13" s="1" t="s">
        <v>223</v>
      </c>
      <c r="N13" s="1"/>
      <c r="O13" s="2"/>
    </row>
    <row r="14" spans="3:15">
      <c r="L14" s="15"/>
      <c r="O14" s="16"/>
    </row>
    <row r="15" spans="3:15" ht="15.75" thickBot="1">
      <c r="L15" s="15"/>
      <c r="M15" s="38" t="s">
        <v>326</v>
      </c>
      <c r="N15" s="13" t="s">
        <v>327</v>
      </c>
      <c r="O15" s="16"/>
    </row>
    <row r="16" spans="3:15" ht="15.75" thickBot="1">
      <c r="L16" s="15"/>
      <c r="M16" s="37" t="s">
        <v>328</v>
      </c>
      <c r="N16" s="13" t="s">
        <v>329</v>
      </c>
      <c r="O16" s="16"/>
    </row>
    <row r="17" spans="2:15" ht="15.75" thickBot="1">
      <c r="B17" s="14"/>
      <c r="C17" s="50" t="s">
        <v>330</v>
      </c>
      <c r="D17" s="50"/>
      <c r="E17" s="50"/>
      <c r="F17" s="50"/>
      <c r="G17" s="1"/>
      <c r="H17" s="1"/>
      <c r="I17" s="2"/>
      <c r="L17" s="15"/>
      <c r="M17" s="38" t="s">
        <v>326</v>
      </c>
      <c r="N17" s="13" t="s">
        <v>329</v>
      </c>
      <c r="O17" s="16"/>
    </row>
    <row r="18" spans="2:15" ht="15.75" thickBot="1">
      <c r="B18" s="15"/>
      <c r="C18" s="39" t="s">
        <v>331</v>
      </c>
      <c r="G18" s="39" t="s">
        <v>331</v>
      </c>
      <c r="I18" s="16"/>
      <c r="L18" s="15"/>
      <c r="M18" s="37" t="s">
        <v>332</v>
      </c>
      <c r="N18" s="13" t="s">
        <v>329</v>
      </c>
      <c r="O18" s="16"/>
    </row>
    <row r="19" spans="2:15" ht="15.75" thickBot="1">
      <c r="B19" s="15"/>
      <c r="D19" s="40" t="s">
        <v>139</v>
      </c>
      <c r="E19" s="40" t="s">
        <v>333</v>
      </c>
      <c r="F19" s="40" t="s">
        <v>139</v>
      </c>
      <c r="I19" s="16"/>
      <c r="L19" s="15"/>
      <c r="M19" s="38" t="s">
        <v>326</v>
      </c>
      <c r="N19" s="13" t="s">
        <v>329</v>
      </c>
      <c r="O19" s="16"/>
    </row>
    <row r="20" spans="2:15" ht="15.75" thickBot="1">
      <c r="B20" s="17"/>
      <c r="C20" s="18"/>
      <c r="D20" s="18"/>
      <c r="E20" s="18"/>
      <c r="F20" s="18"/>
      <c r="G20" s="18"/>
      <c r="H20" s="18"/>
      <c r="I20" s="19"/>
      <c r="L20" s="15"/>
      <c r="M20" s="37" t="s">
        <v>334</v>
      </c>
      <c r="N20" s="13" t="s">
        <v>329</v>
      </c>
      <c r="O20" s="16"/>
    </row>
    <row r="21" spans="2:15" ht="15.75" thickBot="1">
      <c r="L21" s="15"/>
      <c r="M21" s="38" t="s">
        <v>326</v>
      </c>
      <c r="N21" s="13" t="s">
        <v>329</v>
      </c>
      <c r="O21" s="16"/>
    </row>
    <row r="22" spans="2:15" ht="15.75" thickBot="1">
      <c r="B22" s="14"/>
      <c r="C22" s="50" t="s">
        <v>335</v>
      </c>
      <c r="D22" s="50"/>
      <c r="E22" s="50"/>
      <c r="F22" s="50"/>
      <c r="G22" s="1"/>
      <c r="H22" s="1"/>
      <c r="I22" s="1"/>
      <c r="J22" s="2"/>
      <c r="L22" s="15"/>
      <c r="M22" s="37" t="s">
        <v>336</v>
      </c>
      <c r="N22" s="13" t="s">
        <v>329</v>
      </c>
      <c r="O22" s="16"/>
    </row>
    <row r="23" spans="2:15">
      <c r="B23" s="15"/>
      <c r="C23" s="39" t="s">
        <v>331</v>
      </c>
      <c r="D23" s="39" t="s">
        <v>331</v>
      </c>
      <c r="H23" s="39" t="s">
        <v>331</v>
      </c>
      <c r="I23" s="39" t="s">
        <v>331</v>
      </c>
      <c r="J23" s="16"/>
      <c r="L23" s="15" t="s">
        <v>76</v>
      </c>
      <c r="M23" s="38" t="s">
        <v>337</v>
      </c>
      <c r="N23" s="13" t="s">
        <v>329</v>
      </c>
      <c r="O23" s="16"/>
    </row>
    <row r="24" spans="2:15">
      <c r="B24" s="15"/>
      <c r="E24" s="40" t="s">
        <v>139</v>
      </c>
      <c r="F24" s="40" t="s">
        <v>333</v>
      </c>
      <c r="G24" s="40" t="s">
        <v>139</v>
      </c>
      <c r="J24" s="16"/>
      <c r="L24" s="15"/>
      <c r="O24" s="16"/>
    </row>
    <row r="25" spans="2:15" ht="15.75" thickBot="1">
      <c r="B25" s="17"/>
      <c r="C25" s="18"/>
      <c r="D25" s="18"/>
      <c r="E25" s="18"/>
      <c r="F25" s="18"/>
      <c r="G25" s="18"/>
      <c r="H25" s="18"/>
      <c r="I25" s="18"/>
      <c r="J25" s="19"/>
      <c r="L25" s="17"/>
      <c r="M25" s="18"/>
      <c r="N25" s="18"/>
      <c r="O25" s="19"/>
    </row>
  </sheetData>
  <mergeCells count="2">
    <mergeCell ref="C17:F17"/>
    <mergeCell ref="C22:F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fedd2-dbcf-4bdc-b432-d31716ede209">
      <Terms xmlns="http://schemas.microsoft.com/office/infopath/2007/PartnerControls"/>
    </lcf76f155ced4ddcb4097134ff3c332f>
    <TaxCatchAll xmlns="2026e8c2-b945-4467-bd36-0521a67d2e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7378F44895D041BDA0722F78C96CC4" ma:contentTypeVersion="15" ma:contentTypeDescription="Create a new document." ma:contentTypeScope="" ma:versionID="d3e906b4d32e4ea0c5cf06afab310546">
  <xsd:schema xmlns:xsd="http://www.w3.org/2001/XMLSchema" xmlns:xs="http://www.w3.org/2001/XMLSchema" xmlns:p="http://schemas.microsoft.com/office/2006/metadata/properties" xmlns:ns2="a15fedd2-dbcf-4bdc-b432-d31716ede209" xmlns:ns3="2026e8c2-b945-4467-bd36-0521a67d2e0f" targetNamespace="http://schemas.microsoft.com/office/2006/metadata/properties" ma:root="true" ma:fieldsID="91ea16ebfc2aecd565d1db768a342959" ns2:_="" ns3:_="">
    <xsd:import namespace="a15fedd2-dbcf-4bdc-b432-d31716ede209"/>
    <xsd:import namespace="2026e8c2-b945-4467-bd36-0521a67d2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fedd2-dbcf-4bdc-b432-d31716ede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4b2a00-2846-4002-b30b-85ebaf4c0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6e8c2-b945-4467-bd36-0521a67d2e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066d54-fcc6-42eb-8df7-7bcfd8e39a91}" ma:internalName="TaxCatchAll" ma:showField="CatchAllData" ma:web="2026e8c2-b945-4467-bd36-0521a67d2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07B586-8397-467C-B681-8AA6B3D7A669}"/>
</file>

<file path=customXml/itemProps2.xml><?xml version="1.0" encoding="utf-8"?>
<ds:datastoreItem xmlns:ds="http://schemas.openxmlformats.org/officeDocument/2006/customXml" ds:itemID="{BFF444F2-ABEC-4E66-81E3-F3A2B635F801}"/>
</file>

<file path=customXml/itemProps3.xml><?xml version="1.0" encoding="utf-8"?>
<ds:datastoreItem xmlns:ds="http://schemas.openxmlformats.org/officeDocument/2006/customXml" ds:itemID="{57DCF3DC-B4F3-4365-8349-7CACFDE29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NVIDIA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 Wang</dc:creator>
  <cp:keywords/>
  <dc:description/>
  <cp:lastModifiedBy/>
  <cp:revision/>
  <dcterms:created xsi:type="dcterms:W3CDTF">2024-07-10T02:20:49Z</dcterms:created>
  <dcterms:modified xsi:type="dcterms:W3CDTF">2025-02-19T19:32:17Z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0x010100BD7378F44895D041BDA0722F78C96CC4</vt:lpwstr>
  </property>
  <property fmtid="{D5CDD505-2E9C-101B-9397-08002B2CF9AE}" pid="3" name="MediaServiceImageTags">
    <vt:lpwstr/>
  </property>
</Properties>
</file>